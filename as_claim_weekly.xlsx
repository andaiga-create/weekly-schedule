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(12)'!$A$1:$M$28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L7" i="129"/>
  <c r="L6" i="129"/>
  <c r="L4" i="129"/>
  <c r="L46" i="129" l="1"/>
  <c r="L45" i="129"/>
  <c r="L44" i="129"/>
  <c r="L52" i="129" l="1"/>
  <c r="L47" i="129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53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<sst xmlns="http://schemas.openxmlformats.org/spreadsheetml/2006/main" count="21835" uniqueCount="5838">
  <si>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</si>
  <si>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</si>
  <si>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</si>
  <si>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</si>
  <si>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</si>
  <si>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</si>
  <si>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</si>
  <si>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</si>
  <si>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</si>
  <si>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</si>
  <si>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</si>
  <si>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</si>
  <si>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</si>
  <si>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</si>
  <si>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</si>
  <si>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</si>
  <si>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</si>
  <si>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</si>
  <si>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</si>
  <si>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</si>
  <si>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</si>
  <si>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</si>
  <si>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</si>
  <si>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</si>
  <si>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</si>
  <si>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</si>
  <si>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</si>
  <si>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</si>
  <si>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</si>
  <si>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</si>
  <si>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</si>
  <si>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</si>
  <si>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</si>
  <si>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</si>
  <si>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</si>
  <si>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</si>
  <si>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</si>
  <si>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</si>
  <si>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</si>
  <si>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</si>
  <si>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</si>
  <si>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</si>
  <si>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</si>
  <si>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</si>
  <si>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</si>
  <si>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</si>
  <si>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</si>
  <si>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</si>
  <si>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</si>
  <si>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</si>
  <si>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</si>
  <si>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</si>
  <si>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</si>
  <si>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</si>
  <si>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</si>
  <si>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</si>
  <si>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</si>
  <si>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</si>
  <si>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</si>
  <si>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</si>
  <si>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</si>
  <si>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</si>
  <si>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</si>
  <si>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</si>
  <si>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</si>
  <si>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</si>
  <si>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</si>
  <si>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</si>
  <si>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</si>
  <si>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</si>
  <si>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</si>
  <si>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</si>
  <si>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</si>
  <si>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</si>
  <si>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</si>
  <si>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</si>
  <si>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</si>
  <si>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</si>
  <si>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</si>
  <si>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</si>
  <si>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</si>
  <si>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</si>
  <si>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</si>
  <si>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</si>
  <si>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</si>
  <si>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</si>
  <si>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</si>
  <si>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</si>
  <si>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</si>
  <si>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</si>
  <si>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</si>
  <si>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</si>
  <si>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</si>
  <si>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</si>
  <si>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</si>
  <si>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</si>
  <si>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</si>
  <si>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</si>
  <si>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</si>
  <si>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</si>
  <si>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</si>
  <si>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</si>
  <si>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</si>
  <si>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</si>
  <si>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</si>
  <si>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</si>
  <si>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</si>
  <si>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</si>
  <si>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</si>
  <si>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</si>
  <si>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</si>
  <si>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</si>
  <si>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</si>
  <si>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</si>
  <si>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</si>
  <si>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</si>
  <si>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</si>
  <si>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</si>
  <si>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</si>
  <si>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</si>
  <si>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</si>
  <si>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</si>
  <si>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</si>
  <si>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</si>
  <si>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</si>
  <si>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</si>
  <si>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</si>
  <si>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</si>
  <si>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</si>
  <si>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</si>
  <si>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</si>
  <si>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</si>
  <si>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</si>
  <si>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</si>
  <si>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</si>
  <si>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</si>
  <si>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</si>
  <si>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</si>
  <si>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</si>
  <si>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</si>
  <si>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</si>
  <si>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</si>
  <si>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</si>
  <si>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</si>
  <si>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</si>
  <si>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</si>
  <si>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</si>
  <si>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</si>
  <si>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</si>
  <si>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</si>
  <si>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</si>
  <si>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</si>
  <si>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</si>
  <si>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</si>
  <si>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</si>
  <si>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</si>
  <si>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</si>
  <si>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</si>
  <si>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</si>
  <si>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</si>
  <si>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</si>
  <si>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</si>
  <si>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</si>
  <si>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</si>
  <si>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</si>
  <si>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</si>
  <si>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</si>
  <si>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</si>
  <si>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</si>
  <si>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</si>
  <si>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</si>
  <si>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</si>
  <si>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</si>
  <si>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</si>
  <si>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</si>
  <si>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</si>
  <si>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</si>
  <si>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</si>
  <si>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</si>
  <si>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</si>
  <si>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</si>
  <si>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</si>
  <si>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</si>
  <si>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</si>
  <si>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</si>
  <si>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</si>
  <si>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</si>
  <si>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</si>
  <si>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</si>
  <si>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</si>
  <si>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</si>
  <si>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</si>
  <si>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</si>
  <si>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</si>
  <si>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</si>
  <si>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</si>
  <si>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</si>
  <si>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</si>
  <si>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</si>
  <si>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</si>
  <si>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</si>
  <si>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</si>
  <si>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</si>
  <si>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</si>
  <si>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</si>
  <si>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</si>
  <si>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</si>
  <si>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</si>
  <si>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</si>
  <si>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</si>
  <si>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</si>
  <si>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</si>
  <si>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</si>
  <si>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</si>
  <si>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</si>
  <si>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</si>
  <si>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</si>
  <si>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</si>
  <si>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</si>
  <si>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</si>
  <si>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</si>
  <si>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</si>
  <si>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</si>
  <si>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</si>
  <si>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</si>
  <si>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</si>
  <si>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</si>
  <si>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</si>
  <si>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</si>
  <si>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</si>
  <si>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</si>
  <si>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</si>
  <si>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</si>
  <si>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</si>
  <si>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</si>
  <si>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</si>
  <si>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</si>
  <si>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</si>
  <si>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</si>
  <si>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</si>
  <si>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</si>
  <si>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</si>
  <si>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</si>
  <si>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</si>
  <si>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</si>
  <si>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</si>
  <si>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</si>
  <si>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</si>
  <si>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</si>
  <si>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</si>
  <si>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</si>
  <si>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</si>
  <si>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</si>
  <si>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</si>
  <si>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</si>
  <si>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</si>
  <si>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</si>
  <si>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</si>
  <si>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</si>
  <si>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</si>
  <si>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</si>
  <si>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</si>
  <si>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</si>
  <si>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</si>
  <si>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</si>
  <si>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</si>
  <si>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</si>
  <si>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</si>
  <si>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</si>
  <si>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</si>
  <si>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</si>
  <si>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</si>
  <si>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</si>
  <si>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</si>
  <si>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</si>
  <si>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</si>
  <si>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</si>
  <si>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</si>
  <si>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</si>
  <si>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</si>
  <si>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</si>
  <si>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</si>
  <si>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</si>
  <si>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</si>
  <si>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</si>
  <si>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</si>
  <si>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</si>
  <si>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</si>
  <si>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</si>
  <si>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</si>
  <si>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</si>
  <si>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</si>
  <si>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</si>
  <si>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</si>
  <si>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</si>
  <si>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</si>
  <si>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</si>
  <si>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</si>
  <si>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</si>
  <si>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</si>
  <si>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</si>
  <si>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</si>
  <si>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</si>
  <si>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</si>
  <si>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</si>
  <si>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</si>
  <si>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</si>
  <si>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</si>
  <si>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</si>
  <si>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</si>
  <si>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</si>
  <si>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</si>
  <si>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</si>
  <si>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</si>
  <si>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</si>
  <si>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</si>
  <si>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</si>
  <si>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</si>
  <si>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</si>
  <si>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</si>
  <si>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</si>
  <si>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</si>
  <si>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</si>
  <si>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</si>
  <si>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</si>
  <si>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</si>
  <si>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</si>
  <si>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</si>
  <si>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</si>
  <si>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</si>
  <si>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</si>
  <si>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</si>
  <si>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</si>
  <si>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</si>
  <si>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</si>
  <si>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</si>
  <si>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</si>
  <si>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</si>
  <si>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</si>
  <si>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</si>
  <si>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</si>
  <si>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</si>
  <si>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</si>
  <si>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</si>
  <si>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</si>
  <si>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</si>
  <si>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</si>
  <si>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</si>
  <si>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</si>
  <si>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</si>
  <si>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</si>
  <si>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</si>
  <si>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</si>
  <si>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</si>
  <si>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</si>
  <si>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</si>
  <si>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</si>
  <si>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</si>
  <si>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</si>
  <si>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</si>
  <si>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</si>
  <si>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</si>
  <si>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</si>
  <si>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</si>
  <si>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</si>
  <si>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</si>
  <si>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</si>
  <si>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</si>
  <si>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</si>
  <si>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</si>
  <si>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</si>
  <si>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</si>
  <si>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</si>
  <si>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</si>
  <si>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</si>
  <si>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</si>
  <si>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</si>
  <si>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</si>
  <si>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</si>
  <si>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</si>
  <si>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</si>
  <si>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</si>
  <si>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</si>
  <si>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</si>
  <si>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</si>
  <si>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</si>
  <si>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</si>
  <si>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</si>
  <si>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</si>
  <si>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</si>
  <si>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</si>
  <si>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</si>
  <si>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</si>
  <si>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</si>
  <si>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</si>
  <si>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</si>
  <si>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</si>
  <si>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</si>
  <si>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</si>
  <si>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</si>
  <si>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</si>
  <si>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</si>
  <si>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</si>
  <si>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</si>
  <si>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</si>
  <si>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</si>
  <si>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</si>
  <si>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</si>
  <si>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</si>
  <si>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</si>
  <si>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</si>
  <si>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</si>
  <si>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</si>
  <si>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</si>
  <si>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</si>
  <si>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</si>
  <si>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</si>
  <si>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</si>
  <si>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</si>
  <si>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</si>
  <si>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</si>
  <si>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</si>
  <si>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</si>
  <si>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</si>
  <si>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</si>
  <si>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</si>
  <si>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</si>
  <si>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</si>
  <si>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</si>
  <si>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</si>
  <si>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</si>
  <si>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</si>
  <si>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</si>
  <si>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</si>
  <si>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</si>
  <si>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</si>
  <si>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</si>
  <si>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</si>
  <si>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</si>
  <si>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</si>
  <si>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</si>
  <si>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</si>
  <si>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</si>
  <si>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</si>
  <si>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</si>
  <si>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</si>
  <si>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</si>
  <si>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</si>
  <si>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</si>
  <si>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</si>
  <si>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</si>
  <si>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</si>
  <si>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</si>
  <si>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</si>
  <si>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</si>
  <si>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</si>
  <si>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</si>
  <si>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</si>
  <si>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</si>
  <si>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</si>
  <si>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</si>
  <si>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</si>
  <si>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</si>
  <si>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</si>
  <si>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</si>
  <si>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</si>
  <si>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</si>
  <si>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</si>
  <si>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</si>
  <si>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</si>
  <si>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</si>
  <si>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</si>
  <si>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</si>
  <si>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</si>
  <si>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</si>
  <si>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</si>
  <si>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</si>
  <si>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</si>
  <si>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</si>
  <si>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</si>
  <si>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</si>
  <si>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</si>
  <si>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</si>
  <si>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</si>
  <si>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</si>
  <si>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</si>
  <si>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</si>
  <si>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</si>
  <si>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</si>
  <si>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</si>
  <si>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</si>
  <si>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</si>
  <si>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</si>
  <si>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</si>
  <si>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</si>
  <si>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</si>
  <si>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</si>
  <si>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</si>
  <si>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</si>
  <si>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</si>
  <si>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</si>
  <si>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</si>
  <si>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</si>
  <si>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</si>
  <si>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</si>
  <si>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</si>
  <si>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</si>
  <si>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</si>
  <si>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</si>
  <si>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</si>
  <si>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</si>
  <si>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</si>
  <si>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</si>
  <si>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</si>
  <si>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</si>
  <si>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</si>
  <si>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</si>
  <si>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</si>
  <si>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</si>
  <si>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</si>
  <si>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</si>
  <si>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</si>
  <si>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</si>
  <si>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</si>
  <si>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</si>
  <si>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</si>
  <si>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</si>
  <si>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</si>
  <si>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</si>
  <si>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</si>
  <si>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</si>
  <si>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</si>
  <si>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</si>
  <si>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</si>
  <si>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</si>
  <si>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</si>
  <si>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</si>
  <si>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</si>
  <si>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</si>
  <si>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</si>
  <si>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</si>
  <si>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</si>
  <si>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</si>
  <si>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</si>
  <si>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</si>
  <si>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</si>
  <si>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</si>
  <si>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</si>
  <si>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</si>
  <si>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</si>
  <si>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</si>
  <si>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</si>
  <si>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</si>
  <si>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</si>
  <si>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</si>
  <si>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</si>
  <si>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</si>
  <si>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</si>
  <si>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</si>
  <si>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</si>
  <si>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</si>
  <si>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</si>
  <si>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</si>
  <si>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</si>
  <si>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</si>
  <si>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</si>
  <si>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</si>
  <si>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</si>
  <si>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</si>
  <si>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</si>
  <si>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</si>
  <si>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</si>
  <si>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</si>
  <si>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</si>
  <si>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</si>
  <si>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</si>
  <si>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</si>
  <si>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</si>
  <si>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</si>
  <si>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</si>
  <si>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</si>
  <si>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</si>
  <si>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</si>
  <si>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</si>
  <si>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</si>
  <si>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</si>
  <si>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</si>
  <si>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</si>
  <si>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</si>
  <si>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</si>
  <si>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</si>
  <si>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</si>
  <si>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</si>
  <si>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</si>
  <si>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</si>
  <si>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</si>
  <si>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</si>
  <si>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</si>
  <si>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</si>
  <si>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</si>
  <si>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</si>
  <si>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</si>
  <si>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</si>
  <si>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</si>
  <si>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</si>
  <si>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</si>
  <si>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</si>
  <si>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</si>
  <si>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</si>
  <si>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</si>
  <si>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</si>
  <si>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</si>
  <si>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</si>
  <si>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</si>
  <si>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</si>
  <si>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</si>
  <si>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</si>
  <si>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</si>
  <si>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</si>
  <si>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</si>
  <si>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</si>
  <si>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</si>
  <si>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</si>
  <si>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</si>
  <si>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</si>
  <si>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</si>
  <si>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</si>
  <si>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</si>
  <si>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</si>
  <si>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</si>
  <si>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</si>
  <si>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</si>
  <si>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</si>
  <si>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</si>
  <si>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</si>
  <si>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</si>
  <si>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</si>
  <si>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</si>
  <si>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</si>
  <si>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</si>
  <si>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</si>
  <si>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</si>
  <si>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</si>
  <si>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</si>
  <si>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</si>
  <si>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</si>
  <si>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</si>
  <si>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</si>
  <si>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</si>
  <si>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</si>
  <si>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</si>
  <si>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</si>
  <si>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</si>
  <si>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</si>
  <si>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</si>
  <si>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</si>
  <si>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</si>
  <si>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</si>
  <si>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</si>
  <si>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</si>
  <si>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</si>
  <si>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</si>
  <si>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</si>
  <si>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</si>
  <si>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</si>
  <si>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</si>
  <si>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</si>
  <si>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</si>
  <si>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</si>
  <si>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</si>
  <si>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</si>
  <si>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</si>
  <si>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</si>
  <si>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</si>
  <si>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</si>
  <si>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</si>
  <si>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</si>
  <si>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</si>
  <si>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</si>
  <si>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</si>
  <si>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</si>
  <si>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</si>
  <si>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</si>
  <si>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</si>
  <si>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</si>
  <si>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</si>
  <si>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</si>
  <si>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</si>
  <si>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</si>
  <si>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</si>
  <si>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</si>
  <si>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</si>
  <si>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</si>
  <si>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</si>
  <si>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</si>
  <si>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</si>
  <si>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</si>
  <si>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</si>
  <si>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</si>
  <si>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</si>
  <si>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</si>
  <si>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</si>
  <si>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</si>
  <si>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</si>
  <si>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</si>
  <si>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</si>
  <si>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</si>
  <si>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</si>
  <si>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</si>
  <si>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</si>
  <si>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</si>
  <si>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</si>
  <si>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</si>
  <si>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</si>
  <si>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</si>
  <si>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</si>
  <si>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</si>
  <si>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</si>
  <si>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</si>
  <si>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</si>
  <si>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</si>
  <si>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</si>
  <si>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</si>
  <si>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</si>
  <si>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</si>
  <si>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</si>
  <si>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</si>
  <si>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</si>
  <si>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</si>
  <si>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</si>
  <si>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</si>
  <si>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</si>
  <si>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</si>
  <si>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</si>
  <si>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</si>
  <si>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</si>
  <si>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</si>
  <si>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</si>
  <si>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</si>
  <si>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</si>
  <si>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</si>
  <si>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</si>
  <si>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</si>
  <si>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</si>
  <si>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</si>
  <si>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</si>
  <si>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</si>
  <si>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</si>
  <si>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</si>
  <si>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</si>
  <si>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</si>
  <si>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</si>
  <si>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</si>
  <si>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</si>
  <si>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</si>
  <si>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</si>
  <si>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</si>
  <si>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</si>
  <si>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</si>
  <si>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</si>
  <si>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</si>
  <si>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</si>
  <si>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</si>
  <si>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</si>
  <si>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</si>
  <si>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</si>
  <si>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</si>
  <si>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</si>
  <si>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</si>
  <si>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</si>
  <si>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</si>
  <si>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</si>
  <si>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</si>
  <si>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</si>
  <si>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</si>
  <si>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</si>
  <si>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</si>
  <si>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</si>
  <si>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</si>
  <si>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</si>
  <si>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</si>
  <si>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</si>
  <si>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</si>
  <si>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</si>
  <si>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</si>
  <si>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</si>
  <si>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</si>
  <si>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</si>
  <si>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</si>
  <si>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</si>
  <si>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</si>
  <si>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</si>
  <si>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</si>
  <si>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</si>
  <si>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</si>
  <si>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</si>
  <si>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</si>
  <si>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</si>
  <si>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</si>
  <si>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</si>
  <si>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</si>
  <si>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</si>
  <si>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</si>
  <si>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</si>
  <si>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</si>
  <si>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</si>
  <si>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</si>
  <si>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</si>
  <si>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</si>
  <si>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</si>
  <si>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</si>
  <si>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</si>
  <si>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</si>
  <si>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</si>
  <si>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</si>
  <si>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</si>
  <si>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</si>
  <si>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</si>
  <si>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</si>
  <si>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</si>
  <si>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</si>
  <si>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</si>
  <si>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</si>
  <si>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</si>
  <si>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</si>
  <si>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</si>
  <si>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</si>
  <si>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</si>
  <si>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</si>
  <si>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</si>
  <si>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</si>
  <si>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</si>
  <si>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</si>
  <si>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</si>
  <si>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</si>
  <si>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</si>
  <si>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</si>
  <si>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</si>
  <si>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</si>
  <si>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</si>
  <si>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</si>
  <si>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</si>
  <si>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</si>
  <si>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</si>
  <si>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</si>
  <si>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</si>
  <si>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</si>
  <si>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</si>
  <si>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</si>
  <si>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</si>
  <si>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</si>
  <si>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</si>
  <si>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</si>
  <si>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</si>
  <si>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</si>
  <si>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</si>
  <si>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</si>
  <si>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</si>
  <si>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</si>
  <si>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</si>
  <si>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</si>
  <si>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</si>
  <si>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</si>
  <si>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</si>
  <si>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</si>
  <si>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</si>
  <si>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</si>
  <si>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</si>
  <si>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</si>
  <si>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</si>
  <si>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</si>
  <si>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</si>
  <si>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</si>
  <si>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</si>
  <si>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</si>
  <si>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</si>
  <si>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</si>
  <si>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</si>
  <si>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</si>
  <si>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</si>
  <si>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</si>
  <si>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</si>
  <si>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</si>
  <si>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</si>
  <si>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</si>
  <si>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</si>
  <si>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</si>
  <si>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</si>
  <si>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</si>
  <si>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</si>
  <si>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</si>
  <si>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</si>
  <si>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</si>
  <si>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</si>
  <si>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</si>
  <si>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</si>
  <si>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</si>
  <si>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</si>
  <si>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</si>
  <si>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</si>
  <si>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</si>
  <si>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</si>
  <si>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</si>
  <si>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</si>
  <si>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</si>
  <si>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</si>
  <si>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</si>
  <si>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</si>
  <si>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</si>
  <si>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</si>
  <si>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</si>
  <si>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</si>
  <si>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</si>
  <si>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</si>
  <si>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</si>
  <si>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</si>
  <si>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</si>
  <si>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</si>
  <si>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</si>
  <si>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</si>
  <si>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</si>
  <si>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</si>
  <si>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</si>
  <si>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</si>
  <si>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</si>
  <si>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</si>
  <si>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</si>
  <si>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</si>
  <si>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</si>
  <si>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</si>
  <si>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</si>
  <si>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</si>
  <si>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</si>
  <si>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</si>
  <si>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</si>
  <si>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</si>
  <si>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</si>
  <si>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</si>
  <si>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</si>
  <si>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</si>
  <si>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</si>
  <si>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</si>
  <si>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</si>
  <si>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</si>
  <si>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</si>
  <si>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</si>
  <si>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</si>
  <si>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</si>
  <si>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</si>
  <si>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</si>
  <si>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</si>
  <si>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</si>
  <si>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</si>
  <si>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</si>
  <si>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</si>
  <si>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</si>
  <si>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</si>
  <si>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</si>
  <si>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</si>
  <si>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</si>
  <si>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</si>
  <si>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</si>
  <si>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</si>
  <si>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</si>
  <si>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</si>
  <si>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</si>
  <si>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</si>
  <si>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</si>
  <si>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</si>
  <si>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</si>
  <si>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</si>
  <si>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</si>
  <si>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</si>
  <si>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</si>
  <si>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</si>
  <si>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</si>
  <si>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</si>
  <si>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</si>
  <si>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</si>
  <si>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</si>
  <si>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</si>
  <si>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</si>
  <si>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</si>
  <si>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</si>
  <si>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</si>
  <si>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</si>
  <si>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</si>
  <si>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</si>
  <si>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</si>
  <si>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</si>
  <si>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</si>
  <si>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</si>
  <si>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</si>
  <si>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</si>
  <si>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</si>
  <si>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</si>
  <si>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</si>
  <si>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</si>
  <si>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</si>
  <si>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</si>
  <si>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</si>
  <si>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</si>
  <si>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</si>
  <si>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</si>
  <si>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</si>
  <si>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</si>
  <si>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</si>
  <si>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</si>
  <si>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</si>
  <si>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</si>
  <si>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</si>
  <si>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</si>
  <si>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</si>
  <si>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</si>
  <si>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</si>
  <si>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</si>
  <si>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</si>
  <si>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</si>
  <si>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</si>
  <si>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</si>
  <si>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</si>
  <si>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</si>
  <si>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</si>
  <si>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</si>
  <si>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</si>
  <si>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</si>
  <si>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</si>
  <si>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</si>
  <si>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</si>
  <si>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</si>
  <si>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</si>
  <si>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</si>
  <si>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</si>
  <si>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</si>
  <si>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</si>
  <si>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</si>
  <si>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</si>
  <si>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</si>
  <si>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</si>
  <si>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</si>
  <si>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</si>
  <si>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</si>
  <si>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</si>
  <si>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</si>
  <si>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</si>
  <si>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</si>
  <si>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</si>
  <si>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</si>
  <si>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</si>
  <si>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</si>
  <si>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</si>
  <si>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</si>
  <si>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</si>
  <si>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</si>
  <si>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</si>
  <si>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</si>
  <si>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</si>
  <si>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</si>
  <si>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</si>
  <si>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</si>
  <si>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</si>
  <si>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</si>
  <si>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</si>
  <si>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</si>
  <si>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</si>
  <si>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</si>
  <si>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</si>
  <si>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</si>
  <si>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</si>
  <si>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</si>
  <si>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</si>
  <si>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</si>
  <si>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</si>
  <si>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</si>
  <si>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</si>
  <si>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</si>
  <si>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</si>
  <si>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</si>
  <si>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</si>
  <si>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</si>
  <si>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</si>
  <si>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</si>
  <si>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</si>
  <si>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</si>
  <si>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</si>
  <si>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</si>
  <si>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</si>
  <si>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</si>
  <si>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</si>
  <si>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</si>
  <si>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</si>
  <si>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</si>
  <si>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</si>
  <si>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</si>
  <si>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</si>
  <si>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</si>
  <si>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</si>
  <si>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</si>
  <si>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</si>
  <si>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</si>
  <si>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</si>
  <si>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</si>
  <si>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</si>
  <si>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</si>
  <si>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</si>
  <si>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</si>
  <si>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</si>
  <si>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</si>
  <si>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</si>
  <si>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</si>
  <si>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</si>
  <si>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</si>
  <si>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</si>
  <si>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</si>
  <si>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</si>
  <si>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</si>
  <si>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</si>
  <si>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</si>
  <si>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</si>
  <si>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</si>
  <si>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</si>
  <si>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</si>
  <si>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</si>
  <si>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</si>
  <si>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</si>
  <si>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</si>
  <si>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</si>
  <si>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</si>
  <si>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</si>
  <si>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</si>
  <si>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</si>
  <si>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</si>
  <si>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</si>
  <si>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</si>
  <si>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</si>
  <si>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</si>
  <si>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</si>
  <si>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</si>
  <si>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</si>
  <si>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</si>
  <si>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</si>
  <si>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</si>
  <si>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</si>
  <si>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</si>
  <si>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</si>
  <si>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</si>
  <si>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</si>
  <si>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</si>
  <si>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</si>
  <si>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</si>
  <si>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</si>
  <si>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</si>
  <si>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</si>
  <si>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</si>
  <si>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</si>
  <si>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</si>
  <si>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</si>
  <si>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</si>
  <si>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</si>
  <si>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</si>
  <si>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</si>
  <si>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</si>
  <si>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</si>
  <si>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</si>
  <si>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</si>
  <si>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</si>
  <si>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</si>
  <si>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</si>
  <si>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</si>
  <si>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</si>
  <si>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</si>
  <si>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</si>
  <si>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</si>
  <si>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</si>
  <si>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</si>
  <si>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</si>
  <si>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</si>
  <si>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</si>
  <si>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</si>
  <si>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</si>
  <si>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</si>
  <si>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</si>
  <si>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</si>
  <si>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</si>
  <si>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</si>
  <si>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</si>
  <si>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</si>
  <si>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</si>
  <si>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</si>
  <si>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</si>
  <si>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</si>
  <si>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</si>
  <si>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</si>
  <si>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</si>
  <si>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</si>
  <si>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</si>
  <si>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</si>
  <si>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</si>
  <si>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</si>
  <si>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</si>
  <si>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</si>
  <si>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</si>
  <si>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</si>
  <si>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</si>
  <si>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</si>
  <si>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</si>
  <si>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</si>
  <si>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</si>
  <si>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</si>
  <si>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</si>
  <si>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</si>
  <si>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</si>
  <si>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</si>
  <si>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</si>
  <si>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</si>
  <si>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</si>
  <si>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</si>
  <si>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</si>
  <si>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</si>
  <si>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</si>
  <si>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</si>
  <si>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</si>
  <si>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</si>
  <si>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</si>
  <si>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</si>
  <si>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</si>
  <si>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</si>
  <si>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</si>
  <si>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</si>
  <si>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</si>
  <si>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</si>
  <si>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</si>
  <si>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</si>
  <si>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</si>
  <si>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</si>
  <si>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</si>
  <si>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</si>
  <si>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</si>
  <si>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</si>
  <si>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</si>
  <si>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</si>
  <si>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</si>
  <si>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</si>
  <si>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</si>
  <si>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</si>
  <si>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</si>
  <si>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</si>
  <si>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</si>
  <si>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</si>
  <si>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</si>
  <si>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</si>
  <si>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</si>
  <si>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</si>
  <si>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</si>
  <si>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</si>
  <si>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</si>
  <si>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</si>
  <si>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</si>
  <si>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</si>
  <si>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</si>
  <si>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</si>
  <si>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</si>
  <si>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</si>
  <si>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</si>
  <si>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</si>
  <si>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</si>
  <si>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</si>
  <si>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</si>
  <si>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</si>
  <si>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</si>
  <si>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</si>
  <si>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</si>
  <si>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</si>
  <si>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</si>
  <si>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</si>
  <si>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</si>
  <si>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</si>
  <si>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</si>
  <si>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</si>
  <si>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</si>
  <si>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</si>
  <si>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</si>
  <si>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</si>
  <si>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</si>
  <si>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</si>
  <si>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</si>
  <si>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</si>
  <si>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</si>
  <si>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</si>
  <si>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</si>
  <si>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</si>
  <si>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</si>
  <si>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</si>
  <si>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</si>
  <si>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</si>
  <si>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</si>
  <si>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</si>
  <si>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</si>
  <si>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</si>
  <si>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</si>
  <si>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</si>
  <si>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</si>
  <si>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</si>
  <si>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</si>
  <si>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</si>
  <si>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</si>
  <si>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</si>
  <si>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</si>
  <si>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</si>
  <si>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</si>
  <si>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</si>
  <si>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</si>
  <si>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</si>
  <si>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</si>
  <si>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</si>
  <si>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</si>
  <si>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</si>
  <si>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</si>
  <si>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</si>
  <si>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</si>
  <si>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</si>
  <si>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</si>
  <si>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</si>
  <si>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</si>
  <si>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</si>
  <si>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</si>
  <si>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</si>
  <si>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</si>
  <si>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</si>
  <si>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</si>
  <si>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</si>
  <si>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</si>
  <si>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</si>
  <si>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</si>
  <si>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</si>
  <si>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</si>
  <si>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</si>
  <si>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</si>
  <si>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</si>
  <si>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</si>
  <si>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</si>
  <si>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</si>
  <si>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</si>
  <si>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</si>
  <si>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</si>
  <si>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</si>
  <si>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</si>
  <si>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</si>
  <si>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</si>
  <si>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</si>
  <si>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</si>
  <si>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</si>
  <si>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</si>
  <si>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</si>
  <si>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</si>
  <si>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</si>
  <si>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</si>
  <si>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</si>
  <si>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</si>
  <si>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</si>
  <si>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</si>
  <si>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</si>
  <si>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</si>
  <si>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</si>
  <si>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</si>
  <si>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</si>
  <si>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</si>
  <si>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</si>
  <si>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</si>
  <si>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</si>
  <si>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</si>
  <si>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</si>
  <si>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</si>
  <si>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</si>
  <si>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</si>
  <si>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</si>
  <si>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</si>
  <si>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</si>
  <si>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</si>
  <si>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</si>
  <si>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</si>
  <si>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</si>
  <si>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</si>
  <si>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</si>
  <si>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</si>
  <si>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</si>
  <si>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</si>
  <si>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</si>
  <si>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</si>
  <si>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</si>
  <si>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</si>
  <si>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</si>
  <si>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</si>
  <si>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</si>
  <si>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</si>
  <si>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</si>
  <si>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</si>
  <si>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</si>
  <si>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</si>
  <si>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</si>
  <si>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</si>
  <si>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</si>
  <si>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</si>
  <si>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</si>
  <si>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</si>
  <si>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</si>
  <si>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</si>
  <si>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</si>
  <si>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</si>
  <si>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</si>
  <si>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</si>
  <si>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</si>
  <si>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</si>
  <si>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</si>
  <si>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</si>
  <si>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</si>
  <si>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</si>
  <si>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</si>
  <si>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</si>
  <si>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</si>
  <si>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</si>
  <si>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</si>
  <si>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</si>
  <si>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</si>
  <si>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</si>
  <si>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</si>
  <si>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</si>
  <si>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</si>
  <si>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</si>
  <si>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</si>
  <si>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</si>
  <si>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</si>
  <si>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</si>
  <si>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</si>
  <si>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</si>
  <si>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</si>
  <si>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</si>
  <si>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</si>
  <si>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</si>
  <si>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</si>
  <si>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</si>
  <si>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</si>
  <si>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</si>
  <si>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</si>
  <si>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</si>
  <si>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</si>
  <si>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</si>
  <si>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</si>
  <si>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</si>
  <si>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</si>
  <si>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</si>
  <si>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</si>
  <si>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</si>
  <si>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</si>
  <si>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</si>
  <si>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</si>
  <si>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</si>
  <si>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</si>
  <si>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</si>
  <si>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</si>
  <si>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</si>
  <si>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</si>
  <si>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</si>
  <si>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</si>
  <si>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</si>
  <si>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</si>
  <si>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</si>
  <si>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</si>
  <si>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</si>
  <si>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</si>
  <si>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</si>
  <si>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</si>
  <si>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</si>
  <si>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</si>
  <si>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</si>
  <si>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</si>
  <si>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</si>
  <si>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</si>
  <si>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</si>
  <si>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</si>
  <si>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</si>
  <si>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</si>
  <si>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</si>
  <si>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</si>
  <si>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</si>
  <si>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</si>
  <si>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</si>
  <si>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</si>
  <si>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</si>
  <si>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</si>
  <si>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</si>
  <si>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</si>
  <si>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</si>
  <si>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</si>
  <si>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</si>
  <si>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</si>
  <si>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</si>
  <si>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</si>
  <si>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</si>
  <si>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</si>
  <si>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</si>
  <si>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</si>
  <si>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</si>
  <si>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</si>
  <si>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</si>
  <si>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</si>
  <si>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</si>
  <si>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</si>
  <si>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</si>
  <si>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</si>
  <si>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</si>
  <si>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</si>
  <si>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</si>
  <si>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</si>
  <si>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</si>
  <si>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</si>
  <si>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</si>
  <si>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</si>
  <si>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</si>
  <si>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</si>
  <si>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</si>
  <si>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</si>
  <si>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</si>
  <si>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</si>
  <si>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</si>
  <si>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</si>
  <si>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</si>
  <si>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</si>
  <si>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</si>
  <si>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</si>
  <si>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</si>
  <si>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</si>
  <si>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</si>
  <si>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</si>
  <si>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</si>
  <si>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</si>
  <si>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</si>
  <si>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</si>
  <si>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</si>
  <si>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</si>
  <si>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</si>
  <si>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</si>
  <si>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</si>
  <si>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</si>
  <si>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</si>
  <si>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</si>
  <si>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</si>
  <si>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</si>
  <si>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</si>
  <si>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</si>
  <si>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</si>
  <si>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</si>
  <si>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</si>
  <si>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</si>
  <si>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</si>
  <si>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</si>
  <si>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</si>
  <si>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</si>
  <si>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</si>
  <si>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</si>
  <si>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</si>
  <si>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</si>
  <si>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</si>
  <si>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</si>
  <si>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</si>
  <si>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</si>
  <si>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</si>
  <si>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</si>
  <si>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</si>
  <si>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</si>
  <si>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</si>
  <si>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</si>
  <si>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</si>
  <si>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</si>
  <si>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</si>
  <si>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</si>
  <si>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</si>
  <si>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</si>
  <si>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</si>
  <si>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</si>
  <si>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</si>
  <si>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</si>
  <si>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</si>
  <si>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</si>
  <si>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</si>
  <si>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</si>
  <si>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</si>
  <si>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</si>
  <si>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</si>
  <si>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</si>
  <si>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</si>
  <si>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</si>
  <si>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</si>
  <si>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</si>
  <si>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</si>
  <si>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</si>
  <si>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</si>
  <si>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</si>
  <si>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</si>
  <si>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</si>
  <si>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</si>
  <si>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</si>
  <si>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</si>
  <si>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</si>
  <si>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</si>
  <si>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</si>
  <si>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</si>
  <si>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</si>
  <si>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</si>
  <si>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</si>
  <si>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</si>
  <si>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</si>
  <si>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</si>
  <si>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</si>
  <si>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</si>
  <si>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</si>
  <si>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</si>
  <si>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</si>
  <si>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</si>
  <si>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</si>
  <si>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</si>
  <si>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</si>
  <si>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</si>
  <si>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</si>
  <si>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</si>
  <si>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</si>
  <si>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</si>
  <si>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</si>
  <si>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</si>
  <si>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</si>
  <si>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</si>
  <si>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</si>
  <si>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</si>
  <si>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</si>
  <si>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</si>
  <si>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</si>
  <si>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</si>
  <si>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</si>
  <si>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</si>
  <si>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</si>
  <si>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</si>
  <si>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</si>
  <si>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</si>
  <si>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</si>
  <si>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</si>
  <si>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</si>
  <si>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</si>
  <si>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</si>
  <si>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</si>
  <si>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</si>
  <si>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</si>
  <si>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</si>
  <si>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</si>
  <si>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</si>
  <si>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</si>
  <si>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</si>
  <si>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</si>
  <si>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</si>
  <si>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</si>
  <si>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</si>
  <si>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</si>
  <si>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</si>
  <si>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</si>
  <si>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</si>
  <si>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</si>
  <si>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</si>
  <si>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</si>
  <si>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</si>
  <si>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</si>
  <si>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</si>
  <si>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</si>
  <si>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</si>
  <si>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</si>
  <si>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</si>
  <si>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</si>
  <si>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</si>
  <si>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</si>
  <si>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</si>
  <si>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</si>
  <si>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</si>
  <si>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</si>
  <si>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</si>
  <si>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</si>
  <si>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</si>
  <si>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</si>
  <si>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</si>
  <si>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</si>
  <si>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</si>
  <si>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</si>
  <si>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</si>
  <si>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</si>
  <si>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</si>
  <si>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</si>
  <si>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</si>
  <si>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</si>
  <si>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</si>
  <si>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</si>
  <si>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</si>
  <si>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</si>
  <si>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</si>
  <si>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</si>
  <si>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</si>
  <si>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</si>
  <si>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</si>
  <si>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</si>
  <si>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</si>
  <si>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</si>
  <si>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</si>
  <si>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</si>
  <si>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</si>
  <si>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</si>
  <si>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</si>
  <si>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</si>
  <si>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</si>
  <si>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</si>
  <si>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</si>
  <si>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</si>
  <si>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</si>
  <si>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</si>
  <si>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</si>
  <si>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</si>
  <si>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</si>
  <si>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</si>
  <si>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</si>
  <si>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</si>
  <si>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</si>
  <si>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</si>
  <si>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</si>
  <si>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</si>
  <si>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</si>
  <si>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</si>
  <si>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</si>
  <si>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</si>
  <si>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</si>
  <si>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</si>
  <si>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</si>
  <si>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</si>
  <si>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</si>
  <si>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</si>
  <si>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</si>
  <si>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</si>
  <si>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</si>
  <si>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</si>
  <si>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</si>
  <si>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</si>
  <si>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</si>
  <si>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</si>
  <si>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</si>
  <si>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</si>
  <si>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</si>
  <si>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</si>
  <si>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</si>
  <si>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</si>
  <si>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</si>
  <si>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</si>
  <si>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</si>
  <si>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</si>
  <si>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</si>
  <si>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</si>
  <si>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</si>
  <si>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</si>
  <si>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</si>
  <si>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</si>
  <si>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</si>
  <si>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</si>
  <si>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</si>
  <si>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</si>
  <si>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</si>
  <si>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</si>
  <si>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</si>
  <si>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</si>
  <si>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</si>
  <si>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</si>
  <si>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</si>
  <si>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</si>
  <si>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</si>
  <si>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</si>
  <si>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</si>
  <si>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</si>
  <si>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</si>
  <si>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</si>
  <si>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</si>
  <si>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</si>
  <si>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</si>
  <si>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</si>
  <si>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</si>
  <si>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</si>
  <si>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</si>
  <si>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</si>
  <si>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</si>
  <si>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</si>
  <si>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</si>
  <si>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</si>
  <si>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</si>
  <si>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</si>
  <si>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</si>
  <si>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</si>
  <si>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</si>
  <si>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</si>
  <si>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</si>
  <si>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</si>
  <si>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</si>
  <si>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</si>
  <si>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</si>
  <si>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</si>
  <si>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</si>
  <si>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</si>
  <si>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</si>
  <si>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</si>
  <si>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</si>
  <si>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</si>
  <si>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</si>
  <si>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</si>
  <si>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</si>
  <si>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</si>
  <si>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</si>
  <si>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</si>
  <si>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</si>
  <si>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</si>
  <si>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</si>
  <si>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</si>
  <si>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</si>
  <si>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</si>
  <si>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</si>
  <si>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</si>
  <si>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</si>
  <si>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</si>
  <si>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</si>
  <si>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</si>
  <si>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</si>
  <si>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</si>
  <si>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</si>
  <si>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</si>
  <si>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</si>
  <si>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</si>
  <si>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</si>
  <si>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</si>
  <si>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</si>
  <si>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</si>
  <si>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</si>
  <si>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</si>
  <si>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</si>
  <si>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</si>
  <si>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</si>
  <si>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</si>
  <si>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</si>
  <si>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</si>
  <si>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</si>
  <si>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</si>
  <si>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</si>
  <si>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</si>
  <si>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</si>
  <si>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</si>
  <si>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</si>
  <si>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</si>
  <si>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</si>
  <si>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</si>
  <si>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</si>
  <si>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</si>
  <si>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</si>
  <si>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</si>
  <si>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</si>
  <si>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</si>
  <si>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</si>
  <si>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</si>
  <si>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</si>
  <si>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</si>
  <si>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</si>
  <si>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</si>
  <si>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</si>
  <si>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</si>
  <si>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</si>
  <si>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</si>
  <si>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</si>
  <si>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</si>
  <si>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</si>
  <si>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</si>
  <si>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</si>
  <si>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</si>
  <si>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</si>
  <si>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</si>
  <si>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</si>
  <si>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</si>
  <si>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</si>
  <si>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</si>
  <si>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</si>
  <si>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</si>
  <si>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</si>
  <si>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</si>
  <si>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</si>
  <si>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</si>
  <si>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</si>
  <si>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</si>
  <si>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</si>
  <si>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</si>
  <si>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</si>
  <si>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</si>
  <si>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</si>
  <si>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</si>
  <si>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</si>
  <si>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</si>
  <si>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</si>
  <si>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</si>
  <si>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</si>
  <si>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</si>
  <si>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</si>
  <si>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</si>
  <si>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</si>
  <si>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</si>
  <si>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</si>
  <si>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</si>
  <si>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</si>
  <si>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</si>
  <si>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</si>
  <si>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</si>
  <si>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</si>
  <si>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</si>
  <si>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</si>
  <si>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</si>
  <si>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</si>
  <si>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</si>
  <si>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</si>
  <si>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</si>
  <si>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</si>
  <si>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</si>
  <si>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</si>
  <si>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</si>
  <si>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</si>
  <si>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</si>
  <si>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</si>
  <si>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</si>
  <si>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</si>
  <si>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</si>
  <si>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</si>
  <si>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</si>
  <si>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</si>
  <si>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</si>
  <si>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</si>
  <si>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</si>
  <si>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</si>
  <si>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</si>
  <si>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</si>
  <si>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</si>
  <si>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</si>
  <si>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</si>
  <si>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</si>
  <si>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</si>
  <si>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</si>
  <si>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</si>
  <si>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</si>
  <si>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</si>
  <si>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</si>
  <si>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</si>
  <si>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</si>
  <si>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</si>
  <si>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</si>
  <si>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</si>
  <si>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</si>
  <si>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</si>
  <si>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</si>
  <si>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</si>
  <si>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</si>
  <si>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</si>
  <si>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</si>
  <si>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</si>
  <si>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</si>
  <si>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</si>
  <si>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</si>
  <si>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</si>
  <si>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</si>
  <si>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</si>
  <si>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</si>
  <si>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</si>
  <si>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</si>
  <si>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</si>
  <si>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</si>
  <si>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</si>
  <si>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</si>
  <si>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</si>
  <si>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</si>
  <si>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</si>
  <si>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</si>
  <si>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</si>
  <si>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</si>
  <si>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</si>
  <si>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</si>
  <si>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</si>
  <si>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</si>
  <si>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</si>
  <si>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</si>
  <si>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</si>
  <si>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</si>
  <si>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</si>
  <si>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</si>
  <si>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</si>
  <si>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</si>
  <si>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</si>
  <si>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</si>
  <si>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</si>
  <si>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</si>
  <si>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</si>
  <si>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</si>
  <si>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</si>
  <si>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</si>
  <si>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</si>
  <si>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</si>
  <si>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</si>
  <si>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</si>
  <si>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</si>
  <si>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</si>
  <si>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</si>
  <si>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</si>
  <si>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</si>
  <si>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</si>
  <si>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</si>
  <si>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</si>
  <si>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</si>
  <si>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</si>
  <si>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</si>
  <si>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</si>
  <si>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</si>
  <si>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</si>
  <si>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</si>
  <si>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</si>
  <si>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</si>
  <si>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</si>
  <si>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</si>
  <si>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</si>
  <si>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</si>
  <si>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</si>
  <si>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</si>
  <si>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</si>
  <si>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</si>
  <si>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</si>
  <si>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</si>
  <si>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</si>
  <si>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</si>
  <si>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</si>
  <si>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</si>
  <si>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</si>
  <si>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</si>
  <si>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</si>
  <si>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</si>
  <si>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</si>
  <si>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</si>
  <si>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</si>
  <si>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</si>
  <si>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</si>
  <si>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</si>
  <si>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</si>
  <si>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</si>
  <si>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</si>
  <si>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</si>
  <si>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</si>
  <si>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</si>
  <si>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</si>
  <si>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</si>
  <si>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</si>
  <si>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</si>
  <si>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</si>
  <si>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</si>
  <si>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</si>
  <si>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</si>
  <si>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</si>
  <si>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</si>
  <si>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</si>
  <si>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</si>
  <si>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</si>
  <si>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</si>
  <si>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</si>
  <si>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</si>
  <si>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</si>
  <si>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</si>
  <si>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</si>
  <si>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</si>
  <si>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</si>
  <si>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</si>
  <si>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</si>
  <si>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</si>
  <si>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</si>
  <si>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</si>
  <si>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</si>
  <si>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</si>
  <si>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</si>
  <si>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</si>
  <si>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</si>
  <si>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</si>
  <si>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</si>
  <si>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</si>
  <si>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</si>
  <si>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</si>
  <si>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</si>
  <si>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</si>
  <si>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</si>
  <si>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</si>
  <si>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</si>
  <si>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</si>
  <si>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</si>
  <si>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</si>
  <si>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</si>
  <si>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</si>
  <si>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</si>
  <si>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</si>
  <si>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</si>
  <si>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</si>
  <si>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</si>
  <si>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</si>
  <si>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</si>
  <si>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</si>
  <si>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</si>
  <si>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</si>
  <si>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</si>
  <si>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</si>
  <si>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</si>
  <si>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</si>
  <si>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</si>
  <si>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</si>
  <si>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</si>
  <si>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</si>
  <si>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</si>
  <si>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</si>
  <si>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</si>
  <si>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</si>
  <si>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</si>
  <si>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</si>
  <si>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</si>
  <si>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</si>
  <si>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</si>
  <si>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</si>
  <si>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</si>
  <si>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</si>
  <si>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</si>
  <si>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</si>
  <si>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</si>
  <si>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</si>
  <si>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</si>
  <si>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</si>
  <si>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</si>
  <si>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</si>
  <si>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</si>
  <si>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</si>
  <si>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</si>
  <si>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</si>
  <si>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</si>
  <si>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</si>
  <si>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</si>
  <si>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</si>
  <si>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</si>
  <si>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</si>
  <si>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</si>
  <si>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</si>
  <si>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</si>
  <si>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</si>
  <si>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</si>
  <si>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</si>
  <si>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</si>
  <si>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</si>
  <si>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</si>
  <si>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</si>
  <si>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</si>
  <si>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</si>
  <si>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</si>
  <si>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</si>
  <si>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</si>
  <si>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</si>
  <si>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</si>
  <si>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</si>
  <si>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</si>
  <si>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</si>
  <si>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</si>
  <si>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</si>
  <si>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</si>
  <si>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</si>
  <si>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</si>
  <si>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</si>
  <si>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</si>
  <si>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</si>
  <si>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</si>
  <si>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</si>
  <si>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</si>
  <si>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</si>
  <si>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</si>
  <si>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</si>
  <si>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</si>
  <si>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</si>
  <si>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</si>
  <si>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</si>
  <si>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</si>
  <si>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</si>
  <si>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</si>
  <si>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</si>
  <si>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</si>
  <si>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</si>
  <si>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</si>
  <si>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</si>
  <si>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</si>
  <si>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</si>
  <si>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</si>
  <si>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</si>
  <si>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</si>
  <si>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</si>
  <si>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</si>
  <si>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</si>
  <si>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</si>
  <si>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</si>
  <si>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</si>
  <si>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</si>
  <si>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</si>
  <si>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</si>
  <si>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</si>
  <si>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</si>
  <si>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</si>
  <si>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</si>
  <si>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</si>
  <si>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</si>
  <si>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</si>
  <si>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</si>
  <si>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</si>
  <si>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</si>
  <si>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</si>
  <si>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</si>
  <si>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</si>
  <si>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</si>
  <si>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</si>
  <si>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</si>
  <si>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</si>
  <si>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</si>
  <si>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</si>
  <si>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</si>
  <si>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</si>
  <si>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</si>
  <si>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</si>
  <si>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</si>
  <si>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</si>
  <si>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</si>
  <si>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</si>
  <si>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</si>
  <si>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</si>
  <si>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</si>
  <si>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</si>
  <si>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</si>
  <si>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</si>
  <si>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</si>
  <si>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</si>
  <si>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</si>
  <si>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</si>
  <si>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</si>
  <si>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</si>
  <si>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</si>
  <si>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</si>
  <si>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</si>
  <si>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</si>
  <si>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</si>
  <si>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</si>
  <si>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</si>
  <si>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</si>
  <si>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</si>
  <si>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</si>
  <si>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</si>
  <si>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</si>
  <si>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</si>
  <si>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</si>
  <si>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</si>
  <si>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</si>
  <si>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</si>
  <si>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</si>
  <si>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</si>
  <si>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</si>
  <si>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</si>
  <si>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</si>
  <si>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</si>
  <si>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</si>
  <si>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</si>
  <si>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</si>
  <si>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</si>
  <si>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</si>
  <si>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</si>
  <si>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</si>
  <si>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</si>
  <si>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</si>
  <si>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</si>
  <si>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</si>
  <si>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</si>
  <si>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</si>
  <si>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</si>
  <si>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</si>
  <si>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</si>
  <si>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</si>
  <si>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</si>
  <si>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</si>
  <si>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</si>
  <si>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</si>
  <si>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</si>
  <si>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</si>
  <si>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</si>
  <si>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</si>
  <si>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</si>
  <si>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</si>
  <si>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</si>
  <si>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</si>
  <si>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</si>
  <si>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</si>
  <si>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</si>
  <si>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</si>
  <si>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</si>
  <si>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</si>
  <si>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</si>
  <si>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</si>
  <si>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</si>
  <si>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</si>
  <si>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</si>
  <si>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</si>
  <si>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</si>
  <si>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</si>
  <si>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</si>
  <si>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</si>
  <si>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</si>
  <si>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</si>
  <si>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</si>
  <si>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</si>
  <si>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</si>
  <si>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</si>
  <si>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</si>
  <si>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</si>
  <si>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</si>
  <si>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</si>
  <si>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</si>
  <si>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</si>
  <si>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</si>
  <si>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</si>
  <si>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</si>
  <si>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</si>
  <si>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</si>
  <si>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</si>
  <si>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</si>
  <si>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</si>
  <si>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</si>
  <si>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</si>
  <si>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</si>
  <si>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</si>
  <si>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</si>
  <si>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</si>
  <si>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</si>
  <si>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</si>
  <si>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</si>
  <si>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</si>
  <si>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</si>
  <si>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</si>
  <si>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</si>
  <si>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</si>
  <si>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</si>
  <si>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</si>
  <si>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</si>
  <si>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</si>
  <si>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</si>
  <si>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</si>
  <si>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</si>
  <si>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</si>
  <si>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</si>
  <si>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</si>
  <si>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</si>
  <si>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</si>
  <si>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</si>
  <si>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</si>
  <si>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</si>
  <si>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</si>
  <si>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</si>
  <si>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</si>
  <si>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</si>
  <si>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</si>
  <si>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</si>
  <si>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</si>
  <si>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</si>
  <si>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</si>
  <si>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</si>
  <si>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</si>
  <si>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</si>
  <si>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</si>
  <si>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</si>
  <si>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</si>
  <si>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</si>
  <si>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</si>
  <si>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</si>
  <si>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</si>
  <si>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</si>
  <si>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</si>
  <si>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</si>
  <si>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</si>
  <si>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</si>
  <si>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</si>
  <si>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</si>
  <si>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</si>
  <si>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</si>
  <si>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</si>
  <si>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</si>
  <si>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</si>
  <si>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</si>
  <si>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</si>
  <si>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</si>
  <si>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</si>
  <si>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</si>
  <si>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</si>
  <si>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</si>
  <si>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</si>
  <si>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</si>
  <si>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</si>
  <si>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</si>
  <si>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</si>
  <si>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</si>
  <si>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</si>
  <si>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</si>
  <si>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</si>
  <si>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</si>
  <si>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</si>
  <si>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</si>
  <si>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</si>
  <si>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</si>
  <si>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</si>
  <si>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</si>
  <si>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</si>
  <si>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</si>
  <si>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</si>
  <si>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</si>
  <si>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</si>
  <si>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</si>
  <si>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</si>
  <si>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</si>
  <si>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</si>
  <si>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</si>
  <si>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</si>
  <si>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</si>
  <si>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</si>
  <si>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</si>
  <si>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</si>
  <si>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</si>
  <si>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</si>
  <si>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</si>
  <si>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</si>
  <si>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</si>
  <si>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</si>
  <si>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</si>
  <si>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</si>
  <si>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</si>
  <si>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</si>
  <si>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</si>
  <si>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</si>
  <si>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</si>
  <si>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</si>
  <si>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</si>
  <si>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</si>
  <si>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</si>
  <si>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</si>
  <si>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</si>
  <si>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</si>
  <si>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</si>
  <si>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</si>
  <si>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</si>
  <si>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</si>
  <si>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</si>
  <si>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</si>
  <si>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</si>
  <si>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</si>
  <si>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</si>
  <si>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</si>
  <si>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</si>
  <si>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</si>
  <si>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</si>
  <si>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</si>
  <si>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</si>
  <si>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</si>
  <si>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</si>
  <si>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</si>
  <si>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</si>
  <si>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</si>
  <si>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</si>
  <si>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</si>
  <si>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</si>
  <si>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</si>
  <si>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</si>
  <si>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</si>
  <si>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</si>
  <si>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</si>
  <si>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</si>
  <si>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</si>
  <si>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</si>
  <si>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</si>
  <si>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</si>
  <si>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</si>
  <si>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</si>
  <si>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</si>
  <si>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</si>
  <si>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</si>
  <si>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</si>
  <si>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</si>
  <si>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</si>
  <si>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</si>
  <si>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</si>
  <si>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</si>
  <si>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</si>
  <si>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</si>
  <si>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</si>
  <si>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</si>
  <si>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</si>
  <si>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</si>
  <si>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</si>
  <si>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</si>
  <si>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</si>
  <si>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</si>
  <si>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</si>
  <si>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</si>
  <si>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</si>
  <si>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</si>
  <si>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</si>
  <si>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</si>
  <si>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</si>
  <si>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</si>
  <si>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</si>
  <si>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</si>
  <si>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</si>
  <si>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</si>
  <si>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</si>
  <si>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</si>
  <si>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</si>
  <si>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</si>
  <si>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</si>
  <si>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</si>
  <si>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</si>
  <si>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</si>
  <si>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</si>
  <si>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</si>
  <si>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</si>
  <si>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</si>
  <si>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</si>
  <si>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</si>
  <si>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</si>
  <si>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</si>
  <si>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</si>
  <si>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</si>
  <si>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</si>
  <si>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</si>
  <si>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</si>
  <si>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</si>
  <si>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</si>
  <si>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</si>
  <si>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</si>
  <si>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</si>
  <si>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</si>
  <si>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</si>
  <si>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</si>
  <si>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</si>
  <si>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</si>
  <si>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</si>
  <si>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</si>
  <si>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</si>
  <si>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</si>
  <si>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</si>
  <si>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</si>
  <si>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</si>
  <si>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</si>
  <si>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</si>
  <si>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</si>
  <si>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</si>
  <si>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</si>
  <si>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</si>
  <si>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</si>
  <si>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</si>
  <si>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</si>
  <si>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</si>
  <si>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</si>
  <si>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</si>
  <si>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</si>
  <si>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</si>
  <si>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</si>
  <si>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</si>
  <si>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</si>
  <si>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</si>
  <si>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</si>
  <si>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</si>
  <si>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</si>
  <si>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</si>
  <si>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</si>
  <si>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</si>
  <si>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</si>
  <si>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</si>
  <si>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</si>
  <si>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</si>
  <si>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</si>
  <si>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</si>
  <si>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</si>
  <si>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</si>
  <si>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</si>
  <si>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</si>
  <si>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</si>
  <si>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</si>
  <si>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</si>
  <si>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</si>
  <si>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</si>
  <si>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</si>
  <si>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</si>
  <si>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</si>
  <si>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</si>
  <si>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</si>
  <si>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</si>
  <si>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</si>
  <si>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</si>
  <si>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</si>
  <si>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</si>
  <si>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</si>
  <si>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</si>
  <si>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</si>
  <si>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</si>
  <si>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</si>
  <si>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</si>
  <si>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</si>
  <si>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</si>
  <si>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</si>
  <si>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</si>
  <si>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</si>
  <si>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</si>
  <si>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</si>
  <si>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</si>
  <si>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</si>
  <si>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</si>
  <si>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</si>
  <si>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</si>
  <si>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</si>
  <si>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</si>
  <si>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</si>
  <si>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</si>
  <si>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</si>
  <si>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</si>
  <si>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</si>
  <si>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</si>
  <si>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</si>
  <si>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</si>
  <si>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</si>
  <si>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</si>
  <si>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</si>
  <si>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</si>
  <si>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</si>
  <si>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</si>
  <si>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</si>
  <si>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</si>
  <si>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</si>
  <si>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</si>
  <si>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</si>
  <si>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</si>
  <si>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</si>
  <si>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</si>
  <si>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</si>
  <si>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</si>
  <si>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</si>
  <si>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</si>
  <si>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</si>
  <si>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</si>
  <si>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</si>
  <si>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</si>
  <si>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</si>
  <si>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</si>
  <si>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</si>
  <si>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</si>
  <si>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</si>
  <si>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</si>
  <si>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</si>
  <si>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</si>
  <si>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</si>
  <si>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</si>
  <si>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</si>
  <si>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</si>
  <si>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</si>
  <si>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</si>
  <si>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</si>
  <si>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</si>
  <si>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</si>
  <si>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</si>
  <si>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</si>
  <si>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</si>
  <si>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</si>
  <si>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</si>
  <si>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</si>
  <si>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</si>
  <si>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</si>
  <si>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</si>
  <si>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</si>
  <si>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</si>
  <si>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</si>
  <si>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</si>
  <si>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</si>
  <si>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</si>
  <si>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</si>
  <si>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</si>
  <si>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</si>
  <si>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</si>
  <si>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</si>
  <si>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</si>
  <si>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</si>
  <si>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</si>
  <si>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</si>
  <si>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</si>
  <si>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</si>
  <si>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</si>
  <si>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</si>
  <si>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</si>
  <si>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</si>
  <si>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</si>
  <si>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</si>
  <si>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</si>
  <si>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</si>
  <si>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</si>
  <si>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</si>
  <si>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</si>
  <si>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</si>
  <si>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</si>
  <si>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</si>
  <si>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</si>
  <si>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</si>
  <si>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</si>
  <si>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</si>
  <si>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</si>
  <si>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</si>
  <si>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</si>
  <si>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</si>
  <si>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</si>
  <si>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</si>
  <si>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</si>
  <si>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</si>
  <si>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</si>
  <si>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</si>
  <si>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</si>
  <si>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</si>
  <si>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</si>
  <si>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</si>
  <si>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</si>
  <si>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</si>
  <si>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</si>
  <si>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</si>
  <si>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</si>
  <si>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</si>
  <si>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</si>
  <si>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</si>
  <si>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</si>
  <si>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</si>
  <si>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</si>
  <si>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</si>
  <si>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</si>
  <si>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</si>
  <si>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</si>
  <si>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</si>
  <si>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</si>
  <si>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</si>
  <si>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</si>
  <si>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</si>
  <si>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</si>
  <si>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</si>
  <si>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</si>
  <si>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</si>
  <si>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</si>
  <si>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</si>
  <si>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</si>
  <si>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</si>
  <si>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</si>
  <si>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</si>
  <si>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</si>
  <si>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</si>
  <si>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</si>
  <si>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</si>
  <si>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</si>
  <si>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</si>
  <si>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</si>
  <si>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</si>
  <si>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</si>
  <si>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</si>
  <si>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</si>
  <si>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</si>
  <si>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</si>
  <si>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</si>
  <si>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</si>
  <si>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</si>
  <si>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</si>
  <si>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</si>
  <si>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</si>
  <si>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</si>
  <si>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</si>
  <si>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</si>
  <si>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</si>
  <si>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</si>
  <si>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</si>
  <si>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</si>
  <si>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</si>
  <si>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</si>
  <si>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</si>
  <si>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</si>
  <si>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</si>
  <si>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</si>
  <si>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</si>
  <si>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</si>
  <si>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</si>
  <si>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</si>
  <si>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</si>
  <si>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</si>
  <si>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</si>
  <si>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</si>
  <si>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</si>
  <si>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</si>
  <si>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</si>
  <si>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</si>
  <si>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</si>
  <si>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</si>
  <si>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</si>
  <si>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</si>
  <si>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</si>
  <si>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</si>
  <si>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</si>
  <si>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</si>
  <si>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</si>
  <si>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</si>
  <si>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</si>
  <si>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</si>
  <si>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</si>
  <si>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</si>
  <si>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</si>
  <si>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</si>
  <si>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</si>
  <si>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</si>
  <si>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</si>
  <si>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</si>
  <si>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</si>
  <si>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</si>
  <si>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</si>
  <si>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</si>
  <si>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</si>
  <si>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</si>
  <si>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</si>
  <si>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</si>
  <si>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</si>
  <si>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</si>
  <si>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</si>
  <si>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</si>
  <si>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</si>
  <si>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</si>
  <si>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</si>
  <si>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</si>
  <si>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</si>
  <si>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</si>
  <si>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</si>
  <si>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</si>
  <si>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</si>
  <si>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</si>
  <si>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</si>
  <si>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</si>
  <si>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</si>
  <si>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</si>
  <si>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</si>
  <si>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</si>
  <si>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</si>
  <si>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</si>
  <si>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</si>
  <si>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</si>
  <si>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</si>
  <si>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</si>
  <si>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</si>
  <si>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</si>
  <si>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</si>
  <si>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</si>
  <si>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</si>
  <si>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</si>
  <si>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</si>
  <si>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</si>
  <si>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</si>
  <si>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</si>
  <si>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</si>
  <si>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</si>
  <si>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</si>
  <si>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</si>
  <si>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</si>
  <si>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</si>
  <si>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</si>
  <si>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</si>
  <si>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</si>
  <si>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</si>
  <si>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</si>
  <si>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</si>
  <si>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</si>
  <si>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</si>
  <si>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</si>
  <si>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</si>
  <si>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</si>
  <si>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</si>
  <si>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</si>
  <si>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</si>
  <si>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</si>
  <si>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</si>
  <si>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</si>
  <si>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</si>
  <si>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</si>
  <si>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</si>
  <si>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</si>
  <si>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</si>
  <si>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</si>
  <si>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</si>
  <si>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</si>
  <si>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</si>
  <si>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</si>
  <si>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</si>
  <si>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</si>
  <si>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</si>
  <si>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</si>
  <si>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</si>
  <si>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</si>
  <si>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</si>
  <si>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</si>
  <si>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</si>
  <si>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</si>
  <si>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</si>
  <si>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</si>
  <si>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</si>
  <si>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</si>
  <si>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</si>
  <si>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</si>
  <si>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</si>
  <si>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</si>
  <si>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</si>
  <si>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</si>
  <si>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</si>
  <si>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</si>
  <si>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</si>
  <si>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</si>
  <si>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</si>
  <si>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</si>
  <si>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</si>
  <si>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</si>
  <si>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</si>
  <si>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</si>
  <si>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</si>
  <si>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</si>
  <si>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</si>
  <si>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</si>
  <si>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</si>
  <si>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</si>
  <si>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</si>
  <si>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</si>
  <si>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</si>
  <si>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</si>
  <si>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</si>
  <si>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</si>
  <si>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</si>
  <si>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</si>
  <si>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</si>
  <si>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</si>
  <si>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</si>
  <si>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</si>
  <si>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</si>
  <si>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</si>
  <si>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</si>
  <si>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</si>
  <si>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</si>
  <si>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</si>
  <si>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</si>
  <si>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</si>
  <si>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</si>
  <si>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</si>
  <si>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</si>
  <si>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</si>
  <si>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</si>
  <si>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</si>
  <si>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</si>
  <si>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</si>
  <si>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</si>
  <si>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</si>
  <si>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</si>
  <si>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</si>
  <si>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</si>
  <si>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</si>
  <si>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</si>
  <si>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</si>
  <si>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</si>
  <si>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</si>
  <si>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</si>
  <si>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</si>
  <si>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</si>
  <si>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</si>
  <si>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</si>
  <si>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</si>
  <si>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</si>
  <si>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</si>
  <si>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</si>
  <si>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</si>
  <si>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</si>
  <si>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</si>
  <si>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</si>
  <si>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</si>
  <si>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</si>
  <si>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</si>
  <si>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</si>
  <si>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</si>
  <si>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</si>
  <si>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</si>
  <si>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</si>
  <si>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</si>
  <si>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</si>
  <si>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</si>
  <si>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</si>
  <si>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</si>
  <si>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</si>
  <si>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</si>
  <si>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</si>
  <si>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</si>
  <si>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</si>
  <si>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</si>
  <si>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</si>
  <si>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</si>
  <si>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</si>
  <si>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</si>
  <si>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</si>
  <si>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</si>
  <si>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</si>
  <si>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</si>
  <si>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</si>
  <si>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</si>
  <si>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</si>
  <si>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</si>
  <si>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</si>
  <si>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</si>
  <si>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</si>
  <si>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</si>
  <si>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</si>
  <si>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</si>
  <si>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</si>
  <si>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</si>
  <si>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</si>
  <si>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</si>
  <si>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</si>
  <si>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</si>
  <si>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</si>
  <si>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</si>
  <si>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</si>
  <si>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</si>
  <si>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</si>
  <si>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</si>
  <si>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</si>
  <si>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</si>
  <si>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</si>
  <si>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</si>
  <si>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</si>
  <si>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</si>
  <si>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</si>
  <si>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</si>
  <si>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</si>
  <si>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</si>
  <si>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</si>
  <si>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</si>
  <si>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</si>
  <si>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</si>
  <si>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</si>
  <si>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</si>
  <si>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</si>
  <si>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</si>
  <si>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</si>
  <si>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</si>
  <si>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</si>
  <si>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</si>
  <si>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</si>
  <si>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</si>
  <si>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</si>
  <si>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</si>
  <si>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</si>
  <si>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</si>
  <si>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</si>
  <si>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</si>
  <si>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</si>
  <si>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</si>
  <si>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</si>
  <si>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</si>
  <si>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</si>
  <si>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</si>
  <si>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</si>
  <si>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</si>
  <si>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</si>
  <si>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</si>
  <si>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</si>
  <si>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</si>
  <si>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</si>
  <si>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</si>
  <si>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</si>
  <si>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</si>
  <si>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</si>
  <si>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</si>
  <si>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</si>
  <si>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</si>
  <si>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</si>
  <si>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</si>
  <si>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</si>
  <si>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</si>
  <si>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</si>
  <si>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</si>
  <si>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</si>
  <si>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</si>
  <si>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</si>
  <si>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</si>
  <si>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</si>
  <si>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</si>
  <si>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</si>
  <si>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</si>
  <si>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</si>
  <si>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</si>
  <si>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</si>
  <si>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</si>
  <si>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</si>
  <si>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</si>
  <si>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</si>
  <si>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</si>
  <si>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</si>
  <si>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</si>
  <si>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</si>
  <si>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</si>
  <si>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</si>
  <si>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</si>
  <si>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</si>
  <si>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</si>
  <si>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</si>
  <si>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</si>
  <si>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</si>
  <si>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</si>
  <si>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</si>
  <si>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</si>
  <si>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</si>
  <si>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</si>
  <si>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</si>
  <si>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</si>
  <si>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</si>
  <si>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</si>
  <si>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</si>
  <si>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</si>
  <si>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</si>
  <si>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</si>
  <si>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</si>
  <si>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</si>
  <si>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</si>
  <si>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</si>
  <si>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</si>
  <si>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</si>
  <si>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</si>
  <si>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</si>
  <si>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</si>
  <si>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</si>
  <si>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</si>
  <si>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</si>
  <si>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</si>
  <si>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</si>
  <si>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</si>
  <si>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</si>
  <si>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</si>
  <si>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</si>
  <si>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</si>
  <si>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</si>
  <si>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</si>
  <si>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</si>
  <si>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</si>
  <si>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</si>
  <si>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</si>
  <si>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</si>
  <si>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</si>
  <si>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</si>
  <si>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</si>
  <si>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</si>
  <si>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</si>
  <si>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</si>
  <si>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</si>
  <si>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</si>
  <si>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</si>
  <si>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</si>
  <si>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</si>
  <si>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</si>
  <si>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</si>
  <si>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</si>
  <si>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</si>
  <si>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</si>
  <si>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</si>
  <si>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</si>
  <si>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</si>
  <si>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</si>
  <si>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</si>
  <si>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</si>
  <si>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</si>
  <si>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</si>
  <si>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</si>
  <si>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</si>
  <si>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</si>
  <si>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</si>
  <si>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</si>
  <si>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</si>
  <si>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</si>
  <si>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</si>
  <si>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</si>
  <si>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</si>
  <si>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</si>
  <si>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</si>
  <si>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</si>
  <si>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</si>
  <si>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</si>
  <si>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</si>
  <si>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</si>
  <si>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</si>
  <si>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</si>
  <si>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</si>
  <si>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</si>
  <si>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</si>
  <si>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</si>
  <si>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</si>
  <si>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</si>
  <si>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</si>
  <si>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</si>
  <si>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</si>
  <si>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</si>
  <si>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</si>
  <si>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</si>
  <si>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</si>
  <si>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</si>
  <si>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</si>
  <si>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</si>
  <si>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</si>
  <si>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</si>
  <si>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</si>
  <si>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</si>
  <si>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</si>
  <si>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</si>
  <si>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</si>
  <si>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</si>
  <si>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</si>
  <si>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</si>
  <si>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</si>
  <si>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</si>
  <si>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</si>
  <si>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</si>
  <si>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</si>
  <si>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</si>
  <si>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</si>
  <si>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</si>
  <si>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</si>
  <si>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</si>
  <si>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</si>
  <si>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</si>
  <si>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</si>
  <si>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</si>
  <si>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</si>
  <si>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</si>
  <si>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</si>
  <si>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</si>
  <si>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</si>
  <si>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</si>
  <si>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</si>
  <si>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</si>
  <si>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</si>
  <si>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</si>
  <si>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</si>
  <si>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</si>
  <si>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</si>
  <si>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</si>
  <si>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</si>
  <si>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</si>
  <si>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</si>
  <si>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</si>
  <si>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</si>
  <si>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</si>
  <si>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</si>
  <si>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</si>
  <si>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</si>
  <si>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</si>
  <si>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</si>
  <si>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</si>
  <si>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</si>
  <si>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</si>
  <si>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</si>
  <si>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</si>
  <si>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</si>
  <si>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</si>
  <si>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</si>
  <si>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</si>
  <si>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</si>
  <si>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</si>
  <si>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</si>
  <si>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</si>
  <si>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</si>
  <si>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</si>
  <si>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</si>
  <si>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</si>
  <si>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</si>
  <si>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</si>
  <si>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</si>
  <si>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</si>
  <si>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</si>
  <si>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</si>
  <si>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</si>
  <si>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</si>
  <si>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</si>
  <si>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</si>
  <si>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</si>
  <si>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</si>
  <si>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</si>
  <si>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</si>
  <si>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</si>
  <si>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</si>
  <si>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</si>
  <si>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</si>
  <si>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</si>
  <si>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</si>
  <si>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</si>
  <si>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</si>
  <si>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</si>
  <si>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</si>
  <si>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</si>
  <si>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</si>
  <si>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</si>
  <si>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</si>
  <si>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</si>
  <si>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</si>
  <si>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</si>
  <si>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</si>
  <si>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</si>
  <si>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</si>
  <si>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</si>
  <si>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</si>
  <si>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</si>
  <si>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</si>
  <si>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</si>
  <si>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</si>
  <si>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</si>
  <si>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</si>
  <si>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</si>
  <si>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</si>
  <si>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</si>
  <si>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</si>
  <si>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</si>
  <si>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</si>
  <si>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</si>
  <si>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</si>
  <si>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</si>
  <si>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</si>
  <si>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</si>
  <si>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</si>
  <si>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</si>
  <si>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</si>
  <si>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</si>
  <si>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</si>
  <si>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</si>
  <si>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</si>
  <si>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</si>
  <si>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</si>
  <si>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</si>
  <si>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</si>
  <si>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</si>
  <si>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</si>
  <si>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</si>
  <si>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</si>
  <si>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</si>
  <si>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</si>
  <si>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</si>
  <si>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</si>
  <si>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</si>
  <si>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</si>
  <si>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</si>
  <si>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</si>
  <si>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</si>
  <si>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</si>
  <si>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</si>
  <si>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</si>
  <si>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</si>
  <si>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</si>
  <si>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</si>
  <si>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</si>
  <si>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</si>
  <si>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</si>
  <si>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</si>
  <si>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</si>
  <si>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</si>
  <si>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</si>
  <si>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</si>
  <si>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</si>
  <si>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</si>
  <si>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</si>
  <si>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</si>
  <si>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</si>
  <si>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</si>
  <si>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</si>
  <si>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</si>
  <si>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</si>
  <si>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</si>
  <si>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</si>
  <si>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</si>
  <si>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</si>
  <si>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</si>
  <si>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</si>
  <si>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</si>
  <si>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</si>
  <si>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</si>
  <si>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</si>
  <si>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</si>
  <si>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</si>
  <si>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</si>
  <si>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</si>
  <si>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</si>
  <si>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</si>
  <si>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</si>
  <si>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</si>
  <si>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</si>
  <si>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</si>
  <si>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</si>
  <si>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</si>
  <si>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</si>
  <si>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</si>
  <si>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</si>
  <si>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</si>
  <si>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</si>
  <si>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</si>
  <si>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</si>
  <si>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</si>
  <si>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</si>
  <si>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</si>
  <si>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</si>
  <si>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</si>
  <si>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</si>
  <si>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</si>
  <si>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</si>
  <si>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</si>
  <si>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</si>
  <si>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</si>
  <si>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</si>
  <si>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</si>
  <si>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</si>
  <si>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</si>
  <si>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</si>
  <si>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</si>
  <si>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</si>
  <si>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</si>
  <si>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</si>
  <si>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</si>
  <si>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</si>
  <si>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</si>
  <si>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</si>
  <si>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</si>
  <si>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</si>
  <si>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</si>
  <si>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</si>
  <si>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</si>
  <si>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</si>
  <si>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</si>
  <si>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</si>
  <si>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</si>
  <si>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</si>
  <si>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</si>
  <si>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</si>
  <si>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</si>
  <si>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</si>
  <si>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</si>
  <si>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</si>
  <si>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</si>
  <si>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</si>
  <si>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</si>
  <si>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</si>
  <si>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</si>
  <si>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</si>
  <si>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</si>
  <si>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</si>
  <si>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</si>
  <si>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</si>
  <si>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</si>
  <si>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</si>
  <si>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</si>
  <si>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</si>
  <si>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</si>
  <si>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</si>
  <si>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</si>
  <si>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</si>
  <si>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</si>
  <si>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</si>
  <si>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</si>
  <si>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</si>
  <si>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</si>
  <si>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</si>
  <si>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</si>
  <si>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</si>
  <si>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</si>
  <si>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</si>
  <si>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</si>
  <si>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</si>
  <si>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</si>
  <si>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</si>
  <si>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</si>
  <si>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</si>
  <si>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</si>
  <si>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</si>
  <si>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</si>
  <si>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</si>
  <si>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</si>
  <si>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</si>
  <si>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</si>
  <si>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</si>
  <si>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</si>
  <si>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</si>
  <si>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</si>
  <si>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</si>
  <si>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</si>
  <si>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</si>
  <si>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</si>
  <si>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</si>
  <si>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</si>
  <si>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</si>
  <si>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</si>
  <si>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</si>
  <si>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</si>
  <si>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</si>
  <si>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</si>
  <si>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</si>
  <si>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</si>
  <si>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</si>
  <si>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</si>
  <si>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</si>
  <si>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</si>
  <si>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</si>
  <si>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</si>
  <si>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</si>
  <si>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</si>
  <si>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</si>
  <si>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</si>
  <si>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</si>
  <si>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</si>
  <si>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</si>
  <si>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</si>
  <si>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</si>
  <si>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</si>
  <si>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</si>
  <si>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</si>
  <si>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</si>
  <si>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</si>
  <si>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</si>
  <si>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</si>
  <si>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</si>
  <si>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</si>
  <si>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</si>
  <si>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</si>
  <si>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</si>
  <si>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</si>
  <si>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</si>
  <si>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</si>
  <si>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</si>
  <si>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</si>
  <si>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</si>
  <si>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</si>
  <si>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</si>
  <si>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</si>
  <si>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</si>
  <si>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</si>
  <si>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</si>
  <si>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</si>
  <si>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</si>
  <si>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</si>
  <si>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</si>
  <si>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</si>
  <si>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</si>
  <si>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</si>
  <si>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</si>
  <si>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</si>
  <si>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</si>
  <si>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</si>
  <si>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</si>
  <si>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</si>
  <si>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</si>
  <si>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</si>
  <si>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</si>
  <si>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</si>
  <si>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</si>
  <si>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</si>
  <si>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</si>
  <si>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</si>
  <si>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</si>
  <si>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</si>
  <si>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</si>
  <si>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</si>
  <si>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</si>
  <si>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</si>
  <si>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</si>
  <si>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</si>
  <si>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</si>
  <si>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</si>
  <si>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</si>
  <si>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</si>
  <si>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</si>
  <si>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</si>
  <si>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</si>
  <si>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</si>
  <si>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</si>
  <si>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</si>
  <si>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</si>
  <si>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</si>
  <si>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</si>
  <si>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</si>
  <si>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</si>
  <si>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</si>
  <si>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</si>
  <si>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</si>
  <si>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</si>
  <si>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</si>
  <si>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</si>
  <si>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</si>
  <si>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</si>
  <si>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</si>
  <si>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</si>
  <si>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</si>
  <si>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</si>
  <si>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</si>
  <si>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</si>
  <si>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</si>
  <si>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</si>
  <si>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</si>
  <si>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</si>
  <si>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</si>
  <si>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</si>
  <si>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</si>
  <si>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</si>
  <si>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</si>
  <si>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</si>
  <si>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</si>
  <si>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</si>
  <si>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</si>
  <si>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</si>
  <si>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</si>
  <si>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</si>
  <si>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</si>
  <si>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</si>
  <si>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</si>
  <si>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</si>
  <si>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</si>
  <si>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</si>
  <si>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</si>
  <si>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</si>
  <si>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</si>
  <si>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</si>
  <si>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</si>
  <si>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</si>
  <si>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</si>
  <si>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</si>
  <si>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</si>
  <si>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</si>
  <si>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</si>
  <si>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</si>
  <si>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</si>
  <si>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</si>
  <si>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</si>
  <si>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</si>
  <si>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</si>
  <si>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</si>
  <si>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</si>
  <si>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</si>
  <si>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</si>
  <si>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</si>
  <si>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</si>
  <si>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</si>
  <si>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</si>
  <si>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</si>
  <si>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</si>
  <si>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</si>
  <si>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</si>
  <si>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</si>
  <si>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</si>
  <si>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</si>
  <si>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</si>
  <si>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</si>
  <si>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</si>
  <si>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</si>
  <si>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</si>
  <si>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</si>
  <si>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</si>
  <si>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</si>
  <si>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</si>
  <si>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</si>
  <si>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</si>
  <si>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</si>
  <si>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</si>
  <si>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</si>
  <si>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</si>
  <si>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</si>
  <si>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</si>
  <si>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</si>
  <si>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</si>
  <si>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</si>
  <si>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</si>
  <si>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</si>
  <si>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</si>
  <si>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</si>
  <si>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</si>
  <si>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</si>
  <si>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</si>
  <si>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</si>
  <si>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</si>
  <si>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</si>
  <si>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</si>
  <si>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</si>
  <si>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</si>
  <si>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</si>
  <si>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</si>
  <si>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</si>
  <si>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</si>
  <si>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</si>
  <si>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</si>
  <si>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</si>
  <si>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</si>
  <si>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</si>
  <si>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</si>
  <si>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</si>
  <si>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</si>
  <si>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</si>
  <si>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</si>
  <si>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</si>
  <si>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</si>
  <si>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</si>
  <si>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</si>
  <si>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</si>
  <si>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</si>
  <si>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</si>
  <si>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</si>
  <si>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</si>
  <si>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</si>
  <si>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</si>
  <si>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</si>
  <si>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</si>
  <si>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</si>
  <si>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</si>
  <si>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</si>
  <si>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</si>
  <si>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</si>
  <si>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</si>
  <si>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</si>
  <si>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</si>
  <si>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</si>
  <si>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</si>
  <si>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</si>
  <si>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</si>
  <si>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</si>
  <si>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</si>
  <si>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</si>
  <si>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</si>
  <si>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</si>
  <si>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</si>
  <si>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</si>
  <si>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</si>
  <si>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</si>
  <si>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</si>
  <si>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</si>
  <si>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</si>
  <si>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</si>
  <si>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</si>
  <si>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</si>
  <si>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</si>
  <si>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</si>
  <si>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</si>
  <si>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</si>
  <si>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</si>
  <si>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</si>
  <si>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</si>
  <si>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</si>
  <si>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</si>
  <si>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</si>
  <si>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</si>
  <si>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</si>
  <si>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</si>
  <si>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</si>
  <si>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</si>
  <si>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</si>
  <si>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</si>
  <si>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</si>
  <si>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</si>
  <si>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</si>
  <si>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</si>
  <si>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</si>
  <si>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</si>
  <si>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</si>
  <si>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</si>
  <si>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</si>
  <si>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</si>
  <si>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</si>
  <si>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</si>
  <si>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</si>
  <si>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</si>
  <si>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</si>
  <si>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</si>
  <si>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</si>
  <si>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</si>
  <si>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</si>
  <si>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</si>
  <si>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</si>
  <si>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</si>
  <si>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</si>
  <si>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</si>
  <si>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</si>
  <si>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</si>
  <si>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</si>
  <si>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</si>
  <si>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</si>
  <si>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</si>
  <si>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</si>
  <si>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</si>
  <si>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</si>
  <si>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</si>
  <si>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</si>
  <si>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</si>
  <si>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</si>
  <si>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</si>
  <si>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</si>
  <si>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</si>
  <si>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</si>
  <si>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</si>
  <si>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</si>
  <si>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</si>
  <si>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</si>
  <si>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</si>
  <si>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</si>
  <si>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</si>
  <si>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</si>
  <si>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</si>
  <si>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</si>
  <si>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</si>
  <si>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</si>
  <si>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</si>
  <si>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</si>
  <si>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</si>
  <si>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</si>
  <si>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</si>
  <si>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</si>
  <si>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</si>
  <si>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</si>
  <si>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</si>
  <si>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</si>
  <si>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</si>
  <si>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</si>
  <si>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</si>
  <si>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</si>
  <si>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</si>
  <si>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</si>
  <si>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</si>
  <si>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</si>
  <si>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</si>
  <si>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</si>
  <si>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</si>
  <si>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</si>
  <si>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</si>
  <si>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</si>
  <si>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</si>
  <si>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</si>
  <si>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</si>
  <si>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</si>
  <si>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</si>
  <si>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</si>
  <si>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</si>
  <si>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</si>
  <si>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</si>
  <si>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</si>
  <si>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</si>
  <si>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</si>
  <si>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</si>
  <si>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</si>
  <si>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</si>
  <si>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</si>
  <si>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</si>
  <si>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</si>
  <si>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</si>
  <si>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</si>
  <si>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</si>
  <si>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</si>
  <si>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</si>
  <si>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</si>
  <si>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</si>
  <si>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</si>
  <si>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</si>
  <si>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</si>
  <si>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</si>
  <si>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</si>
  <si>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</si>
  <si>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</si>
  <si>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</si>
  <si>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</si>
  <si>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</si>
  <si>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</si>
  <si>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</si>
  <si>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</si>
  <si>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</si>
  <si>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</si>
  <si>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</si>
  <si>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</si>
  <si>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</si>
  <si>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</si>
  <si>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</si>
  <si>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</si>
  <si>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</si>
  <si>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</si>
  <si>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</si>
  <si>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</si>
  <si>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</si>
  <si>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</si>
  <si>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</si>
  <si>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</si>
  <si>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</si>
  <si>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</si>
  <si>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</si>
  <si>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</si>
  <si>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</si>
  <si>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</si>
  <si>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</si>
  <si>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</si>
  <si>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</si>
  <si>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</si>
  <si>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</si>
  <si>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</si>
  <si>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</si>
  <si>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</si>
  <si>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</si>
  <si>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</si>
  <si>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</si>
  <si>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</si>
  <si>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</si>
  <si>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</si>
  <si>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</si>
  <si>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</si>
  <si>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</si>
  <si>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</si>
  <si>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</si>
  <si>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</si>
  <si>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</si>
  <si>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</si>
  <si>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</si>
  <si>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</si>
  <si>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</si>
  <si>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</si>
  <si>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</si>
  <si>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</si>
  <si>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</si>
  <si>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</si>
  <si>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</si>
  <si>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</si>
  <si>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</si>
  <si>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</si>
  <si>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</si>
  <si>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</si>
  <si>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</si>
  <si>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</si>
  <si>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</si>
  <si>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</si>
  <si>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</si>
  <si>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</si>
  <si>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</si>
  <si>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</si>
  <si>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</si>
  <si>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</si>
  <si>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</si>
  <si>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</si>
  <si>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</si>
  <si>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</si>
  <si>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</si>
  <si>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</si>
  <si>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</si>
  <si>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</si>
  <si>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</si>
  <si>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</si>
  <si>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</si>
  <si>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</si>
  <si>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</si>
  <si>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</si>
  <si>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</si>
  <si>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</si>
  <si>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</si>
  <si>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</si>
  <si>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</si>
  <si>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</si>
  <si>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</si>
  <si>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</si>
  <si>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</si>
  <si>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</si>
  <si>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</si>
  <si>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</si>
  <si>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</si>
  <si>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</si>
  <si>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</si>
  <si>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</si>
  <si>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</si>
  <si>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</si>
  <si>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</si>
  <si>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</si>
  <si>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</si>
  <si>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</si>
  <si>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</si>
  <si>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</si>
  <si>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</si>
  <si>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</si>
  <si>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</si>
  <si>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</si>
  <si>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</si>
  <si>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</si>
  <si>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</si>
  <si>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</si>
  <si>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</si>
  <si>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</si>
  <si>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</si>
  <si>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</si>
  <si>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</si>
  <si>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</si>
  <si>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</si>
  <si>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</si>
  <si>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</si>
  <si>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</si>
  <si>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</si>
  <si>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</si>
  <si>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</si>
  <si>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</si>
  <si>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</si>
  <si>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</si>
  <si>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</si>
  <si>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</si>
  <si>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</si>
  <si>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</si>
  <si>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</si>
  <si>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</si>
  <si>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</si>
  <si>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</si>
  <si>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</si>
  <si>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</si>
  <si>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</si>
  <si>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</si>
  <si>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</si>
  <si>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</si>
  <si>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</si>
  <si>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</si>
  <si>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</si>
  <si>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</si>
  <si>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</si>
  <si>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</si>
  <si>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</si>
  <si>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</si>
  <si>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</si>
  <si>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</si>
  <si>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</si>
  <si>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</si>
  <si>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</si>
  <si>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</si>
  <si>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</si>
  <si>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</si>
  <si>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</si>
  <si>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</si>
  <si>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</si>
  <si>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</si>
  <si>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</si>
  <si>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</si>
  <si>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</si>
  <si>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</si>
  <si>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</si>
  <si>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</si>
  <si>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</si>
  <si>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</si>
  <si>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</si>
  <si>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</si>
  <si>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</si>
  <si>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</si>
  <si>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</si>
  <si>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</si>
  <si>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</si>
  <si>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</si>
  <si>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</si>
  <si>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</si>
  <si>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</si>
  <si>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</si>
  <si>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</si>
  <si>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</si>
  <si>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</si>
  <si>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</si>
  <si>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</si>
  <si>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</si>
  <si>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</si>
  <si>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</si>
  <si>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</si>
  <si>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</si>
  <si>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</si>
  <si>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</si>
  <si>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</si>
  <si>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</si>
  <si>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</si>
  <si>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</si>
  <si>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</si>
  <si>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</si>
  <si>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</si>
  <si>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</si>
  <si>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</si>
  <si>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</si>
  <si>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</si>
  <si>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</si>
  <si>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</si>
  <si>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</si>
  <si>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</si>
  <si>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</si>
  <si>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</si>
  <si>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</si>
  <si>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</si>
  <si>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</si>
  <si>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</si>
  <si>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</si>
  <si>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</si>
  <si>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</si>
  <si>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</si>
  <si>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</si>
  <si>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</si>
  <si>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</si>
  <si>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</si>
  <si>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</si>
  <si>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</si>
  <si>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</si>
  <si>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</si>
  <si>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</si>
  <si>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</si>
  <si>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</si>
  <si>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</si>
  <si>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</si>
  <si>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</si>
  <si>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</si>
  <si>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</si>
  <si>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</si>
  <si>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</si>
  <si>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</si>
  <si>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</si>
  <si>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</si>
  <si>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</si>
  <si>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</si>
  <si>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</si>
  <si>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</si>
  <si>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</si>
  <si>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</si>
  <si>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</si>
  <si>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</si>
  <si>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</si>
  <si>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</si>
  <si>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</si>
  <si>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</si>
  <si>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</si>
  <si>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</si>
  <si>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</si>
  <si>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</si>
  <si>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</si>
  <si>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</si>
  <si>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</si>
  <si>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</si>
  <si>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</si>
  <si>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</si>
  <si>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</si>
  <si>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</si>
  <si>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</si>
  <si>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</si>
  <si>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</si>
  <si>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</si>
  <si>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</si>
  <si>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</si>
  <si>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</si>
  <si>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</si>
  <si>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</si>
  <si>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</si>
  <si>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</si>
  <si>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</si>
  <si>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</si>
  <si>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</si>
  <si>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</si>
  <si>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</si>
  <si>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</si>
  <si>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</si>
  <si>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</si>
  <si>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</si>
  <si>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</si>
  <si>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</si>
  <si>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</si>
  <si>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</si>
  <si>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</si>
  <si>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</si>
  <si>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</si>
  <si>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</si>
  <si>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</si>
  <si>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</si>
  <si>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</si>
  <si>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</si>
  <si>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</si>
  <si>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</si>
  <si>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</si>
  <si>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</si>
  <si>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</si>
  <si>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</si>
  <si>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</si>
  <si>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</si>
  <si>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</si>
  <si>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</si>
  <si>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</si>
  <si>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</si>
  <si>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</si>
  <si>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</si>
  <si>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</si>
  <si>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</si>
  <si>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</si>
  <si>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</si>
  <si>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</si>
  <si>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</si>
  <si>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</si>
  <si>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</si>
  <si>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</si>
  <si>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</si>
  <si>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</si>
  <si>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</si>
  <si>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</si>
  <si>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</si>
  <si>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</si>
  <si>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</si>
  <si>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</si>
  <si>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</si>
  <si>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</si>
  <si>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</si>
  <si>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</si>
  <si>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</si>
  <si>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</si>
  <si>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</si>
  <si>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</si>
  <si>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</si>
  <si>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</si>
  <si>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</si>
  <si>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</si>
  <si>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</si>
  <si>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</si>
  <si>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</si>
  <si>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</si>
  <si>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</si>
  <si>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</si>
  <si>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</si>
  <si>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</si>
  <si>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</si>
  <si>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</si>
  <si>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</si>
  <si>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</si>
  <si>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</si>
  <si>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</si>
  <si>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</si>
  <si>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</si>
  <si>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</si>
  <si>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</si>
  <si>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</si>
  <si>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</si>
  <si>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</si>
  <si>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</si>
  <si>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</si>
  <si>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</si>
  <si>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</si>
  <si>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</si>
  <si>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</si>
  <si>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</si>
  <si>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</si>
  <si>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</si>
  <si>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</si>
  <si>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</si>
  <si>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</si>
  <si>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</si>
  <si>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</si>
  <si>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</si>
  <si>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</si>
  <si>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</si>
  <si>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</si>
  <si>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</si>
  <si>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</si>
  <si>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</si>
  <si>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</si>
  <si>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</si>
  <si>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</si>
  <si>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</si>
  <si>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</si>
  <si>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</si>
  <si>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</si>
  <si>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</si>
  <si>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</si>
  <si>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</si>
  <si>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</si>
  <si>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</si>
  <si>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</si>
  <si>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</si>
  <si>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</si>
  <si>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</si>
  <si>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</si>
  <si>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</si>
  <si>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</si>
  <si>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</si>
  <si>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</si>
  <si>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</si>
  <si>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</si>
  <si>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</si>
  <si>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</si>
  <si>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</si>
  <si>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</si>
  <si>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</si>
  <si>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</si>
  <si>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</si>
  <si>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</si>
  <si>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</si>
  <si>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</si>
  <si>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</si>
  <si>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</si>
  <si>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</si>
  <si>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</si>
  <si>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</si>
  <si>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</si>
  <si>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</si>
  <si>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</si>
  <si>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</si>
  <si>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</si>
  <si>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</si>
  <si>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</si>
  <si>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</si>
  <si>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</si>
  <si>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</si>
  <si>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</si>
  <si>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</si>
  <si>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</si>
  <si>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</si>
  <si>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</si>
  <si>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</si>
  <si>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</si>
  <si>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</si>
  <si>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</si>
  <si>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</si>
  <si>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</si>
  <si>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</si>
  <si>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</si>
  <si>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</si>
  <si>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</si>
  <si>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</si>
  <si>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</si>
  <si>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</si>
  <si>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</si>
  <si>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</si>
  <si>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</si>
  <si>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</si>
  <si>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</si>
  <si>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</si>
  <si>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</si>
  <si>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</si>
  <si>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</si>
  <si>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</si>
  <si>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</si>
  <si>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</si>
  <si>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</si>
  <si>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</si>
  <si>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</si>
  <si>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</si>
  <si>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</si>
  <si>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</si>
  <si>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</si>
  <si>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</si>
  <si>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</si>
  <si>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</si>
  <si>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</si>
  <si>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</si>
  <si>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</si>
  <si>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</si>
  <si>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</si>
  <si>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</si>
  <si>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</si>
  <si>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</si>
  <si>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</si>
  <si>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</si>
  <si>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</si>
  <si>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</si>
  <si>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</si>
  <si>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</si>
  <si>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</si>
  <si>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</si>
  <si>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</si>
  <si>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</si>
  <si>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</si>
  <si>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</si>
  <si>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</si>
  <si>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</si>
  <si>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</si>
  <si>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</si>
  <si>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</si>
  <si>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</si>
  <si>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</si>
  <si>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</si>
  <si>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</si>
  <si>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</si>
  <si>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</si>
  <si>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</si>
  <si>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</si>
  <si>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</si>
  <si>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</si>
  <si>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</si>
  <si>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</si>
  <si>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</si>
  <si>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</si>
  <si>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</si>
  <si>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</si>
  <si>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</si>
  <si>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</si>
  <si>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</si>
  <si>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</si>
  <si>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</si>
  <si>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</si>
  <si>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</si>
  <si>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</si>
  <si>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</si>
  <si>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</si>
  <si>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</si>
  <si>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</si>
  <si>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</si>
  <si>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</si>
  <si>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</si>
  <si>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</si>
  <si>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</si>
  <si>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</si>
  <si>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</si>
  <si>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</si>
  <si>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</si>
  <si>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</si>
  <si>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</si>
  <si>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</si>
  <si>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</si>
  <si>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</si>
  <si>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</si>
  <si>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</si>
  <si>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</si>
  <si>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</si>
  <si>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</si>
  <si>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</si>
  <si>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</si>
  <si>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</si>
  <si>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</si>
  <si>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</si>
  <si>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</si>
  <si>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</si>
  <si>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</si>
  <si>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</si>
  <si>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</si>
  <si>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</si>
  <si>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</si>
  <si>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</si>
  <si>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</si>
  <si>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</si>
  <si>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</si>
  <si>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</si>
  <si>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</si>
  <si>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</si>
  <si>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</si>
  <si>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</si>
  <si>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</si>
  <si>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</si>
  <si>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</si>
  <si>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</si>
  <si>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</si>
  <si>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</si>
  <si>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</si>
  <si>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</si>
  <si>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</si>
  <si>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</si>
  <si>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</si>
  <si>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</si>
  <si>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</si>
  <si>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</si>
  <si>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</si>
  <si>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</si>
  <si>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</si>
  <si>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</si>
  <si>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</si>
  <si>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</si>
  <si>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</si>
  <si>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</si>
  <si>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</si>
  <si>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</si>
  <si>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</si>
  <si>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</si>
  <si>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</si>
  <si>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</si>
  <si>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</si>
  <si>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</si>
  <si>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</si>
  <si>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</si>
  <si>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</si>
  <si>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</si>
  <si>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</si>
  <si>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</si>
  <si>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</si>
  <si>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</si>
  <si>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</si>
  <si>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</si>
  <si>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</si>
  <si>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</si>
  <si>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</si>
  <si>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</si>
  <si>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</si>
  <si>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</si>
  <si>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</si>
  <si>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</si>
  <si>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</si>
  <si>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</si>
  <si>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</si>
  <si>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</si>
  <si>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</si>
  <si>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</si>
  <si>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</si>
  <si>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</si>
  <si>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</si>
  <si>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</si>
  <si>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</si>
  <si>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</si>
  <si>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</si>
  <si>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</si>
  <si>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</si>
  <si>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</si>
  <si>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</si>
  <si>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</si>
  <si>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</si>
  <si>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</si>
  <si>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</si>
  <si>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</si>
  <si>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</si>
  <si>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</si>
  <si>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</si>
  <si>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</si>
  <si>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</si>
  <si>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</si>
  <si>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</si>
  <si>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</si>
  <si>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</si>
  <si>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</si>
  <si>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</si>
  <si>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</si>
  <si>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</si>
  <si>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</si>
  <si>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</si>
  <si>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</si>
  <si>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</si>
  <si>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</si>
  <si>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</si>
  <si>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</si>
  <si>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</si>
  <si>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</si>
  <si>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</si>
  <si>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</si>
  <si>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</si>
  <si>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</si>
  <si>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</si>
  <si>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</si>
  <si>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</si>
  <si>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</si>
  <si>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</si>
  <si>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</si>
  <si>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</si>
  <si>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</si>
  <si>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</si>
  <si>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</si>
  <si>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</si>
  <si>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</si>
  <si>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</si>
  <si>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</si>
  <si>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</si>
  <si>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</si>
  <si>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</si>
  <si>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</si>
  <si>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</si>
  <si>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</si>
  <si>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</si>
  <si>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</si>
  <si>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</si>
  <si>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</si>
  <si>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</si>
  <si>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</si>
  <si>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</si>
  <si>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</si>
  <si>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</si>
  <si>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</si>
  <si>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</si>
  <si>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</si>
  <si>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</si>
  <si>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</si>
  <si>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</si>
  <si>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</si>
  <si>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</si>
  <si>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</si>
  <si>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</si>
  <si>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</si>
  <si>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</si>
  <si>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</si>
  <si>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</si>
  <si>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</si>
  <si>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</si>
  <si>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</si>
  <si>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</si>
  <si>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</si>
  <si>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</si>
  <si>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</si>
  <si>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</si>
  <si>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</si>
  <si>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</si>
  <si>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</si>
  <si>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</si>
  <si>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</si>
  <si>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</si>
  <si>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</si>
  <si>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</si>
  <si>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</si>
  <si>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</si>
  <si>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</si>
  <si>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</si>
  <si>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</si>
  <si>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</si>
  <si>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</si>
  <si>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</si>
  <si>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</si>
  <si>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</si>
  <si>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</si>
  <si>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</si>
  <si>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</si>
  <si>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</si>
  <si>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</si>
  <si>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</si>
  <si>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</si>
  <si>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</si>
  <si>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</si>
  <si>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</si>
  <si>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</si>
  <si>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</si>
  <si>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</si>
  <si>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</si>
  <si>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</si>
  <si>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</si>
  <si>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</si>
  <si>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</si>
  <si>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</si>
  <si>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</si>
  <si>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</si>
  <si>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</si>
  <si>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</si>
  <si>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</si>
  <si>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</si>
  <si>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</si>
  <si>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</si>
  <si>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</si>
  <si>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</si>
  <si>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</si>
  <si>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</si>
  <si>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</si>
  <si>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</si>
  <si>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</si>
  <si>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</si>
  <si>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</si>
  <si>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</si>
  <si>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</si>
  <si>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</si>
  <si>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</si>
  <si>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</si>
  <si>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</si>
  <si>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</si>
  <si>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</si>
  <si>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</si>
  <si>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</si>
  <si>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</si>
  <si>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</si>
  <si>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</si>
  <si>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</si>
  <si>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</si>
  <si>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</si>
  <si>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</si>
  <si>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</si>
  <si>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</si>
  <si>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</si>
  <si>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</si>
  <si>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</si>
  <si>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</si>
  <si>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</si>
  <si>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</si>
  <si>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</si>
  <si>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</si>
  <si>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</si>
  <si>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</si>
  <si>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</si>
  <si>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</si>
  <si>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</si>
  <si>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</si>
  <si>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</si>
  <si>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</si>
  <si>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</si>
  <si>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</si>
  <si>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</si>
  <si>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</si>
  <si>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</si>
  <si>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</si>
  <si>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</si>
  <si>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</si>
  <si>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</si>
  <si>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</si>
  <si>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</si>
  <si>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</si>
  <si>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</si>
  <si>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</si>
  <si>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</si>
  <si>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</si>
  <si>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</si>
  <si>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</si>
  <si>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</si>
  <si>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</si>
  <si>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</si>
  <si>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</si>
  <si>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</si>
  <si>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</si>
  <si>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</si>
  <si>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</si>
  <si>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</si>
  <si>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</si>
  <si>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</si>
  <si>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</si>
  <si>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</si>
  <si>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</si>
  <si>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</si>
  <si>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</si>
  <si>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</si>
  <si>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</si>
  <si>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</si>
  <si>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</si>
  <si>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</si>
  <si>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</si>
  <si>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</si>
  <si>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</si>
  <si>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</si>
  <si>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</si>
  <si>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</si>
  <si>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</si>
  <si>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</si>
  <si>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</si>
  <si>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</si>
  <si>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</si>
  <si>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</si>
  <si>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</si>
  <si>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</si>
  <si>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</si>
  <si>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</si>
  <si>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</si>
  <si>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</si>
  <si>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</si>
  <si>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</si>
  <si>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</si>
  <si>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</si>
  <si>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</si>
  <si>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</si>
  <si>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</si>
  <si>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</si>
  <si>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</si>
  <si>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</si>
  <si>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</si>
  <si>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</si>
  <si>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</si>
  <si>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</si>
  <si>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</si>
  <si>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</si>
  <si>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</si>
  <si>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</si>
  <si>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</si>
  <si>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</si>
  <si>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</si>
  <si>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</si>
  <si>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</si>
  <si>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</si>
  <si>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</si>
  <si>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</si>
  <si>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</si>
  <si>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</si>
  <si>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</si>
  <si>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</si>
  <si>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</si>
  <si>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</si>
  <si>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</si>
  <si>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</si>
  <si>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</si>
  <si>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</si>
  <si>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</si>
  <si>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</si>
  <si>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</si>
  <si>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</si>
  <si>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</si>
  <si>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</si>
  <si>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</si>
  <si>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</si>
  <si>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</si>
  <si>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</si>
  <si>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</si>
  <si>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</si>
  <si>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</si>
  <si>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</si>
  <si>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</si>
  <si>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</si>
  <si>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</si>
  <si>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</si>
  <si>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</si>
  <si>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</si>
  <si>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</si>
  <si>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</si>
  <si>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</si>
  <si>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</si>
  <si>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</si>
  <si>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</si>
  <si>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</si>
  <si>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</si>
  <si>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</si>
  <si>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</si>
  <si>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</si>
  <si>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</si>
  <si>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</si>
  <si>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</si>
  <si>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</si>
  <si>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</si>
  <si>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</si>
  <si>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</si>
  <si>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</si>
  <si>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</si>
  <si>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</si>
  <si>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</si>
  <si>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</si>
  <si>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</si>
  <si>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</si>
  <si>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</si>
  <si>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</si>
  <si>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</si>
  <si>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</si>
  <si>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</si>
  <si>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</si>
  <si>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</si>
  <si>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</si>
  <si>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</si>
  <si>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</si>
  <si>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</si>
  <si>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</si>
  <si>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</si>
  <si>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</si>
  <si>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</si>
  <si>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</si>
  <si>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</si>
  <si>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</si>
  <si>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</si>
  <si>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</si>
  <si>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</si>
  <si>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</si>
  <si>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</si>
  <si>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</si>
  <si>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</si>
  <si>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</si>
  <si>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</si>
  <si>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</si>
  <si>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</si>
  <si>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</si>
  <si>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</si>
  <si>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</si>
  <si>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</si>
  <si>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</si>
  <si>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</si>
  <si>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</si>
  <si>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</si>
  <si>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</si>
  <si>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</si>
  <si>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</si>
  <si>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</si>
  <si>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</si>
  <si>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</si>
  <si>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</si>
  <si>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</si>
  <si>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</si>
  <si>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</si>
  <si>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</si>
  <si>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</si>
  <si>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</si>
  <si>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</si>
  <si>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</si>
  <si>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</si>
  <si>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</si>
  <si>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</si>
  <si>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</si>
  <si>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</si>
  <si>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</si>
  <si>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</si>
  <si>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</si>
  <si>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</si>
  <si>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</si>
  <si>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</si>
  <si>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</si>
  <si>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</si>
  <si>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</si>
  <si>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</si>
  <si>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</si>
  <si>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</si>
  <si>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</si>
  <si>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</si>
  <si>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</si>
  <si>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</si>
  <si>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</si>
  <si>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</si>
  <si>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</si>
  <si>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</si>
  <si>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</si>
  <si>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</si>
  <si>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</si>
  <si>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</si>
  <si>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</si>
  <si>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</si>
  <si>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</si>
  <si>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</si>
  <si>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</si>
  <si>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</si>
  <si>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</si>
  <si>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</si>
  <si>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</si>
  <si>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</si>
  <si>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</si>
  <si>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</si>
  <si>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</si>
  <si>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</si>
  <si>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</si>
  <si>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</si>
  <si>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</si>
  <si>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</si>
  <si>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</si>
  <si>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</si>
  <si>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</si>
  <si>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</si>
  <si>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</si>
  <si>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</si>
  <si>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</si>
  <si>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</si>
  <si>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</si>
  <si>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</si>
  <si>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</si>
  <si>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</si>
  <si>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</si>
  <si>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</si>
  <si>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</si>
  <si>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</si>
  <si>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</si>
  <si>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</si>
  <si>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</si>
  <si>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</si>
  <si>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</si>
  <si>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</si>
  <si>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</si>
  <si>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</si>
  <si>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</si>
  <si>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</si>
  <si>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</si>
  <si>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</si>
  <si>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</si>
  <si>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</si>
  <si>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</si>
  <si>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</si>
  <si>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</si>
  <si>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</si>
  <si>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</si>
  <si>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</si>
  <si>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</si>
  <si>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</si>
  <si>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</si>
  <si>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</si>
  <si>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</si>
  <si>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</si>
  <si>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</si>
  <si>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</si>
  <si>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</si>
  <si>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</si>
  <si>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</si>
  <si>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</si>
  <si>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</si>
  <si>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</si>
  <si>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</si>
  <si>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</si>
  <si>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</si>
  <si>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</si>
  <si>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</si>
  <si>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</si>
  <si>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</si>
  <si>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</si>
  <si>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</si>
  <si>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</si>
  <si>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</si>
  <si>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</si>
  <si>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</si>
  <si>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</si>
  <si>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</si>
  <si>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</si>
  <si>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</si>
  <si>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</si>
  <si>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</si>
  <si>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</si>
  <si>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</si>
  <si>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</si>
  <si>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</si>
  <si>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</si>
  <si>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</si>
  <si>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</si>
  <si>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</si>
  <si>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</si>
  <si>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</si>
  <si>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</si>
  <si>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</si>
  <si>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</si>
  <si>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</si>
  <si>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</si>
  <si>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</si>
  <si>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</si>
  <si>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</si>
  <si>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</si>
  <si>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</si>
  <si>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</si>
  <si>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</si>
  <si>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</si>
  <si>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</si>
  <si>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</si>
  <si>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</si>
  <si>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</si>
  <si>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</si>
  <si>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</si>
  <si>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</si>
  <si>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</si>
  <si>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</si>
  <si>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</si>
  <si>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</si>
  <si>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</si>
  <si>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</si>
  <si>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</si>
  <si>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</si>
  <si>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</si>
  <si>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</si>
  <si>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</si>
  <si>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</si>
  <si>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</si>
  <si>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</si>
  <si>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</si>
  <si>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</si>
  <si>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</si>
  <si>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</si>
  <si>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</si>
  <si>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</si>
  <si>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</si>
  <si>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</si>
  <si>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</si>
  <si>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</si>
  <si>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</si>
  <si>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</si>
  <si>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</si>
  <si>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</si>
  <si>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</si>
  <si>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</si>
  <si>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</si>
  <si>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</si>
  <si>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</si>
  <si>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</si>
  <si>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</si>
  <si>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</si>
  <si>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</si>
  <si>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</si>
  <si>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</si>
  <si>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</si>
  <si>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</si>
  <si>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</si>
  <si>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</si>
  <si>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</si>
  <si>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</si>
  <si>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</si>
  <si>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</si>
  <si>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</si>
  <si>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</si>
  <si>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</si>
  <si>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</si>
  <si>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</si>
  <si>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</si>
  <si>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</si>
  <si>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</si>
  <si>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</si>
  <si>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</si>
  <si>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</si>
  <si>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</si>
  <si>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</si>
  <si>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</si>
  <si>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</si>
  <si>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</si>
  <si>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</si>
  <si>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</si>
  <si>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</si>
  <si>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</si>
  <si>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</si>
  <si>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</si>
  <si>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</si>
  <si>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</si>
  <si>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</si>
  <si>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</si>
  <si>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</si>
  <si>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</si>
  <si>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</si>
  <si>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</si>
  <si>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</si>
  <si>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</si>
  <si>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</si>
  <si>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</si>
  <si>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</si>
  <si>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</si>
  <si>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</si>
  <si>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</si>
  <si>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</si>
  <si>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</si>
  <si>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</si>
  <si>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</si>
  <si>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</si>
  <si>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</si>
  <si>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</si>
  <si>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</si>
  <si>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</si>
  <si>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</si>
  <si>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</si>
  <si>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</si>
  <si>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</si>
  <si>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</si>
  <si>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</si>
  <si>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</si>
  <si>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</si>
  <si>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</si>
  <si>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</si>
  <si>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</si>
  <si>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</si>
  <si>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</si>
  <si>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</si>
  <si>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</si>
  <si>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</si>
  <si>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</si>
  <si>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</si>
  <si>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</si>
  <si>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</si>
  <si>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</si>
  <si>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</si>
  <si>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</si>
  <si>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</si>
  <si>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</si>
  <si>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</si>
  <si>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</si>
  <si>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</si>
  <si>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</si>
  <si>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</si>
  <si>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</si>
  <si>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</si>
  <si>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</si>
  <si>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</si>
  <si>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</si>
  <si>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</si>
  <si>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</si>
  <si>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</si>
  <si>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</si>
  <si>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</si>
  <si>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</si>
  <si>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</si>
  <si>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</si>
  <si>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</si>
  <si>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</si>
  <si>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</si>
  <si>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</si>
  <si>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</si>
  <si>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</si>
  <si>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</si>
  <si>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</si>
  <si>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</si>
  <si>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</si>
  <si>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</si>
  <si>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</si>
  <si>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</si>
  <si>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</si>
  <si>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</si>
  <si>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</si>
  <si>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</si>
  <si>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</si>
  <si>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</si>
  <si>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</si>
  <si>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</si>
  <si>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</si>
  <si>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</si>
  <si>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</si>
  <si>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</si>
  <si>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</si>
  <si>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</si>
  <si>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</si>
  <si>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</si>
  <si>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</si>
  <si>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</si>
  <si>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</si>
  <si>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</si>
  <si>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</si>
  <si>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</si>
  <si>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</si>
  <si>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</si>
  <si>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</si>
  <si>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</si>
  <si>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</si>
  <si>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</si>
  <si>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</si>
  <si>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</si>
  <si>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</si>
  <si>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</si>
  <si>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</si>
  <si>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</si>
  <si>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</si>
  <si>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</si>
  <si>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</si>
  <si>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</si>
  <si>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</si>
  <si>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</si>
  <si>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</si>
  <si>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</si>
  <si>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</si>
  <si>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</si>
  <si>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</si>
  <si>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</si>
  <si>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</si>
  <si>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</si>
  <si>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</si>
  <si>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</si>
  <si>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</si>
  <si>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</si>
  <si>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</si>
  <si>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</si>
  <si>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</si>
  <si>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</si>
  <si>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</si>
  <si>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</si>
  <si>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</si>
  <si>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</si>
  <si>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</si>
  <si>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</si>
  <si>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</si>
  <si>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</si>
  <si>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</si>
  <si>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</si>
  <si>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</si>
  <si>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</si>
  <si>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</si>
  <si>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</si>
  <si>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</si>
  <si>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</si>
  <si>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</si>
  <si>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</si>
  <si>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</si>
  <si>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</si>
  <si>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</si>
  <si>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</si>
  <si>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</si>
  <si>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</si>
  <si>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</si>
  <si>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</si>
  <si>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</si>
  <si>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</si>
  <si>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</si>
  <si>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</si>
  <si>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</si>
  <si>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</si>
  <si>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승조원 교육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</si>
  <si>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</si>
  <si>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</si>
  <si>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</si>
  <si>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</si>
  <si>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</si>
  <si>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</si>
  <si>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</si>
  <si>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</si>
  <si>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</si>
  <si>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</si>
  <si>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</si>
  <si>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</si>
  <si>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</si>
  <si>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</si>
  <si>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</si>
  <si>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</si>
  <si>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</si>
  <si>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</si>
  <si>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</si>
  <si>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</si>
  <si>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</si>
  <si>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</si>
  <si>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</si>
  <si>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</si>
  <si>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</si>
  <si>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</si>
  <si>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</si>
  <si>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</si>
  <si>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</si>
  <si>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</si>
  <si>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</si>
  <si>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</si>
  <si>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</si>
  <si>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</si>
  <si>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</si>
  <si>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</si>
  <si>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</si>
  <si>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</si>
  <si>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</si>
  <si>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</si>
  <si>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</si>
  <si>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</si>
  <si>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</si>
  <si>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</si>
  <si>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</si>
  <si>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</si>
  <si>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</si>
  <si>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</si>
  <si>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</si>
  <si>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</si>
  <si>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</si>
  <si>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</si>
  <si>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</si>
  <si>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</si>
  <si>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</si>
  <si>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</si>
  <si>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</si>
  <si>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</si>
  <si>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</si>
  <si>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</si>
  <si>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</si>
  <si>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</si>
  <si>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</si>
  <si>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</si>
  <si>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</si>
  <si>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</si>
  <si>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</si>
  <si>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</si>
  <si>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</si>
  <si>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</si>
  <si>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</si>
  <si>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</si>
  <si>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</si>
  <si>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</si>
  <si>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</si>
  <si>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</si>
  <si>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</si>
  <si>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</si>
  <si>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</si>
  <si>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</si>
  <si>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</si>
  <si>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</si>
  <si>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</si>
  <si>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</si>
  <si>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</si>
  <si>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</si>
  <si>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</si>
  <si>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</si>
  <si>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</si>
  <si>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</si>
  <si>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</si>
  <si>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</si>
  <si>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</si>
  <si>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</si>
  <si>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</si>
  <si>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</si>
  <si>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</si>
  <si>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</si>
  <si>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</si>
  <si>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</si>
  <si>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</si>
  <si>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</si>
  <si>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</si>
  <si>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</si>
  <si>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</si>
  <si>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</si>
  <si>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</si>
  <si>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</si>
  <si>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</si>
  <si>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</si>
  <si>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</si>
  <si>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</si>
  <si>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</si>
  <si>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</si>
  <si>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</si>
  <si>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</si>
  <si>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</si>
  <si>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</si>
  <si>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</si>
  <si>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</si>
  <si>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</si>
  <si>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</si>
  <si>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</si>
  <si>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</si>
  <si>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</si>
  <si>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</si>
  <si>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</si>
  <si>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</si>
  <si>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</si>
  <si>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</si>
  <si>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</si>
  <si>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</si>
  <si>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</si>
  <si>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</si>
  <si>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</si>
  <si>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</si>
  <si>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</si>
  <si>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</si>
  <si>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</si>
  <si>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</si>
  <si>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</si>
  <si>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</si>
  <si>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</si>
  <si>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</si>
  <si>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</si>
  <si>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</si>
  <si>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</si>
  <si>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</si>
  <si>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</si>
  <si>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</si>
  <si>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</si>
  <si>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</si>
  <si>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</si>
  <si>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</si>
  <si>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</si>
  <si>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</si>
  <si>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</si>
  <si>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</si>
  <si>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</si>
  <si>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</si>
  <si>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</si>
  <si>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</si>
  <si>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</si>
  <si>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</si>
  <si>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</si>
  <si>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</si>
  <si>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</si>
  <si>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</si>
  <si>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</si>
  <si>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</si>
  <si>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</si>
  <si>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</si>
  <si>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</si>
  <si>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</si>
  <si>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</si>
  <si>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</si>
  <si>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</si>
  <si>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</si>
  <si>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</si>
  <si>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</si>
  <si>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</si>
  <si>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</si>
  <si>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</si>
  <si>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</si>
  <si>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</si>
  <si>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</si>
  <si>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</si>
  <si>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</si>
  <si>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</si>
  <si>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</si>
  <si>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</si>
  <si>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</si>
  <si>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</si>
  <si>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</si>
  <si>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</si>
  <si>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</si>
  <si>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</si>
  <si>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</si>
  <si>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</si>
  <si>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</si>
  <si>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</si>
  <si>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</si>
  <si>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</si>
  <si>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</si>
  <si>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</si>
  <si>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</si>
  <si>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</si>
  <si>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</si>
  <si>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</si>
  <si>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</si>
  <si>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</si>
  <si>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</si>
  <si>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</si>
  <si>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</si>
  <si>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</si>
  <si>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</si>
  <si>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</si>
  <si>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</si>
  <si>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</si>
  <si>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</si>
  <si>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</si>
  <si>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</si>
  <si>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</si>
  <si>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</si>
  <si>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</si>
  <si>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</si>
  <si>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</si>
  <si>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</si>
  <si>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</si>
  <si>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</si>
  <si>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</si>
  <si>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</si>
  <si>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</si>
  <si>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</si>
  <si>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</si>
  <si>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</si>
  <si>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</si>
  <si>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</si>
  <si>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</si>
  <si>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</si>
  <si>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</si>
  <si>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</si>
  <si>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</si>
  <si>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</si>
  <si>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</si>
  <si>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</si>
  <si>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</si>
  <si>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</si>
  <si>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</si>
  <si>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</si>
  <si>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</si>
  <si>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</si>
  <si>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</si>
  <si>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</si>
  <si>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</si>
  <si>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</si>
  <si>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</si>
  <si>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</si>
  <si>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</si>
  <si>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</si>
  <si>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</si>
  <si>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</si>
  <si>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</si>
  <si>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</si>
  <si>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</si>
  <si>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</si>
  <si>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</si>
  <si>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</si>
  <si>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</si>
  <si>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</si>
  <si>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</si>
  <si>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</si>
  <si>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</si>
  <si>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</si>
  <si>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</si>
  <si>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</si>
  <si>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</si>
  <si>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</si>
  <si>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</si>
  <si>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</si>
  <si>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</si>
  <si>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</si>
  <si>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</si>
  <si>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</si>
  <si>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</si>
  <si>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</si>
  <si>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</si>
  <si>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</si>
  <si>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</si>
  <si>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</si>
  <si>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</si>
  <si>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</si>
  <si>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</si>
  <si>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</si>
  <si>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</si>
  <si>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</si>
  <si>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</si>
  <si>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</si>
  <si>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</si>
  <si>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</si>
  <si>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</si>
  <si>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</si>
  <si>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</si>
  <si>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</si>
  <si>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</si>
  <si>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</si>
  <si>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</si>
  <si>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</si>
  <si>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</si>
  <si>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</si>
  <si>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</si>
  <si>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</si>
  <si>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</si>
  <si>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</si>
  <si>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</si>
  <si>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</si>
  <si>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</si>
  <si>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</si>
  <si>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</si>
  <si>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</si>
  <si>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</si>
  <si>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</si>
  <si>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</si>
  <si>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</si>
  <si>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</si>
  <si>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</si>
  <si>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</si>
  <si>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</si>
  <si>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</si>
  <si>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</si>
  <si>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</si>
  <si>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</si>
  <si>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</si>
  <si>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</si>
  <si>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</si>
  <si>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</si>
  <si>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</si>
  <si>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</si>
  <si>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</si>
  <si>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</si>
  <si>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</si>
  <si>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</si>
  <si>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</si>
  <si>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</si>
  <si>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</si>
  <si>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</si>
  <si>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</si>
  <si>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</si>
  <si>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</si>
  <si>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</si>
  <si>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</si>
  <si>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</si>
  <si>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</si>
  <si>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</si>
  <si>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</si>
  <si>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</si>
  <si>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</si>
  <si>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</si>
  <si>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</si>
  <si>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</si>
  <si>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</si>
  <si>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</si>
  <si>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</si>
  <si>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</si>
  <si>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</si>
  <si>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</si>
  <si>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</si>
  <si>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</si>
  <si>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</si>
  <si>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</si>
  <si>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</si>
  <si>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</si>
  <si>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</si>
  <si>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</si>
  <si>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</si>
  <si>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</si>
  <si>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</si>
  <si>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</si>
  <si>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</si>
  <si>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</si>
  <si>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</si>
  <si>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</si>
  <si>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</si>
  <si>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</si>
  <si>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</si>
  <si>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</si>
  <si>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</si>
  <si>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</si>
  <si>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</si>
  <si>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</si>
  <si>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</si>
  <si>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</si>
  <si>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</si>
  <si>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</si>
  <si>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</si>
  <si>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</si>
  <si>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</si>
  <si>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</si>
  <si>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</si>
  <si>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</si>
  <si>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</si>
  <si>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</si>
  <si>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</si>
  <si>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</si>
  <si>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</si>
  <si>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</si>
  <si>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</si>
  <si>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</si>
  <si>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</si>
  <si>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</si>
  <si>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</si>
  <si>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</si>
  <si>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</si>
  <si>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</si>
  <si>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</si>
  <si>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</si>
  <si>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</si>
  <si>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</si>
  <si>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</si>
  <si>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</si>
  <si>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</si>
  <si>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</si>
  <si>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</si>
  <si>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</si>
  <si>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</si>
  <si>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</si>
  <si>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</si>
  <si>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</si>
  <si>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</si>
  <si>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</si>
  <si>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</si>
  <si>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</si>
  <si>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</si>
  <si>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</si>
  <si>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</si>
  <si>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</si>
  <si>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</si>
  <si>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</si>
  <si>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</si>
  <si>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</si>
  <si>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</si>
  <si>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</si>
  <si>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</si>
  <si>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</si>
  <si>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</si>
  <si>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</si>
  <si>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</si>
  <si>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</si>
  <si>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</si>
  <si>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</si>
  <si>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</si>
  <si>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</si>
  <si>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</si>
  <si>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</si>
  <si>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</si>
  <si>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</si>
  <si>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</si>
  <si>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</si>
  <si>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</si>
  <si>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</si>
  <si>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</si>
  <si>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</si>
  <si>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박주성, 이광형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</si>
  <si>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</si>
  <si>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</si>
  <si>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</si>
  <si>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박성용, 김태호, 설계(이주영)</t>
    <phoneticPr fontId="2" type="noConversion"/>
  </si>
  <si>
    <t>0160</t>
    <phoneticPr fontId="2" type="noConversion"/>
  </si>
  <si>
    <t>19주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</si>
  <si>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</si>
  <si>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</si>
  <si>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</si>
  <si>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</si>
  <si>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</si>
  <si>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JB4 반출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</si>
  <si>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</si>
  <si>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</si>
  <si>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</si>
  <si>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</si>
  <si>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동아, 디에스티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</si>
  <si>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</si>
  <si>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</si>
  <si>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</si>
  <si>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</si>
  <si>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</si>
  <si>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</si>
  <si>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</si>
  <si>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</si>
  <si>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</si>
  <si>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포장</t>
    <phoneticPr fontId="2" type="noConversion"/>
  </si>
  <si>
    <t>송영국</t>
    <phoneticPr fontId="2" type="noConversion"/>
  </si>
  <si>
    <t>ER</t>
    <phoneticPr fontId="2" type="noConversion"/>
  </si>
  <si>
    <t>PV</t>
    <phoneticPr fontId="2" type="noConversion"/>
  </si>
  <si>
    <t>HIO(3)</t>
    <phoneticPr fontId="2" type="noConversion"/>
  </si>
  <si>
    <t>HIO(2)</t>
    <phoneticPr fontId="2" type="noConversion"/>
  </si>
  <si>
    <t>5/11~5/13</t>
    <phoneticPr fontId="2" type="noConversion"/>
  </si>
  <si>
    <t>5/14~5/15</t>
    <phoneticPr fontId="2" type="noConversion"/>
  </si>
  <si>
    <t>PV, HH</t>
    <phoneticPr fontId="2" type="noConversion"/>
  </si>
  <si>
    <t>다이 제작, 설치</t>
    <phoneticPr fontId="2" type="noConversion"/>
  </si>
  <si>
    <t>이광형</t>
    <phoneticPr fontId="2" type="noConversion"/>
  </si>
  <si>
    <t>범양(5)</t>
    <phoneticPr fontId="2" type="noConversion"/>
  </si>
  <si>
    <t>YN07</t>
    <phoneticPr fontId="2" type="noConversion"/>
  </si>
  <si>
    <t>5/11~5/15</t>
    <phoneticPr fontId="2" type="noConversion"/>
  </si>
  <si>
    <t>연차</t>
    <phoneticPr fontId="2" type="noConversion"/>
  </si>
  <si>
    <t>박성용기장</t>
    <phoneticPr fontId="2" type="noConversion"/>
  </si>
  <si>
    <t>19주</t>
    <phoneticPr fontId="2" type="noConversion"/>
  </si>
  <si>
    <t>5/12~5/14</t>
    <phoneticPr fontId="2" type="noConversion"/>
  </si>
  <si>
    <t>HH</t>
    <phoneticPr fontId="2" type="noConversion"/>
  </si>
  <si>
    <t>0294</t>
    <phoneticPr fontId="2" type="noConversion"/>
  </si>
  <si>
    <t>더베솔(6)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</si>
  <si>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</si>
  <si>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</si>
  <si>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</si>
  <si>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</si>
  <si>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</si>
  <si>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GNN0017호선 일정 확인 필요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</si>
  <si>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</si>
  <si>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</si>
  <si>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</si>
  <si>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</si>
  <si>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박성용</t>
    <phoneticPr fontId="2" type="noConversion"/>
  </si>
  <si>
    <t>개인차량</t>
    <phoneticPr fontId="2" type="noConversion"/>
  </si>
  <si>
    <t>동아, 디에스티 일정 확인 중 / 동아 현대 출장 시 PE 마무리 작업 요청</t>
    <phoneticPr fontId="2" type="noConversion"/>
  </si>
  <si>
    <t>S198</t>
    <phoneticPr fontId="2" type="noConversion"/>
  </si>
  <si>
    <t>RB</t>
    <phoneticPr fontId="2" type="noConversion"/>
  </si>
  <si>
    <t xml:space="preserve">크레인 케빈도어 HINGE(경첩) 부식으로 파손되어 교체 수리 </t>
    <phoneticPr fontId="2" type="noConversion"/>
  </si>
  <si>
    <t>S204</t>
    <phoneticPr fontId="2" type="noConversion"/>
  </si>
  <si>
    <t>BR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</si>
  <si>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</si>
  <si>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</si>
  <si>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</si>
  <si>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</si>
  <si>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</si>
  <si>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</si>
  <si>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</si>
  <si>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</si>
  <si>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</si>
  <si>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</si>
  <si>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</si>
  <si>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</si>
  <si>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</si>
  <si>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</si>
  <si>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</si>
  <si>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</si>
  <si>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</si>
  <si>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</si>
  <si>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</si>
  <si>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</si>
  <si>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김태호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</si>
  <si>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</si>
  <si>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</si>
  <si>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</si>
  <si>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</si>
  <si>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</si>
  <si>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승조원 교육</t>
    <phoneticPr fontId="2" type="noConversion"/>
  </si>
  <si>
    <t>무상</t>
    <phoneticPr fontId="2" type="noConversion"/>
  </si>
  <si>
    <t>폐기자재 반납</t>
    <phoneticPr fontId="2" type="noConversion"/>
  </si>
  <si>
    <t>독도함</t>
    <phoneticPr fontId="2" type="noConversion"/>
  </si>
  <si>
    <t>인도후</t>
    <phoneticPr fontId="2" type="noConversion"/>
  </si>
  <si>
    <t>HPU 케이블 그랜드 설치, 결선 작업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</si>
  <si>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</si>
  <si>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</si>
  <si>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</si>
  <si>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</si>
  <si>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</si>
  <si>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사내작업</t>
    <phoneticPr fontId="2" type="noConversion"/>
  </si>
  <si>
    <t>납품전</t>
    <phoneticPr fontId="2" type="noConversion"/>
  </si>
  <si>
    <t>진성</t>
    <phoneticPr fontId="2" type="noConversion"/>
  </si>
  <si>
    <t>SN2688</t>
    <phoneticPr fontId="2" type="noConversion"/>
  </si>
  <si>
    <t>PV</t>
    <phoneticPr fontId="2" type="noConversion"/>
  </si>
  <si>
    <t xml:space="preserve">SHOT BLAST </t>
    <phoneticPr fontId="2" type="noConversion"/>
  </si>
  <si>
    <t>박해식</t>
    <phoneticPr fontId="2" type="noConversion"/>
  </si>
  <si>
    <t>HIO(1)</t>
    <phoneticPr fontId="2" type="noConversion"/>
  </si>
  <si>
    <t>유승민</t>
    <phoneticPr fontId="2" type="noConversion"/>
  </si>
  <si>
    <t>진해해군</t>
    <phoneticPr fontId="2" type="noConversion"/>
  </si>
  <si>
    <t>배차 후 보안조치 필요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</si>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</sst>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1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7" fillId="0" borderId="0" applyNumberFormat="0" applyFill="0" applyBorder="0" applyAlignment="0" applyProtection="0">
      <alignment vertical="center"/>
    </xf>
  </cellStyleXfs>
  <cellXfs count="102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176" fontId="111" fillId="9" borderId="3" xfId="0" applyNumberFormat="1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4" fillId="0" borderId="1" xfId="0" applyNumberFormat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 wrapText="1"/>
    </xf>
    <xf numFmtId="0" fontId="128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177" fontId="121" fillId="3" borderId="1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/>
    </xf>
    <xf numFmtId="0" fontId="122" fillId="4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/>
    </xf>
    <xf numFmtId="177" fontId="124" fillId="0" borderId="3" xfId="0" applyNumberFormat="1" applyFont="1" applyBorder="1" applyAlignment="1">
      <alignment horizontal="center" vertical="center" wrapText="1"/>
    </xf>
    <xf numFmtId="0" fontId="122" fillId="0" borderId="8" xfId="0" applyFont="1" applyBorder="1" applyAlignment="1">
      <alignment horizontal="center" vertical="center" wrapText="1"/>
    </xf>
    <xf numFmtId="177" fontId="121" fillId="0" borderId="3" xfId="0" applyNumberFormat="1" applyFont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177" fontId="121" fillId="0" borderId="1" xfId="0" applyNumberFormat="1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7" fillId="0" borderId="0" xfId="2">
      <alignment vertical="center"/>
    </xf>
    <xf numFmtId="0" fontId="0" fillId="0" borderId="0" xfId="0" applyAlignment="1">
      <alignment horizontal="left" vertical="center" indent="1"/>
    </xf>
    <xf numFmtId="0" fontId="127" fillId="0" borderId="0" xfId="2" applyAlignment="1">
      <alignment horizontal="left" vertical="center" indent="1"/>
    </xf>
    <xf numFmtId="178" fontId="121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4" fillId="0" borderId="1" xfId="0" applyFont="1" applyBorder="1" applyAlignment="1">
      <alignment vertical="center"/>
    </xf>
    <xf numFmtId="0" fontId="114" fillId="0" borderId="1" xfId="0" quotePrefix="1" applyFont="1" applyBorder="1" applyAlignment="1">
      <alignment vertical="center"/>
    </xf>
    <xf numFmtId="178" fontId="114" fillId="0" borderId="1" xfId="0" quotePrefix="1" applyNumberFormat="1" applyFont="1" applyBorder="1" applyAlignment="1">
      <alignment horizontal="center" vertical="center"/>
    </xf>
    <xf numFmtId="0" fontId="124" fillId="0" borderId="0" xfId="0" applyFont="1">
      <alignment vertical="center"/>
    </xf>
    <xf numFmtId="0" fontId="130" fillId="9" borderId="30" xfId="0" applyFont="1" applyFill="1" applyBorder="1" applyAlignment="1">
      <alignment horizontal="center" vertical="center" wrapText="1"/>
    </xf>
    <xf numFmtId="0" fontId="130" fillId="9" borderId="5" xfId="0" applyFont="1" applyFill="1" applyBorder="1" applyAlignment="1">
      <alignment horizontal="center" vertical="center" wrapText="1"/>
    </xf>
    <xf numFmtId="0" fontId="122" fillId="0" borderId="21" xfId="0" applyFont="1" applyBorder="1" applyAlignment="1">
      <alignment horizontal="center" vertical="center" wrapText="1"/>
    </xf>
    <xf numFmtId="41" fontId="122" fillId="0" borderId="1" xfId="1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1" fillId="0" borderId="26" xfId="1" quotePrefix="1" applyFont="1" applyFill="1" applyBorder="1" applyAlignment="1">
      <alignment horizontal="center" vertical="center" wrapText="1"/>
    </xf>
    <xf numFmtId="41" fontId="122" fillId="0" borderId="1" xfId="1" applyFont="1" applyFill="1" applyBorder="1" applyAlignment="1">
      <alignment horizontal="center" vertical="center" wrapText="1"/>
    </xf>
    <xf numFmtId="0" fontId="122" fillId="0" borderId="26" xfId="0" applyFont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0" fontId="132" fillId="9" borderId="3" xfId="0" applyFont="1" applyFill="1" applyBorder="1" applyAlignment="1">
      <alignment horizontal="center" vertical="center" wrapText="1"/>
    </xf>
    <xf numFmtId="176" fontId="132" fillId="9" borderId="3" xfId="0" applyNumberFormat="1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 shrinkToFit="1"/>
    </xf>
    <xf numFmtId="0" fontId="129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 shrinkToFit="1"/>
    </xf>
    <xf numFmtId="0" fontId="129" fillId="0" borderId="6" xfId="0" applyFont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 shrinkToFit="1"/>
    </xf>
    <xf numFmtId="0" fontId="129" fillId="0" borderId="5" xfId="0" applyFont="1" applyBorder="1" applyAlignment="1">
      <alignment horizontal="center" vertical="center" wrapText="1"/>
    </xf>
    <xf numFmtId="0" fontId="123" fillId="0" borderId="8" xfId="0" quotePrefix="1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31" fillId="0" borderId="1" xfId="0" applyFont="1" applyBorder="1" applyAlignment="1">
      <alignment horizontal="center" vertical="center" wrapText="1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30" fillId="9" borderId="24" xfId="0" applyFont="1" applyFill="1" applyBorder="1" applyAlignment="1">
      <alignment horizontal="center" vertical="center" wrapText="1"/>
    </xf>
    <xf numFmtId="0" fontId="130" fillId="9" borderId="26" xfId="0" applyFont="1" applyFill="1" applyBorder="1" applyAlignment="1">
      <alignment horizontal="center" vertical="center" wrapText="1"/>
    </xf>
    <xf numFmtId="0" fontId="130" fillId="9" borderId="22" xfId="0" applyFont="1" applyFill="1" applyBorder="1" applyAlignment="1">
      <alignment horizontal="center" vertical="center" wrapText="1"/>
    </xf>
    <xf numFmtId="0" fontId="130" fillId="9" borderId="3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 wrapText="1"/>
    </xf>
    <xf numFmtId="0" fontId="130" fillId="9" borderId="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/>
    </xf>
    <xf numFmtId="0" fontId="130" fillId="9" borderId="1" xfId="0" applyFont="1" applyFill="1" applyBorder="1" applyAlignment="1">
      <alignment horizontal="center" vertical="center"/>
    </xf>
    <xf numFmtId="0" fontId="121" fillId="3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/>
    </xf>
    <xf numFmtId="0" fontId="120" fillId="0" borderId="6" xfId="0" applyFont="1" applyBorder="1" applyAlignment="1">
      <alignment horizontal="center" vertical="center"/>
    </xf>
    <xf numFmtId="0" fontId="120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176" fontId="121" fillId="3" borderId="3" xfId="0" applyNumberFormat="1" applyFont="1" applyFill="1" applyBorder="1" applyAlignment="1">
      <alignment horizontal="center" vertical="center" wrapText="1"/>
    </xf>
    <xf numFmtId="176" fontId="121" fillId="3" borderId="6" xfId="0" applyNumberFormat="1" applyFont="1" applyFill="1" applyBorder="1" applyAlignment="1">
      <alignment horizontal="center" vertical="center" wrapText="1"/>
    </xf>
    <xf numFmtId="176" fontId="121" fillId="3" borderId="5" xfId="0" applyNumberFormat="1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74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4"/>
  <sheetViews>
    <sheetView showGridLines="0" tabSelected="1" topLeftCell="A313" zoomScaleNormal="100" workbookViewId="0">
      <selection activeCell="I317" sqref="I31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59" t="s">
        <v>3261</v>
      </c>
      <c r="B1" s="759"/>
      <c r="C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4719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4556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753"/>
      <c r="Q22" s="754"/>
      <c r="R22" s="754"/>
      <c r="S22" s="754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4557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753"/>
      <c r="Q27" s="754"/>
      <c r="R27" s="754"/>
      <c r="S27" s="754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4570</v>
      </c>
      <c r="P36" s="753"/>
      <c r="Q36" s="754"/>
      <c r="R36" s="754"/>
      <c r="S36" s="754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753"/>
      <c r="Q37" s="754"/>
      <c r="R37" s="754"/>
      <c r="S37" s="754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753"/>
      <c r="Q40" s="754"/>
      <c r="R40" s="754"/>
      <c r="S40" s="754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753"/>
      <c r="Q41" s="754"/>
      <c r="R41" s="754"/>
      <c r="S41" s="754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4764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4769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753" t="s">
        <v>4390</v>
      </c>
      <c r="Q43" s="754"/>
      <c r="R43" s="754"/>
      <c r="S43" s="754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4549</v>
      </c>
      <c r="F46" s="31" t="s">
        <v>4352</v>
      </c>
      <c r="G46" s="16" t="s">
        <v>4550</v>
      </c>
      <c r="H46" s="193" t="s">
        <v>4558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4641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4730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4541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4522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4747</v>
      </c>
      <c r="P61" s="753"/>
      <c r="Q61" s="754"/>
      <c r="R61" s="754"/>
      <c r="S61" s="754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753"/>
      <c r="Q64" s="754"/>
      <c r="R64" s="754"/>
      <c r="S64" s="754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4542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4680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4586</v>
      </c>
      <c r="P67" s="753"/>
      <c r="Q67" s="754"/>
      <c r="R67" s="754"/>
      <c r="S67" s="754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4560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4559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4523</v>
      </c>
      <c r="G72" s="277" t="s">
        <v>4524</v>
      </c>
      <c r="H72" s="125" t="s">
        <v>4525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753"/>
      <c r="Q74" s="754"/>
      <c r="R74" s="754"/>
      <c r="S74" s="754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4529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4534</v>
      </c>
      <c r="F78" s="31" t="s">
        <v>4455</v>
      </c>
      <c r="G78" s="16" t="s">
        <v>4459</v>
      </c>
      <c r="H78" s="193" t="s">
        <v>4532</v>
      </c>
      <c r="I78" s="31" t="s">
        <v>4456</v>
      </c>
      <c r="J78" s="31"/>
      <c r="K78" s="125" t="s">
        <v>15</v>
      </c>
      <c r="L78" s="16" t="s">
        <v>4526</v>
      </c>
      <c r="M78" s="8">
        <v>2</v>
      </c>
      <c r="N78" s="31"/>
      <c r="O78" s="443" t="s">
        <v>4533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4536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4625</v>
      </c>
      <c r="E81" s="193" t="s">
        <v>4439</v>
      </c>
      <c r="F81" s="31">
        <v>222003</v>
      </c>
      <c r="G81" s="16" t="s">
        <v>4477</v>
      </c>
      <c r="H81" s="314" t="s">
        <v>4733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4531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4520</v>
      </c>
      <c r="F82" s="31" t="s">
        <v>108</v>
      </c>
      <c r="G82" s="16" t="s">
        <v>4519</v>
      </c>
      <c r="H82" s="314" t="s">
        <v>4732</v>
      </c>
      <c r="I82" s="31" t="s">
        <v>4521</v>
      </c>
      <c r="J82" s="31" t="s">
        <v>4527</v>
      </c>
      <c r="K82" s="125" t="s">
        <v>15</v>
      </c>
      <c r="L82" s="16">
        <v>9080</v>
      </c>
      <c r="M82" s="8">
        <v>2</v>
      </c>
      <c r="N82" s="31"/>
      <c r="O82" s="443" t="s">
        <v>4528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4537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4538</v>
      </c>
      <c r="P83" s="753"/>
      <c r="Q83" s="754"/>
      <c r="R83" s="754"/>
      <c r="S83" s="754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4734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4546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4545</v>
      </c>
      <c r="F85" s="291" t="s">
        <v>4397</v>
      </c>
      <c r="G85" s="16" t="s">
        <v>23</v>
      </c>
      <c r="H85" s="193" t="s">
        <v>4547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4539</v>
      </c>
      <c r="P85" s="753"/>
      <c r="Q85" s="754"/>
      <c r="R85" s="754"/>
      <c r="S85" s="754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4555</v>
      </c>
      <c r="I86" s="31" t="s">
        <v>4489</v>
      </c>
      <c r="J86" s="31"/>
      <c r="K86" s="125" t="s">
        <v>15</v>
      </c>
      <c r="L86" s="16" t="s">
        <v>4551</v>
      </c>
      <c r="M86" s="8">
        <v>1</v>
      </c>
      <c r="N86" s="434" t="s">
        <v>4444</v>
      </c>
      <c r="O86" s="440" t="s">
        <v>4530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4515</v>
      </c>
      <c r="E87" s="31" t="s">
        <v>1893</v>
      </c>
      <c r="F87" s="31" t="s">
        <v>4517</v>
      </c>
      <c r="G87" s="16"/>
      <c r="H87" s="193" t="s">
        <v>4743</v>
      </c>
      <c r="I87" s="31"/>
      <c r="J87" s="31" t="s">
        <v>4535</v>
      </c>
      <c r="K87" s="125" t="s">
        <v>4514</v>
      </c>
      <c r="L87" s="16">
        <v>9080</v>
      </c>
      <c r="M87" s="8">
        <v>2</v>
      </c>
      <c r="N87" s="31"/>
      <c r="O87" s="440" t="s">
        <v>4540</v>
      </c>
      <c r="P87" s="17" t="s">
        <v>4744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4548</v>
      </c>
      <c r="F88" s="31" t="s">
        <v>4466</v>
      </c>
      <c r="G88" s="16" t="s">
        <v>4473</v>
      </c>
      <c r="H88" s="291" t="s">
        <v>4588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4543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4515</v>
      </c>
      <c r="E89" s="31" t="s">
        <v>4516</v>
      </c>
      <c r="F89" s="31" t="s">
        <v>4517</v>
      </c>
      <c r="G89" s="16"/>
      <c r="H89" s="193" t="s">
        <v>4571</v>
      </c>
      <c r="I89" s="31"/>
      <c r="J89" s="31" t="s">
        <v>4535</v>
      </c>
      <c r="K89" s="125" t="s">
        <v>4514</v>
      </c>
      <c r="L89" s="16">
        <v>9080</v>
      </c>
      <c r="M89" s="8">
        <v>2</v>
      </c>
      <c r="N89" s="31"/>
      <c r="O89" s="440" t="s">
        <v>4562</v>
      </c>
      <c r="P89" s="17" t="s">
        <v>4744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4735</v>
      </c>
      <c r="I93" s="193"/>
      <c r="J93" s="193" t="s">
        <v>4572</v>
      </c>
      <c r="K93" s="125" t="s">
        <v>15</v>
      </c>
      <c r="L93" s="16">
        <v>8585</v>
      </c>
      <c r="M93" s="8">
        <v>1</v>
      </c>
      <c r="N93" s="31" t="s">
        <v>4518</v>
      </c>
      <c r="O93" s="442" t="s">
        <v>4324</v>
      </c>
      <c r="P93" s="753" t="s">
        <v>4390</v>
      </c>
      <c r="Q93" s="754"/>
      <c r="R93" s="754"/>
      <c r="S93" s="754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4566</v>
      </c>
      <c r="F94" s="193" t="s">
        <v>4553</v>
      </c>
      <c r="G94" s="16" t="s">
        <v>4554</v>
      </c>
      <c r="H94" s="193" t="s">
        <v>4593</v>
      </c>
      <c r="I94" s="31" t="s">
        <v>4552</v>
      </c>
      <c r="J94" s="31"/>
      <c r="K94" s="125" t="s">
        <v>15</v>
      </c>
      <c r="L94" s="16"/>
      <c r="M94" s="8">
        <v>1</v>
      </c>
      <c r="N94" s="31" t="s">
        <v>4584</v>
      </c>
      <c r="O94" s="443" t="s">
        <v>4565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4736</v>
      </c>
      <c r="I95" s="193"/>
      <c r="J95" s="193" t="s">
        <v>4572</v>
      </c>
      <c r="K95" s="125" t="s">
        <v>15</v>
      </c>
      <c r="L95" s="16">
        <v>8585</v>
      </c>
      <c r="M95" s="8">
        <v>1</v>
      </c>
      <c r="N95" s="31" t="s">
        <v>4606</v>
      </c>
      <c r="O95" s="442" t="s">
        <v>4564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4610</v>
      </c>
      <c r="I96" s="193" t="s">
        <v>4561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4563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4568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4538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4611</v>
      </c>
      <c r="I98" s="193"/>
      <c r="J98" s="31" t="s">
        <v>4607</v>
      </c>
      <c r="K98" s="125" t="s">
        <v>15</v>
      </c>
      <c r="L98" s="16"/>
      <c r="M98" s="8">
        <v>2</v>
      </c>
      <c r="N98" s="31"/>
      <c r="O98" s="443" t="s">
        <v>4594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4597</v>
      </c>
      <c r="G99" s="16" t="s">
        <v>4591</v>
      </c>
      <c r="H99" s="314" t="s">
        <v>4613</v>
      </c>
      <c r="I99" s="193" t="s">
        <v>90</v>
      </c>
      <c r="J99" s="31" t="s">
        <v>4609</v>
      </c>
      <c r="K99" s="125" t="s">
        <v>15</v>
      </c>
      <c r="L99" s="16"/>
      <c r="M99" s="8">
        <v>2</v>
      </c>
      <c r="N99" s="31"/>
      <c r="O99" s="443" t="s">
        <v>4598</v>
      </c>
      <c r="P99" s="412" t="s">
        <v>4592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4605</v>
      </c>
      <c r="F100" s="193" t="s">
        <v>4608</v>
      </c>
      <c r="G100" s="16" t="s">
        <v>150</v>
      </c>
      <c r="H100" s="314" t="s">
        <v>4612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4596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4604</v>
      </c>
      <c r="F101" s="31" t="s">
        <v>2817</v>
      </c>
      <c r="G101" s="16" t="s">
        <v>4602</v>
      </c>
      <c r="H101" s="193" t="s">
        <v>4618</v>
      </c>
      <c r="I101" s="31" t="s">
        <v>4616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4567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4573</v>
      </c>
      <c r="I102" s="31"/>
      <c r="J102" s="31" t="s">
        <v>4574</v>
      </c>
      <c r="K102" s="125" t="s">
        <v>15</v>
      </c>
      <c r="L102" s="16"/>
      <c r="M102" s="8">
        <v>2</v>
      </c>
      <c r="N102" s="31"/>
      <c r="O102" s="443" t="s">
        <v>4580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4619</v>
      </c>
      <c r="F103" s="193">
        <v>222003</v>
      </c>
      <c r="G103" s="16" t="s">
        <v>4620</v>
      </c>
      <c r="H103" s="314" t="s">
        <v>4737</v>
      </c>
      <c r="I103" s="31"/>
      <c r="J103" s="31" t="s">
        <v>4621</v>
      </c>
      <c r="K103" s="125" t="s">
        <v>15</v>
      </c>
      <c r="L103" s="16"/>
      <c r="M103" s="8">
        <v>1</v>
      </c>
      <c r="N103" s="31"/>
      <c r="O103" s="443" t="s">
        <v>4622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4548</v>
      </c>
      <c r="F104" s="31" t="s">
        <v>2817</v>
      </c>
      <c r="G104" s="16" t="s">
        <v>4601</v>
      </c>
      <c r="H104" s="314" t="s">
        <v>4627</v>
      </c>
      <c r="I104" s="31"/>
      <c r="J104" s="31" t="s">
        <v>4544</v>
      </c>
      <c r="K104" s="125" t="s">
        <v>32</v>
      </c>
      <c r="L104" s="16"/>
      <c r="M104" s="8">
        <v>2</v>
      </c>
      <c r="N104" s="31" t="s">
        <v>4629</v>
      </c>
      <c r="O104" s="442" t="s">
        <v>4595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4548</v>
      </c>
      <c r="F105" s="31" t="s">
        <v>2817</v>
      </c>
      <c r="G105" s="16" t="s">
        <v>4601</v>
      </c>
      <c r="H105" s="193" t="s">
        <v>4628</v>
      </c>
      <c r="I105" s="31"/>
      <c r="J105" s="31" t="s">
        <v>4623</v>
      </c>
      <c r="K105" s="125" t="s">
        <v>32</v>
      </c>
      <c r="L105" s="16">
        <v>9080</v>
      </c>
      <c r="M105" s="8">
        <v>2</v>
      </c>
      <c r="N105" s="31"/>
      <c r="O105" s="441" t="s">
        <v>4624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4615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4548</v>
      </c>
      <c r="F107" s="31" t="s">
        <v>2817</v>
      </c>
      <c r="G107" s="16" t="s">
        <v>1390</v>
      </c>
      <c r="H107" s="314" t="s">
        <v>4635</v>
      </c>
      <c r="I107" s="31"/>
      <c r="J107" s="31" t="s">
        <v>4633</v>
      </c>
      <c r="K107" s="125" t="s">
        <v>32</v>
      </c>
      <c r="L107" s="16"/>
      <c r="M107" s="8">
        <v>1</v>
      </c>
      <c r="N107" s="193" t="s">
        <v>4636</v>
      </c>
      <c r="O107" s="442" t="s">
        <v>4634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4590</v>
      </c>
      <c r="G109" s="16" t="s">
        <v>4600</v>
      </c>
      <c r="H109" s="193" t="s">
        <v>4599</v>
      </c>
      <c r="I109" s="31"/>
      <c r="J109" s="31" t="s">
        <v>4589</v>
      </c>
      <c r="K109" s="125" t="s">
        <v>15</v>
      </c>
      <c r="L109" s="16"/>
      <c r="M109" s="8">
        <v>3</v>
      </c>
      <c r="N109" s="31"/>
      <c r="O109" s="443" t="s">
        <v>4587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4577</v>
      </c>
      <c r="G112" s="16" t="s">
        <v>4579</v>
      </c>
      <c r="H112" s="193" t="s">
        <v>4578</v>
      </c>
      <c r="I112" s="31" t="s">
        <v>4585</v>
      </c>
      <c r="J112" s="193" t="s">
        <v>4646</v>
      </c>
      <c r="K112" s="125" t="s">
        <v>4626</v>
      </c>
      <c r="L112" s="16">
        <v>9080</v>
      </c>
      <c r="M112" s="8">
        <v>6</v>
      </c>
      <c r="N112" s="31"/>
      <c r="O112" s="443" t="s">
        <v>4587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4738</v>
      </c>
      <c r="I114" s="31" t="s">
        <v>4631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4630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4651</v>
      </c>
      <c r="E115" s="432" t="s">
        <v>4650</v>
      </c>
      <c r="F115" s="310">
        <v>222003</v>
      </c>
      <c r="G115" s="197" t="s">
        <v>4649</v>
      </c>
      <c r="H115" s="310" t="s">
        <v>4648</v>
      </c>
      <c r="I115" s="311"/>
      <c r="J115" s="311" t="s">
        <v>4652</v>
      </c>
      <c r="K115" s="309" t="s">
        <v>66</v>
      </c>
      <c r="L115" s="197"/>
      <c r="M115" s="182">
        <v>1</v>
      </c>
      <c r="N115" s="31" t="s">
        <v>4654</v>
      </c>
      <c r="O115" s="448" t="s">
        <v>4653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4657</v>
      </c>
      <c r="G116" s="16" t="s">
        <v>4656</v>
      </c>
      <c r="H116" s="193" t="s">
        <v>4659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4587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4575</v>
      </c>
      <c r="I117" s="31" t="s">
        <v>202</v>
      </c>
      <c r="J117" s="193" t="s">
        <v>4576</v>
      </c>
      <c r="K117" s="125" t="s">
        <v>181</v>
      </c>
      <c r="L117" s="16">
        <v>9080</v>
      </c>
      <c r="M117" s="8">
        <v>6</v>
      </c>
      <c r="N117" s="31"/>
      <c r="O117" s="443" t="s">
        <v>4647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4632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4655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4575</v>
      </c>
      <c r="I119" s="31" t="s">
        <v>202</v>
      </c>
      <c r="J119" s="193" t="s">
        <v>4576</v>
      </c>
      <c r="K119" s="125" t="s">
        <v>181</v>
      </c>
      <c r="L119" s="16">
        <v>9080</v>
      </c>
      <c r="M119" s="8">
        <v>6</v>
      </c>
      <c r="N119" s="31" t="s">
        <v>4644</v>
      </c>
      <c r="O119" s="443" t="s">
        <v>4647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4679</v>
      </c>
      <c r="I121" s="31" t="s">
        <v>202</v>
      </c>
      <c r="J121" s="193" t="s">
        <v>4576</v>
      </c>
      <c r="K121" s="125" t="s">
        <v>181</v>
      </c>
      <c r="L121" s="16">
        <v>9080</v>
      </c>
      <c r="M121" s="8">
        <v>6</v>
      </c>
      <c r="N121" s="31" t="s">
        <v>4617</v>
      </c>
      <c r="O121" s="443" t="s">
        <v>4587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4638</v>
      </c>
      <c r="F122" s="31" t="s">
        <v>4742</v>
      </c>
      <c r="G122" s="16" t="s">
        <v>1382</v>
      </c>
      <c r="H122" s="314" t="s">
        <v>4639</v>
      </c>
      <c r="I122" s="31" t="s">
        <v>4658</v>
      </c>
      <c r="J122" s="31" t="s">
        <v>2828</v>
      </c>
      <c r="K122" s="125" t="s">
        <v>32</v>
      </c>
      <c r="L122" s="431" t="s">
        <v>4640</v>
      </c>
      <c r="M122" s="8">
        <v>2</v>
      </c>
      <c r="N122" s="31"/>
      <c r="O122" s="440" t="s">
        <v>4643</v>
      </c>
      <c r="P122" s="412" t="s">
        <v>4664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4603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4581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4582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4583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4661</v>
      </c>
      <c r="F132" s="31">
        <v>3307</v>
      </c>
      <c r="G132" s="16" t="s">
        <v>811</v>
      </c>
      <c r="H132" s="193" t="s">
        <v>4731</v>
      </c>
      <c r="I132" s="31" t="s">
        <v>4687</v>
      </c>
      <c r="J132" s="31" t="s">
        <v>4662</v>
      </c>
      <c r="K132" s="125"/>
      <c r="L132" s="16"/>
      <c r="M132" s="8">
        <v>2</v>
      </c>
      <c r="N132" s="291" t="s">
        <v>4690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4688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4739</v>
      </c>
      <c r="I134" s="31" t="s">
        <v>4672</v>
      </c>
      <c r="J134" s="193" t="s">
        <v>4671</v>
      </c>
      <c r="K134" s="125" t="s">
        <v>15</v>
      </c>
      <c r="L134" s="16"/>
      <c r="M134" s="8">
        <v>4</v>
      </c>
      <c r="N134" s="434" t="s">
        <v>4699</v>
      </c>
      <c r="O134" s="442" t="s">
        <v>4711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4670</v>
      </c>
      <c r="G135" s="16" t="s">
        <v>23</v>
      </c>
      <c r="H135" s="193" t="s">
        <v>4740</v>
      </c>
      <c r="I135" s="125" t="s">
        <v>4675</v>
      </c>
      <c r="J135" s="193" t="s">
        <v>641</v>
      </c>
      <c r="K135" s="125" t="s">
        <v>15</v>
      </c>
      <c r="L135" s="16"/>
      <c r="M135" s="8">
        <v>3</v>
      </c>
      <c r="N135" s="6" t="s">
        <v>4700</v>
      </c>
      <c r="O135" s="442" t="s">
        <v>4667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4673</v>
      </c>
      <c r="G136" s="16" t="s">
        <v>4668</v>
      </c>
      <c r="H136" s="193" t="s">
        <v>4715</v>
      </c>
      <c r="I136" s="31"/>
      <c r="J136" s="193" t="s">
        <v>4705</v>
      </c>
      <c r="K136" s="125" t="s">
        <v>15</v>
      </c>
      <c r="L136" s="16">
        <v>9080</v>
      </c>
      <c r="M136" s="8">
        <v>3</v>
      </c>
      <c r="N136" s="434"/>
      <c r="O136" s="442" t="s">
        <v>4674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4707</v>
      </c>
      <c r="G137" s="16" t="s">
        <v>4706</v>
      </c>
      <c r="H137" s="193" t="s">
        <v>4708</v>
      </c>
      <c r="I137" s="31"/>
      <c r="J137" s="193" t="s">
        <v>4705</v>
      </c>
      <c r="K137" s="125" t="s">
        <v>4709</v>
      </c>
      <c r="L137" s="16"/>
      <c r="M137" s="8">
        <v>3</v>
      </c>
      <c r="N137" s="434"/>
      <c r="O137" s="442" t="s">
        <v>4712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4681</v>
      </c>
      <c r="E138" s="31" t="s">
        <v>4682</v>
      </c>
      <c r="F138" s="31">
        <v>222003</v>
      </c>
      <c r="G138" s="16" t="s">
        <v>4683</v>
      </c>
      <c r="H138" s="193" t="s">
        <v>4685</v>
      </c>
      <c r="I138" s="193"/>
      <c r="J138" s="193" t="s">
        <v>4691</v>
      </c>
      <c r="K138" s="125" t="s">
        <v>4710</v>
      </c>
      <c r="L138" s="16"/>
      <c r="M138" s="8">
        <v>1</v>
      </c>
      <c r="N138" s="31"/>
      <c r="O138" s="440" t="s">
        <v>4684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4642</v>
      </c>
      <c r="H140" s="193" t="s">
        <v>213</v>
      </c>
      <c r="I140" s="31" t="s">
        <v>4676</v>
      </c>
      <c r="J140" s="193"/>
      <c r="K140" s="125" t="s">
        <v>3265</v>
      </c>
      <c r="L140" s="16"/>
      <c r="M140" s="8">
        <v>1</v>
      </c>
      <c r="N140" s="31" t="s">
        <v>4723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4714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4686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4678</v>
      </c>
      <c r="I142" s="31" t="s">
        <v>4676</v>
      </c>
      <c r="J142" s="193"/>
      <c r="K142" s="125" t="s">
        <v>3265</v>
      </c>
      <c r="L142" s="16"/>
      <c r="M142" s="8">
        <v>1</v>
      </c>
      <c r="N142" s="193" t="s">
        <v>4726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4703</v>
      </c>
      <c r="F143" s="31" t="s">
        <v>2817</v>
      </c>
      <c r="G143" s="16" t="s">
        <v>205</v>
      </c>
      <c r="H143" s="193" t="s">
        <v>4412</v>
      </c>
      <c r="I143" s="31"/>
      <c r="J143" s="193" t="s">
        <v>4660</v>
      </c>
      <c r="K143" s="125" t="s">
        <v>32</v>
      </c>
      <c r="L143" s="16"/>
      <c r="M143" s="8">
        <v>1</v>
      </c>
      <c r="N143" s="434"/>
      <c r="O143" s="449" t="s">
        <v>4704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4669</v>
      </c>
      <c r="G144" s="418" t="s">
        <v>4569</v>
      </c>
      <c r="H144" s="193" t="s">
        <v>4637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4729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4677</v>
      </c>
      <c r="I145" s="31" t="s">
        <v>4676</v>
      </c>
      <c r="J145" s="193"/>
      <c r="K145" s="125" t="s">
        <v>3265</v>
      </c>
      <c r="L145" s="16"/>
      <c r="M145" s="8">
        <v>1</v>
      </c>
      <c r="N145" s="193" t="s">
        <v>4727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4692</v>
      </c>
      <c r="D146" s="4" t="s">
        <v>4693</v>
      </c>
      <c r="E146" s="314" t="s">
        <v>4694</v>
      </c>
      <c r="F146" s="31" t="s">
        <v>4695</v>
      </c>
      <c r="G146" s="16" t="s">
        <v>4696</v>
      </c>
      <c r="H146" s="193" t="s">
        <v>4741</v>
      </c>
      <c r="I146" s="31"/>
      <c r="J146" s="31" t="s">
        <v>4697</v>
      </c>
      <c r="K146" s="125" t="s">
        <v>4698</v>
      </c>
      <c r="L146" s="16"/>
      <c r="M146" s="8">
        <v>1</v>
      </c>
      <c r="N146" s="31"/>
      <c r="O146" s="440" t="s">
        <v>4713</v>
      </c>
    </row>
    <row r="147" spans="1:19" s="17" customFormat="1" ht="33" customHeight="1">
      <c r="A147" s="436"/>
      <c r="B147" s="403">
        <v>46078</v>
      </c>
      <c r="C147" s="4" t="s">
        <v>4720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4721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4722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4645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4755</v>
      </c>
      <c r="I150" s="311" t="s">
        <v>90</v>
      </c>
      <c r="J150" s="310" t="s">
        <v>4701</v>
      </c>
      <c r="K150" s="309" t="s">
        <v>15</v>
      </c>
      <c r="L150" s="197" t="s">
        <v>4718</v>
      </c>
      <c r="M150" s="182">
        <v>3</v>
      </c>
      <c r="N150" s="310"/>
      <c r="O150" s="448" t="s">
        <v>4702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4749</v>
      </c>
      <c r="F151" s="31" t="s">
        <v>362</v>
      </c>
      <c r="G151" s="16" t="s">
        <v>3327</v>
      </c>
      <c r="H151" s="193" t="s">
        <v>4750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4748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4775</v>
      </c>
      <c r="I152" s="193"/>
      <c r="J152" s="193" t="s">
        <v>4716</v>
      </c>
      <c r="K152" s="125" t="s">
        <v>4717</v>
      </c>
      <c r="L152" s="16"/>
      <c r="M152" s="8">
        <v>2</v>
      </c>
      <c r="N152" s="193"/>
      <c r="O152" s="440" t="s">
        <v>4702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4771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4663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4724</v>
      </c>
      <c r="G157" s="16" t="s">
        <v>3327</v>
      </c>
      <c r="H157" s="193" t="s">
        <v>4776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4725</v>
      </c>
      <c r="O157" s="441" t="s">
        <v>4760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4768</v>
      </c>
      <c r="F158" s="193" t="s">
        <v>4763</v>
      </c>
      <c r="G158" s="16" t="s">
        <v>4765</v>
      </c>
      <c r="H158" s="193" t="s">
        <v>4767</v>
      </c>
      <c r="I158" s="31"/>
      <c r="J158" s="193" t="s">
        <v>4766</v>
      </c>
      <c r="K158" s="125" t="s">
        <v>15</v>
      </c>
      <c r="L158" s="16"/>
      <c r="M158" s="8">
        <v>1</v>
      </c>
      <c r="N158" s="31"/>
      <c r="O158" s="441" t="s">
        <v>4770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4762</v>
      </c>
      <c r="F159" s="31" t="s">
        <v>108</v>
      </c>
      <c r="G159" s="16" t="s">
        <v>142</v>
      </c>
      <c r="H159" s="291" t="s">
        <v>4772</v>
      </c>
      <c r="I159" s="31"/>
      <c r="J159" s="31" t="s">
        <v>4773</v>
      </c>
      <c r="K159" s="125" t="s">
        <v>15</v>
      </c>
      <c r="L159" s="16">
        <v>9080</v>
      </c>
      <c r="M159" s="8">
        <v>1</v>
      </c>
      <c r="N159" s="31"/>
      <c r="O159" s="458" t="s">
        <v>4761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4783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4666</v>
      </c>
      <c r="O160" s="440" t="s">
        <v>4780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4782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4781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4785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4791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4758</v>
      </c>
      <c r="H163" s="314" t="s">
        <v>4798</v>
      </c>
      <c r="I163" s="31"/>
      <c r="J163" s="31" t="s">
        <v>4757</v>
      </c>
      <c r="K163" s="125" t="s">
        <v>15</v>
      </c>
      <c r="L163" s="16"/>
      <c r="M163" s="8">
        <v>1</v>
      </c>
      <c r="N163" s="31"/>
      <c r="O163" s="443" t="s">
        <v>4759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4794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4790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4745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4779</v>
      </c>
      <c r="O165" s="441" t="s">
        <v>4778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4795</v>
      </c>
      <c r="F166" s="31">
        <v>7064</v>
      </c>
      <c r="G166" s="16" t="s">
        <v>83</v>
      </c>
      <c r="H166" s="193" t="s">
        <v>4796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4797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4799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4802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757"/>
      <c r="Q169" s="758"/>
      <c r="R169" s="758"/>
      <c r="S169" s="758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4756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4666</v>
      </c>
      <c r="O170" s="443" t="s">
        <v>4800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4816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4817</v>
      </c>
      <c r="O172" s="463" t="s">
        <v>4789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4787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4788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4756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4800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4786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4803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4819</v>
      </c>
      <c r="F176" s="31" t="s">
        <v>4784</v>
      </c>
      <c r="G176" s="16" t="s">
        <v>102</v>
      </c>
      <c r="H176" s="466" t="s">
        <v>4801</v>
      </c>
      <c r="I176" s="31" t="s">
        <v>90</v>
      </c>
      <c r="J176" s="193" t="s">
        <v>686</v>
      </c>
      <c r="K176" s="125" t="s">
        <v>4818</v>
      </c>
      <c r="L176" s="16"/>
      <c r="M176" s="8">
        <v>2</v>
      </c>
      <c r="N176" s="434" t="s">
        <v>4774</v>
      </c>
      <c r="O176" s="462" t="s">
        <v>4805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4746</v>
      </c>
      <c r="F178" s="291" t="s">
        <v>4751</v>
      </c>
      <c r="G178" s="457" t="s">
        <v>23</v>
      </c>
      <c r="H178" s="193" t="s">
        <v>4752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4836</v>
      </c>
      <c r="O178" s="441" t="s">
        <v>4806</v>
      </c>
    </row>
    <row r="179" spans="1:19" s="17" customFormat="1" ht="33" customHeight="1">
      <c r="A179" s="436"/>
      <c r="B179" s="403">
        <v>46094</v>
      </c>
      <c r="C179" s="4" t="s">
        <v>4839</v>
      </c>
      <c r="D179" s="4" t="s">
        <v>4840</v>
      </c>
      <c r="E179" s="31" t="s">
        <v>4841</v>
      </c>
      <c r="F179" s="31" t="s">
        <v>4842</v>
      </c>
      <c r="G179" s="16" t="s">
        <v>4843</v>
      </c>
      <c r="H179" s="193" t="s">
        <v>4844</v>
      </c>
      <c r="I179" s="31" t="s">
        <v>4845</v>
      </c>
      <c r="J179" s="31" t="s">
        <v>4855</v>
      </c>
      <c r="K179" s="125" t="s">
        <v>15</v>
      </c>
      <c r="L179" s="16">
        <v>9080</v>
      </c>
      <c r="M179" s="8">
        <v>5</v>
      </c>
      <c r="N179" s="31" t="s">
        <v>4815</v>
      </c>
      <c r="O179" s="440"/>
    </row>
    <row r="180" spans="1:19" s="17" customFormat="1" ht="33" customHeight="1">
      <c r="A180" s="436"/>
      <c r="B180" s="403">
        <v>46095</v>
      </c>
      <c r="C180" s="4" t="s">
        <v>4839</v>
      </c>
      <c r="D180" s="4" t="s">
        <v>4840</v>
      </c>
      <c r="E180" s="31" t="s">
        <v>4841</v>
      </c>
      <c r="F180" s="31" t="s">
        <v>4842</v>
      </c>
      <c r="G180" s="16" t="s">
        <v>4843</v>
      </c>
      <c r="H180" s="193" t="s">
        <v>4844</v>
      </c>
      <c r="I180" s="31" t="s">
        <v>4845</v>
      </c>
      <c r="J180" s="31" t="s">
        <v>4855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4799</v>
      </c>
      <c r="I181" s="193" t="s">
        <v>126</v>
      </c>
      <c r="J181" s="193" t="s">
        <v>4847</v>
      </c>
      <c r="K181" s="125" t="s">
        <v>15</v>
      </c>
      <c r="L181" s="16" t="s">
        <v>33</v>
      </c>
      <c r="M181" s="8">
        <v>3</v>
      </c>
      <c r="N181" s="31"/>
      <c r="O181" s="443" t="s">
        <v>4848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755" t="s">
        <v>4689</v>
      </c>
      <c r="Q182" s="756"/>
      <c r="R182" s="756"/>
      <c r="S182" s="756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4821</v>
      </c>
      <c r="E183" s="471" t="s">
        <v>4837</v>
      </c>
      <c r="F183" s="467">
        <v>3306</v>
      </c>
      <c r="G183" s="472" t="s">
        <v>4838</v>
      </c>
      <c r="H183" s="471" t="s">
        <v>4846</v>
      </c>
      <c r="I183" s="467" t="s">
        <v>4850</v>
      </c>
      <c r="J183" s="466" t="s">
        <v>4849</v>
      </c>
      <c r="K183" s="136" t="s">
        <v>15</v>
      </c>
      <c r="L183" s="472"/>
      <c r="M183" s="8">
        <v>5</v>
      </c>
      <c r="N183" s="314" t="s">
        <v>4882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4883</v>
      </c>
      <c r="E184" s="291" t="s">
        <v>4884</v>
      </c>
      <c r="F184" s="31" t="s">
        <v>2916</v>
      </c>
      <c r="G184" s="472" t="s">
        <v>4885</v>
      </c>
      <c r="H184" s="193" t="s">
        <v>4888</v>
      </c>
      <c r="I184" s="31"/>
      <c r="J184" s="31" t="s">
        <v>4886</v>
      </c>
      <c r="K184" s="125" t="s">
        <v>4887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4828</v>
      </c>
      <c r="D185" s="4" t="s">
        <v>4829</v>
      </c>
      <c r="E185" s="31" t="s">
        <v>4830</v>
      </c>
      <c r="F185" s="31" t="s">
        <v>4831</v>
      </c>
      <c r="G185" s="16" t="s">
        <v>4832</v>
      </c>
      <c r="H185" s="193" t="s">
        <v>4900</v>
      </c>
      <c r="I185" s="31" t="s">
        <v>4833</v>
      </c>
      <c r="J185" s="193" t="s">
        <v>4834</v>
      </c>
      <c r="K185" s="125" t="s">
        <v>4835</v>
      </c>
      <c r="L185" s="16">
        <v>9080</v>
      </c>
      <c r="M185" s="8">
        <v>4</v>
      </c>
      <c r="N185" s="434"/>
      <c r="O185" s="442"/>
      <c r="P185" s="409" t="s">
        <v>4728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4891</v>
      </c>
      <c r="H186" s="193" t="s">
        <v>4892</v>
      </c>
      <c r="I186" s="31" t="s">
        <v>4893</v>
      </c>
      <c r="J186" s="193" t="s">
        <v>4894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4807</v>
      </c>
      <c r="D187" s="3" t="s">
        <v>4808</v>
      </c>
      <c r="E187" s="467" t="s">
        <v>4809</v>
      </c>
      <c r="F187" s="467" t="s">
        <v>4810</v>
      </c>
      <c r="G187" s="472" t="s">
        <v>4811</v>
      </c>
      <c r="H187" s="471" t="s">
        <v>4851</v>
      </c>
      <c r="I187" s="467" t="s">
        <v>4813</v>
      </c>
      <c r="J187" s="466" t="s">
        <v>4852</v>
      </c>
      <c r="K187" s="136" t="s">
        <v>15</v>
      </c>
      <c r="L187" s="472" t="s">
        <v>4814</v>
      </c>
      <c r="M187" s="8">
        <v>2</v>
      </c>
      <c r="N187" s="434"/>
      <c r="O187" s="442" t="s">
        <v>4812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4837</v>
      </c>
      <c r="F188" s="467">
        <v>3306</v>
      </c>
      <c r="G188" s="472" t="s">
        <v>4838</v>
      </c>
      <c r="H188" s="471" t="s">
        <v>4846</v>
      </c>
      <c r="I188" s="467" t="s">
        <v>4850</v>
      </c>
      <c r="J188" s="466" t="s">
        <v>4849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4820</v>
      </c>
      <c r="D189" s="4" t="s">
        <v>4821</v>
      </c>
      <c r="E189" s="314" t="s">
        <v>4822</v>
      </c>
      <c r="F189" s="31" t="s">
        <v>4823</v>
      </c>
      <c r="G189" s="16" t="s">
        <v>4824</v>
      </c>
      <c r="H189" s="193" t="s">
        <v>4825</v>
      </c>
      <c r="I189" s="31"/>
      <c r="J189" s="31" t="s">
        <v>4826</v>
      </c>
      <c r="K189" s="125" t="s">
        <v>4827</v>
      </c>
      <c r="L189" s="16">
        <v>9080</v>
      </c>
      <c r="M189" s="8">
        <v>4</v>
      </c>
      <c r="N189" s="31" t="s">
        <v>4666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4837</v>
      </c>
      <c r="F190" s="467">
        <v>3306</v>
      </c>
      <c r="G190" s="472" t="s">
        <v>4838</v>
      </c>
      <c r="H190" s="471" t="s">
        <v>4846</v>
      </c>
      <c r="I190" s="467" t="s">
        <v>4850</v>
      </c>
      <c r="J190" s="466" t="s">
        <v>4849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4820</v>
      </c>
      <c r="D191" s="4" t="s">
        <v>4821</v>
      </c>
      <c r="E191" s="314" t="s">
        <v>4822</v>
      </c>
      <c r="F191" s="31" t="s">
        <v>4823</v>
      </c>
      <c r="G191" s="16" t="s">
        <v>4824</v>
      </c>
      <c r="H191" s="193" t="s">
        <v>4825</v>
      </c>
      <c r="I191" s="31"/>
      <c r="J191" s="193" t="s">
        <v>4853</v>
      </c>
      <c r="K191" s="125" t="s">
        <v>4827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4837</v>
      </c>
      <c r="F192" s="467">
        <v>3306</v>
      </c>
      <c r="G192" s="472" t="s">
        <v>4838</v>
      </c>
      <c r="H192" s="471" t="s">
        <v>4846</v>
      </c>
      <c r="I192" s="467" t="s">
        <v>4850</v>
      </c>
      <c r="J192" s="466" t="s">
        <v>4849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4907</v>
      </c>
      <c r="D193" s="3"/>
      <c r="E193" s="467"/>
      <c r="F193" s="467"/>
      <c r="G193" s="472"/>
      <c r="H193" s="466" t="s">
        <v>4909</v>
      </c>
      <c r="I193" s="467"/>
      <c r="J193" s="466" t="s">
        <v>4910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4820</v>
      </c>
      <c r="D194" s="4" t="s">
        <v>4821</v>
      </c>
      <c r="E194" s="314" t="s">
        <v>4822</v>
      </c>
      <c r="F194" s="31" t="s">
        <v>4823</v>
      </c>
      <c r="G194" s="16" t="s">
        <v>4824</v>
      </c>
      <c r="H194" s="193" t="s">
        <v>4825</v>
      </c>
      <c r="I194" s="31"/>
      <c r="J194" s="193" t="s">
        <v>4853</v>
      </c>
      <c r="K194" s="125" t="s">
        <v>42</v>
      </c>
      <c r="L194" s="16">
        <v>9080</v>
      </c>
      <c r="M194" s="8">
        <v>5</v>
      </c>
      <c r="N194" s="31" t="s">
        <v>4666</v>
      </c>
      <c r="O194" s="440"/>
    </row>
    <row r="195" spans="1:17" s="17" customFormat="1" ht="33" customHeight="1">
      <c r="A195" s="436"/>
      <c r="B195" s="403">
        <v>46101</v>
      </c>
      <c r="C195" s="3" t="s">
        <v>4907</v>
      </c>
      <c r="D195" s="3"/>
      <c r="E195" s="467"/>
      <c r="F195" s="467"/>
      <c r="G195" s="472"/>
      <c r="H195" s="466" t="s">
        <v>4909</v>
      </c>
      <c r="I195" s="467"/>
      <c r="J195" s="466" t="s">
        <v>4910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4792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4854</v>
      </c>
      <c r="I198" s="31" t="s">
        <v>4901</v>
      </c>
      <c r="J198" s="31"/>
      <c r="K198" s="125"/>
      <c r="L198" s="16"/>
      <c r="M198" s="8"/>
      <c r="N198" s="31" t="s">
        <v>4666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4934</v>
      </c>
      <c r="I199" s="31"/>
      <c r="J199" s="193" t="s">
        <v>4935</v>
      </c>
      <c r="K199" s="125" t="s">
        <v>4936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4907</v>
      </c>
      <c r="D200" s="4"/>
      <c r="E200" s="193" t="s">
        <v>4912</v>
      </c>
      <c r="F200" s="31" t="s">
        <v>3589</v>
      </c>
      <c r="G200" s="16" t="s">
        <v>4913</v>
      </c>
      <c r="H200" s="193" t="s">
        <v>4911</v>
      </c>
      <c r="I200" s="31"/>
      <c r="J200" s="31" t="s">
        <v>4908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4889</v>
      </c>
      <c r="D201" s="3" t="s">
        <v>4890</v>
      </c>
      <c r="E201" s="467" t="s">
        <v>4895</v>
      </c>
      <c r="F201" s="467" t="s">
        <v>4896</v>
      </c>
      <c r="G201" s="472" t="s">
        <v>4897</v>
      </c>
      <c r="H201" s="466" t="s">
        <v>4932</v>
      </c>
      <c r="I201" s="467" t="s">
        <v>4931</v>
      </c>
      <c r="J201" s="467" t="s">
        <v>4899</v>
      </c>
      <c r="K201" s="136" t="s">
        <v>4898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4933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4793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4666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4929</v>
      </c>
      <c r="D205" s="3" t="s">
        <v>17</v>
      </c>
      <c r="E205" s="467" t="s">
        <v>1788</v>
      </c>
      <c r="F205" s="466" t="s">
        <v>4614</v>
      </c>
      <c r="G205" s="472" t="s">
        <v>23</v>
      </c>
      <c r="H205" s="466" t="s">
        <v>4928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5246</v>
      </c>
      <c r="D206" s="3" t="s">
        <v>5247</v>
      </c>
      <c r="E206" s="467" t="s">
        <v>5248</v>
      </c>
      <c r="F206" s="467" t="s">
        <v>5249</v>
      </c>
      <c r="G206" s="472" t="s">
        <v>5250</v>
      </c>
      <c r="H206" s="466" t="s">
        <v>5251</v>
      </c>
      <c r="I206" s="467" t="s">
        <v>5245</v>
      </c>
      <c r="J206" s="466" t="s">
        <v>5252</v>
      </c>
      <c r="K206" s="136" t="s">
        <v>5253</v>
      </c>
      <c r="L206" s="472" t="s">
        <v>5254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5246</v>
      </c>
      <c r="D207" s="3" t="s">
        <v>5247</v>
      </c>
      <c r="E207" s="467" t="s">
        <v>5248</v>
      </c>
      <c r="F207" s="467" t="s">
        <v>5275</v>
      </c>
      <c r="G207" s="16" t="s">
        <v>23</v>
      </c>
      <c r="H207" s="193" t="s">
        <v>5276</v>
      </c>
      <c r="I207" s="467" t="s">
        <v>5245</v>
      </c>
      <c r="J207" s="466" t="s">
        <v>5252</v>
      </c>
      <c r="K207" s="136" t="s">
        <v>5253</v>
      </c>
      <c r="L207" s="472" t="s">
        <v>5254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4930</v>
      </c>
      <c r="D208" s="3" t="s">
        <v>17</v>
      </c>
      <c r="E208" s="467" t="s">
        <v>1788</v>
      </c>
      <c r="F208" s="466" t="s">
        <v>4614</v>
      </c>
      <c r="G208" s="472" t="s">
        <v>23</v>
      </c>
      <c r="H208" s="466" t="s">
        <v>4928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4777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5244</v>
      </c>
      <c r="G209" s="472"/>
      <c r="H209" s="466" t="s">
        <v>5273</v>
      </c>
      <c r="I209" s="467" t="s">
        <v>5274</v>
      </c>
      <c r="J209" s="467"/>
      <c r="K209" s="136"/>
      <c r="L209" s="472" t="s">
        <v>5284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5262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5417</v>
      </c>
    </row>
    <row r="213" spans="1:16" s="17" customFormat="1" ht="33" customHeight="1">
      <c r="A213" s="435" t="s">
        <v>4495</v>
      </c>
      <c r="B213" s="403">
        <v>46111</v>
      </c>
      <c r="C213" s="4" t="s">
        <v>5263</v>
      </c>
      <c r="D213" s="4" t="s">
        <v>14</v>
      </c>
      <c r="E213" s="31" t="s">
        <v>1787</v>
      </c>
      <c r="F213" s="31" t="s">
        <v>2135</v>
      </c>
      <c r="G213" s="16" t="s">
        <v>5264</v>
      </c>
      <c r="H213" s="466" t="s">
        <v>5265</v>
      </c>
      <c r="I213" s="466" t="s">
        <v>5286</v>
      </c>
      <c r="J213" s="466" t="s">
        <v>5266</v>
      </c>
      <c r="K213" s="136" t="s">
        <v>5267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5295</v>
      </c>
      <c r="I214" s="466" t="s">
        <v>5286</v>
      </c>
      <c r="J214" s="466" t="s">
        <v>5278</v>
      </c>
      <c r="K214" s="125" t="s">
        <v>15</v>
      </c>
      <c r="L214" s="16" t="s">
        <v>5289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5263</v>
      </c>
      <c r="D215" s="4" t="s">
        <v>14</v>
      </c>
      <c r="E215" s="31" t="s">
        <v>1787</v>
      </c>
      <c r="F215" s="31" t="s">
        <v>2135</v>
      </c>
      <c r="G215" s="16" t="s">
        <v>5264</v>
      </c>
      <c r="H215" s="466" t="s">
        <v>5265</v>
      </c>
      <c r="I215" s="466" t="s">
        <v>5286</v>
      </c>
      <c r="J215" s="466" t="s">
        <v>5266</v>
      </c>
      <c r="K215" s="136" t="s">
        <v>5267</v>
      </c>
      <c r="L215" s="472" t="s">
        <v>5288</v>
      </c>
      <c r="M215" s="468">
        <v>6</v>
      </c>
      <c r="N215" s="434"/>
      <c r="O215" s="440"/>
      <c r="P215" s="578" t="s">
        <v>5296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5243</v>
      </c>
      <c r="F216" s="486" t="s">
        <v>3332</v>
      </c>
      <c r="G216" s="472" t="s">
        <v>23</v>
      </c>
      <c r="H216" s="466" t="s">
        <v>5405</v>
      </c>
      <c r="I216" s="467"/>
      <c r="J216" s="466" t="s">
        <v>5372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5296</v>
      </c>
    </row>
    <row r="217" spans="1:16" s="17" customFormat="1" ht="33" customHeight="1">
      <c r="A217" s="436"/>
      <c r="B217" s="370">
        <v>46113</v>
      </c>
      <c r="C217" s="4" t="s">
        <v>5263</v>
      </c>
      <c r="D217" s="4" t="s">
        <v>14</v>
      </c>
      <c r="E217" s="31" t="s">
        <v>1787</v>
      </c>
      <c r="F217" s="31" t="s">
        <v>2135</v>
      </c>
      <c r="G217" s="16" t="s">
        <v>5264</v>
      </c>
      <c r="H217" s="466" t="s">
        <v>5298</v>
      </c>
      <c r="I217" s="466" t="s">
        <v>5287</v>
      </c>
      <c r="J217" s="466" t="s">
        <v>5290</v>
      </c>
      <c r="K217" s="136" t="s">
        <v>5267</v>
      </c>
      <c r="L217" s="472" t="s">
        <v>33</v>
      </c>
      <c r="M217" s="468">
        <v>4</v>
      </c>
      <c r="N217" s="31"/>
      <c r="O217" s="587" t="s">
        <v>5420</v>
      </c>
      <c r="P217" s="321"/>
    </row>
    <row r="218" spans="1:16" s="17" customFormat="1" ht="33" customHeight="1">
      <c r="A218" s="436"/>
      <c r="B218" s="370">
        <v>46113</v>
      </c>
      <c r="C218" s="4" t="s">
        <v>5270</v>
      </c>
      <c r="D218" s="4" t="s">
        <v>5247</v>
      </c>
      <c r="E218" s="31" t="s">
        <v>1787</v>
      </c>
      <c r="F218" s="193" t="s">
        <v>5272</v>
      </c>
      <c r="G218" s="16" t="s">
        <v>5271</v>
      </c>
      <c r="H218" s="466" t="s">
        <v>5292</v>
      </c>
      <c r="I218" s="467"/>
      <c r="J218" s="466" t="s">
        <v>5291</v>
      </c>
      <c r="K218" s="136" t="s">
        <v>5267</v>
      </c>
      <c r="L218" s="472" t="s">
        <v>5268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5298</v>
      </c>
      <c r="I219" s="466" t="s">
        <v>90</v>
      </c>
      <c r="J219" s="466" t="s">
        <v>5290</v>
      </c>
      <c r="K219" s="136" t="s">
        <v>105</v>
      </c>
      <c r="L219" s="472" t="s">
        <v>33</v>
      </c>
      <c r="M219" s="468">
        <v>4</v>
      </c>
      <c r="N219" s="434"/>
      <c r="O219" s="450" t="s">
        <v>5419</v>
      </c>
      <c r="P219" s="578" t="s">
        <v>5313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5405</v>
      </c>
      <c r="I220" s="31"/>
      <c r="J220" s="466" t="s">
        <v>5372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5297</v>
      </c>
      <c r="D221" s="3" t="s">
        <v>5299</v>
      </c>
      <c r="E221" s="467" t="s">
        <v>5300</v>
      </c>
      <c r="F221" s="467" t="s">
        <v>4940</v>
      </c>
      <c r="G221" s="472" t="s">
        <v>5301</v>
      </c>
      <c r="H221" s="466" t="s">
        <v>5302</v>
      </c>
      <c r="I221" s="466" t="s">
        <v>5285</v>
      </c>
      <c r="J221" s="466" t="s">
        <v>5310</v>
      </c>
      <c r="K221" s="125" t="s">
        <v>15</v>
      </c>
      <c r="L221" s="468">
        <v>9080</v>
      </c>
      <c r="M221" s="468">
        <v>3</v>
      </c>
      <c r="N221" s="31" t="s">
        <v>5294</v>
      </c>
      <c r="O221" s="440"/>
      <c r="P221" s="578" t="s">
        <v>5296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5293</v>
      </c>
      <c r="I222" s="467"/>
      <c r="J222" s="31" t="s">
        <v>5402</v>
      </c>
      <c r="K222" s="136" t="s">
        <v>105</v>
      </c>
      <c r="L222" s="472" t="s">
        <v>5401</v>
      </c>
      <c r="M222" s="8">
        <v>3</v>
      </c>
      <c r="N222" s="193"/>
      <c r="O222" s="450" t="s">
        <v>5421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5293</v>
      </c>
      <c r="I223" s="467"/>
      <c r="J223" s="31" t="s">
        <v>5402</v>
      </c>
      <c r="K223" s="136" t="s">
        <v>105</v>
      </c>
      <c r="L223" s="472" t="s">
        <v>4551</v>
      </c>
      <c r="M223" s="8">
        <v>3</v>
      </c>
      <c r="N223" s="31"/>
      <c r="O223" s="450" t="s">
        <v>5419</v>
      </c>
      <c r="P223" s="578" t="s">
        <v>5418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5417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5364</v>
      </c>
      <c r="H225" s="466" t="s">
        <v>216</v>
      </c>
      <c r="I225" s="31" t="s">
        <v>5371</v>
      </c>
      <c r="J225" s="31" t="s">
        <v>5410</v>
      </c>
      <c r="K225" s="125" t="s">
        <v>15</v>
      </c>
      <c r="L225" s="16">
        <v>9080</v>
      </c>
      <c r="M225" s="8">
        <v>3</v>
      </c>
      <c r="N225" s="31" t="s">
        <v>4666</v>
      </c>
      <c r="O225" s="440"/>
      <c r="P225" s="578" t="s">
        <v>5296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5282</v>
      </c>
      <c r="F227" s="467">
        <v>7064</v>
      </c>
      <c r="G227" s="472" t="s">
        <v>83</v>
      </c>
      <c r="H227" s="466" t="s">
        <v>5283</v>
      </c>
      <c r="I227" s="466"/>
      <c r="J227" s="466" t="s">
        <v>487</v>
      </c>
      <c r="K227" s="136" t="s">
        <v>15</v>
      </c>
      <c r="L227" s="472" t="s">
        <v>4551</v>
      </c>
      <c r="M227" s="468">
        <v>2</v>
      </c>
      <c r="N227" s="467"/>
      <c r="O227" s="440" t="s">
        <v>5427</v>
      </c>
      <c r="P227" s="578" t="s">
        <v>5296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5413</v>
      </c>
      <c r="I228" s="31" t="s">
        <v>5412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5428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5282</v>
      </c>
      <c r="F229" s="467">
        <v>7064</v>
      </c>
      <c r="G229" s="472" t="s">
        <v>83</v>
      </c>
      <c r="H229" s="466" t="s">
        <v>5283</v>
      </c>
      <c r="I229" s="466"/>
      <c r="J229" s="466" t="s">
        <v>5436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5296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5409</v>
      </c>
      <c r="I230" s="31"/>
      <c r="J230" s="31" t="s">
        <v>641</v>
      </c>
      <c r="K230" s="125" t="s">
        <v>15</v>
      </c>
      <c r="L230" s="16" t="s">
        <v>5269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5370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5422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5478</v>
      </c>
      <c r="I232" s="31" t="s">
        <v>5479</v>
      </c>
      <c r="J232" s="193" t="s">
        <v>5480</v>
      </c>
      <c r="K232" s="125" t="s">
        <v>5481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5425</v>
      </c>
      <c r="F233" s="471" t="s">
        <v>4512</v>
      </c>
      <c r="G233" s="472" t="s">
        <v>35</v>
      </c>
      <c r="H233" s="466" t="s">
        <v>5312</v>
      </c>
      <c r="I233" s="466" t="s">
        <v>5424</v>
      </c>
      <c r="J233" s="466"/>
      <c r="K233" s="136" t="s">
        <v>15</v>
      </c>
      <c r="L233" s="16" t="s">
        <v>5482</v>
      </c>
      <c r="M233" s="8">
        <v>3</v>
      </c>
      <c r="N233" s="434"/>
      <c r="O233" s="440" t="s">
        <v>5426</v>
      </c>
      <c r="P233" s="578" t="s">
        <v>5296</v>
      </c>
    </row>
    <row r="234" spans="1:16" s="17" customFormat="1" ht="33" customHeight="1">
      <c r="A234" s="436"/>
      <c r="B234" s="370">
        <v>46121</v>
      </c>
      <c r="C234" s="4" t="s">
        <v>4889</v>
      </c>
      <c r="D234" s="4" t="s">
        <v>4890</v>
      </c>
      <c r="E234" s="467" t="s">
        <v>1787</v>
      </c>
      <c r="F234" s="31" t="s">
        <v>4903</v>
      </c>
      <c r="G234" s="16" t="s">
        <v>4904</v>
      </c>
      <c r="H234" s="193" t="s">
        <v>5413</v>
      </c>
      <c r="I234" s="31" t="s">
        <v>5411</v>
      </c>
      <c r="J234" s="31" t="s">
        <v>4902</v>
      </c>
      <c r="K234" s="125" t="s">
        <v>4906</v>
      </c>
      <c r="L234" s="16" t="s">
        <v>5268</v>
      </c>
      <c r="M234" s="8">
        <v>3</v>
      </c>
      <c r="N234" s="31"/>
      <c r="O234" s="444" t="s">
        <v>5429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5414</v>
      </c>
      <c r="G235" s="472" t="s">
        <v>143</v>
      </c>
      <c r="H235" s="466" t="s">
        <v>5477</v>
      </c>
      <c r="I235" s="31" t="s">
        <v>5411</v>
      </c>
      <c r="J235" s="31"/>
      <c r="K235" s="136" t="s">
        <v>15</v>
      </c>
      <c r="L235" s="472" t="s">
        <v>4551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5415</v>
      </c>
      <c r="G236" s="472" t="s">
        <v>143</v>
      </c>
      <c r="H236" s="466" t="s">
        <v>5416</v>
      </c>
      <c r="I236" s="31"/>
      <c r="J236" s="31" t="s">
        <v>641</v>
      </c>
      <c r="K236" s="136" t="s">
        <v>15</v>
      </c>
      <c r="L236" s="472" t="s">
        <v>4551</v>
      </c>
      <c r="M236" s="468">
        <v>2</v>
      </c>
      <c r="N236" s="31"/>
      <c r="O236" s="444" t="s">
        <v>5529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5282</v>
      </c>
      <c r="F237" s="467">
        <v>7064</v>
      </c>
      <c r="G237" s="472" t="s">
        <v>83</v>
      </c>
      <c r="H237" s="466" t="s">
        <v>5283</v>
      </c>
      <c r="I237" s="466"/>
      <c r="J237" s="466" t="s">
        <v>487</v>
      </c>
      <c r="K237" s="136" t="s">
        <v>15</v>
      </c>
      <c r="L237" s="472" t="s">
        <v>5430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5282</v>
      </c>
      <c r="F238" s="467" t="s">
        <v>2329</v>
      </c>
      <c r="G238" s="472" t="s">
        <v>23</v>
      </c>
      <c r="H238" s="466" t="s">
        <v>5446</v>
      </c>
      <c r="I238" s="467"/>
      <c r="J238" s="466" t="s">
        <v>487</v>
      </c>
      <c r="K238" s="136" t="s">
        <v>15</v>
      </c>
      <c r="L238" s="472" t="s">
        <v>5430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5282</v>
      </c>
      <c r="F239" s="467">
        <v>7064</v>
      </c>
      <c r="G239" s="472" t="s">
        <v>83</v>
      </c>
      <c r="H239" s="466" t="s">
        <v>5283</v>
      </c>
      <c r="I239" s="466"/>
      <c r="J239" s="466" t="s">
        <v>5491</v>
      </c>
      <c r="K239" s="136" t="s">
        <v>15</v>
      </c>
      <c r="L239" s="472" t="s">
        <v>5430</v>
      </c>
      <c r="M239" s="468">
        <v>3</v>
      </c>
      <c r="N239" s="193" t="s">
        <v>5511</v>
      </c>
      <c r="O239" s="440"/>
      <c r="P239" s="578" t="s">
        <v>5296</v>
      </c>
    </row>
    <row r="240" spans="1:16" s="17" customFormat="1" ht="33" customHeight="1">
      <c r="A240" s="436"/>
      <c r="B240" s="370">
        <v>46122</v>
      </c>
      <c r="C240" s="4" t="s">
        <v>4889</v>
      </c>
      <c r="D240" s="4" t="s">
        <v>4890</v>
      </c>
      <c r="E240" s="467" t="s">
        <v>1787</v>
      </c>
      <c r="F240" s="31" t="s">
        <v>4903</v>
      </c>
      <c r="G240" s="16" t="s">
        <v>4904</v>
      </c>
      <c r="H240" s="193" t="s">
        <v>4905</v>
      </c>
      <c r="I240" s="31"/>
      <c r="J240" s="31" t="s">
        <v>4902</v>
      </c>
      <c r="K240" s="125" t="s">
        <v>4906</v>
      </c>
      <c r="L240" s="16" t="s">
        <v>5268</v>
      </c>
      <c r="M240" s="8">
        <v>2</v>
      </c>
      <c r="N240" s="31"/>
      <c r="O240" s="440"/>
      <c r="P240" s="576" t="s">
        <v>5423</v>
      </c>
    </row>
    <row r="241" spans="1:16" s="17" customFormat="1" ht="33" customHeight="1">
      <c r="A241" s="436"/>
      <c r="B241" s="370">
        <v>46122</v>
      </c>
      <c r="C241" s="4" t="s">
        <v>4889</v>
      </c>
      <c r="D241" s="4" t="s">
        <v>4890</v>
      </c>
      <c r="E241" s="467" t="s">
        <v>1787</v>
      </c>
      <c r="F241" s="31" t="s">
        <v>5437</v>
      </c>
      <c r="G241" s="472" t="s">
        <v>23</v>
      </c>
      <c r="H241" s="193" t="s">
        <v>5438</v>
      </c>
      <c r="I241" s="31"/>
      <c r="J241" s="193" t="s">
        <v>120</v>
      </c>
      <c r="K241" s="125" t="s">
        <v>5439</v>
      </c>
      <c r="L241" s="16">
        <v>9080</v>
      </c>
      <c r="M241" s="8">
        <v>1</v>
      </c>
      <c r="N241" s="31"/>
      <c r="O241" s="440" t="s">
        <v>5503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5418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5417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5272</v>
      </c>
      <c r="G244" s="472" t="s">
        <v>23</v>
      </c>
      <c r="H244" s="193" t="s">
        <v>5435</v>
      </c>
      <c r="I244" s="31"/>
      <c r="J244" s="193" t="s">
        <v>1873</v>
      </c>
      <c r="K244" s="125" t="s">
        <v>15</v>
      </c>
      <c r="L244" s="16" t="s">
        <v>4551</v>
      </c>
      <c r="M244" s="8">
        <v>2</v>
      </c>
      <c r="N244" s="31"/>
      <c r="O244" s="440" t="s">
        <v>5502</v>
      </c>
      <c r="P244" s="578" t="s">
        <v>5523</v>
      </c>
    </row>
    <row r="245" spans="1:16" s="17" customFormat="1" ht="33" customHeight="1">
      <c r="A245" s="436"/>
      <c r="B245" s="370">
        <v>46125</v>
      </c>
      <c r="C245" s="4" t="s">
        <v>4889</v>
      </c>
      <c r="D245" s="4" t="s">
        <v>4890</v>
      </c>
      <c r="E245" s="467" t="s">
        <v>1787</v>
      </c>
      <c r="F245" s="31" t="s">
        <v>5441</v>
      </c>
      <c r="G245" s="472" t="s">
        <v>67</v>
      </c>
      <c r="H245" s="193" t="s">
        <v>5520</v>
      </c>
      <c r="I245" s="31" t="s">
        <v>5442</v>
      </c>
      <c r="J245" s="193" t="s">
        <v>686</v>
      </c>
      <c r="K245" s="125" t="s">
        <v>5443</v>
      </c>
      <c r="L245" s="16" t="s">
        <v>4379</v>
      </c>
      <c r="M245" s="8">
        <v>2</v>
      </c>
      <c r="N245" s="31"/>
      <c r="O245" s="440" t="s">
        <v>5506</v>
      </c>
      <c r="P245" s="576"/>
    </row>
    <row r="246" spans="1:16" s="17" customFormat="1" ht="33" customHeight="1">
      <c r="A246" s="436"/>
      <c r="B246" s="370">
        <v>46125</v>
      </c>
      <c r="C246" s="4" t="s">
        <v>4889</v>
      </c>
      <c r="D246" s="4" t="s">
        <v>4890</v>
      </c>
      <c r="E246" s="467" t="s">
        <v>1787</v>
      </c>
      <c r="F246" s="31" t="s">
        <v>5441</v>
      </c>
      <c r="G246" s="472" t="s">
        <v>205</v>
      </c>
      <c r="H246" s="193" t="s">
        <v>5485</v>
      </c>
      <c r="I246" s="31" t="s">
        <v>5442</v>
      </c>
      <c r="J246" s="193" t="s">
        <v>686</v>
      </c>
      <c r="K246" s="125" t="s">
        <v>5443</v>
      </c>
      <c r="L246" s="16" t="s">
        <v>4379</v>
      </c>
      <c r="M246" s="8">
        <v>2</v>
      </c>
      <c r="N246" s="31"/>
      <c r="O246" s="440" t="s">
        <v>5506</v>
      </c>
      <c r="P246" s="576"/>
    </row>
    <row r="247" spans="1:16" s="17" customFormat="1" ht="33" customHeight="1">
      <c r="A247" s="436"/>
      <c r="B247" s="370">
        <v>46125</v>
      </c>
      <c r="C247" s="4" t="s">
        <v>5524</v>
      </c>
      <c r="D247" s="4" t="s">
        <v>14</v>
      </c>
      <c r="E247" s="467" t="s">
        <v>1787</v>
      </c>
      <c r="F247" s="31" t="s">
        <v>5525</v>
      </c>
      <c r="G247" s="472" t="s">
        <v>1306</v>
      </c>
      <c r="H247" s="193" t="s">
        <v>5526</v>
      </c>
      <c r="I247" s="31" t="s">
        <v>5527</v>
      </c>
      <c r="J247" s="193" t="s">
        <v>1300</v>
      </c>
      <c r="K247" s="125" t="s">
        <v>15</v>
      </c>
      <c r="L247" s="16" t="s">
        <v>5528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4940</v>
      </c>
      <c r="G248" s="472" t="s">
        <v>5483</v>
      </c>
      <c r="H248" s="466" t="s">
        <v>5302</v>
      </c>
      <c r="I248" s="466" t="s">
        <v>5521</v>
      </c>
      <c r="J248" s="466" t="s">
        <v>5501</v>
      </c>
      <c r="K248" s="125" t="s">
        <v>15</v>
      </c>
      <c r="L248" s="575" t="s">
        <v>5500</v>
      </c>
      <c r="M248" s="8">
        <v>5</v>
      </c>
      <c r="N248" s="31"/>
      <c r="O248" s="440" t="s">
        <v>5507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4940</v>
      </c>
      <c r="G249" s="472" t="s">
        <v>5483</v>
      </c>
      <c r="H249" s="466" t="s">
        <v>5302</v>
      </c>
      <c r="I249" s="466"/>
      <c r="J249" s="466" t="s">
        <v>5541</v>
      </c>
      <c r="K249" s="125" t="s">
        <v>15</v>
      </c>
      <c r="L249" s="575" t="s">
        <v>5500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5366</v>
      </c>
      <c r="D250" s="4" t="s">
        <v>5367</v>
      </c>
      <c r="E250" s="193" t="s">
        <v>5368</v>
      </c>
      <c r="F250" s="193" t="s">
        <v>3900</v>
      </c>
      <c r="G250" s="16" t="s">
        <v>5369</v>
      </c>
      <c r="H250" s="314" t="s">
        <v>5489</v>
      </c>
      <c r="I250" s="31" t="s">
        <v>5519</v>
      </c>
      <c r="J250" s="193" t="s">
        <v>686</v>
      </c>
      <c r="K250" s="125" t="s">
        <v>105</v>
      </c>
      <c r="L250" s="16" t="s">
        <v>5400</v>
      </c>
      <c r="M250" s="8">
        <v>2</v>
      </c>
      <c r="N250" s="434"/>
      <c r="O250" s="440" t="s">
        <v>5508</v>
      </c>
      <c r="P250" s="576"/>
    </row>
    <row r="251" spans="1:16" s="17" customFormat="1" ht="33" customHeight="1">
      <c r="A251" s="436"/>
      <c r="B251" s="403">
        <v>46127</v>
      </c>
      <c r="C251" s="4" t="s">
        <v>5431</v>
      </c>
      <c r="D251" s="4" t="s">
        <v>5432</v>
      </c>
      <c r="E251" s="291" t="s">
        <v>3309</v>
      </c>
      <c r="F251" s="31" t="s">
        <v>5433</v>
      </c>
      <c r="G251" s="16" t="s">
        <v>5434</v>
      </c>
      <c r="H251" s="193" t="s">
        <v>5504</v>
      </c>
      <c r="I251" s="31" t="s">
        <v>5488</v>
      </c>
      <c r="J251" s="31"/>
      <c r="K251" s="125" t="s">
        <v>5481</v>
      </c>
      <c r="L251" s="16" t="s">
        <v>5492</v>
      </c>
      <c r="M251" s="8">
        <v>1</v>
      </c>
      <c r="N251" s="31"/>
      <c r="O251" s="444" t="s">
        <v>5542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4940</v>
      </c>
      <c r="G252" s="472" t="s">
        <v>5483</v>
      </c>
      <c r="H252" s="466" t="s">
        <v>5302</v>
      </c>
      <c r="I252" s="466" t="s">
        <v>3545</v>
      </c>
      <c r="J252" s="466" t="s">
        <v>5484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5197</v>
      </c>
      <c r="D253" s="4" t="s">
        <v>5236</v>
      </c>
      <c r="E253" s="291" t="s">
        <v>5237</v>
      </c>
      <c r="F253" s="31" t="s">
        <v>5238</v>
      </c>
      <c r="G253" s="16" t="s">
        <v>5239</v>
      </c>
      <c r="H253" s="193" t="s">
        <v>5497</v>
      </c>
      <c r="I253" s="31" t="s">
        <v>5240</v>
      </c>
      <c r="J253" s="31"/>
      <c r="K253" s="125" t="s">
        <v>5241</v>
      </c>
      <c r="L253" s="16" t="s">
        <v>5242</v>
      </c>
      <c r="M253" s="8">
        <v>1</v>
      </c>
      <c r="N253" s="31"/>
      <c r="O253" s="440" t="s">
        <v>5553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4940</v>
      </c>
      <c r="G254" s="472" t="s">
        <v>5483</v>
      </c>
      <c r="H254" s="466" t="s">
        <v>5302</v>
      </c>
      <c r="I254" s="466"/>
      <c r="J254" s="466" t="s">
        <v>5559</v>
      </c>
      <c r="K254" s="125" t="s">
        <v>15</v>
      </c>
      <c r="L254" s="575">
        <v>9080</v>
      </c>
      <c r="M254" s="8">
        <v>4</v>
      </c>
      <c r="N254" s="31"/>
      <c r="O254" s="440" t="s">
        <v>5558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5365</v>
      </c>
      <c r="I255" s="467" t="s">
        <v>3545</v>
      </c>
      <c r="J255" s="467" t="s">
        <v>1300</v>
      </c>
      <c r="K255" s="136" t="s">
        <v>15</v>
      </c>
      <c r="L255" s="472" t="s">
        <v>4551</v>
      </c>
      <c r="M255" s="468">
        <v>2</v>
      </c>
      <c r="N255" s="467"/>
      <c r="O255" s="607" t="s">
        <v>4603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5510</v>
      </c>
      <c r="G256" s="472" t="s">
        <v>5364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4551</v>
      </c>
      <c r="M256" s="468">
        <v>2</v>
      </c>
      <c r="N256" s="467"/>
      <c r="O256" s="607" t="s">
        <v>5505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4940</v>
      </c>
      <c r="G257" s="472" t="s">
        <v>5483</v>
      </c>
      <c r="H257" s="466" t="s">
        <v>5302</v>
      </c>
      <c r="I257" s="466"/>
      <c r="J257" s="466" t="s">
        <v>5484</v>
      </c>
      <c r="K257" s="125" t="s">
        <v>15</v>
      </c>
      <c r="L257" s="575">
        <v>9080</v>
      </c>
      <c r="M257" s="8">
        <v>3</v>
      </c>
      <c r="N257" s="31" t="s">
        <v>5607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5498</v>
      </c>
      <c r="I258" s="31" t="s">
        <v>5577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5522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5578</v>
      </c>
      <c r="I259" s="31" t="s">
        <v>1277</v>
      </c>
      <c r="J259" s="193"/>
      <c r="K259" s="125" t="s">
        <v>15</v>
      </c>
      <c r="L259" s="16" t="s">
        <v>5576</v>
      </c>
      <c r="M259" s="8">
        <v>1</v>
      </c>
      <c r="N259" s="31"/>
      <c r="O259" s="440" t="s">
        <v>5509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5440</v>
      </c>
      <c r="I260" s="467"/>
      <c r="J260" s="466" t="s">
        <v>1316</v>
      </c>
      <c r="K260" s="136" t="s">
        <v>15</v>
      </c>
      <c r="L260" s="472" t="s">
        <v>4551</v>
      </c>
      <c r="M260" s="468">
        <v>2</v>
      </c>
      <c r="N260" s="31"/>
      <c r="O260" s="440" t="s">
        <v>5575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5364</v>
      </c>
      <c r="H261" s="466" t="s">
        <v>4844</v>
      </c>
      <c r="I261" s="467" t="s">
        <v>5554</v>
      </c>
      <c r="J261" s="467" t="s">
        <v>5555</v>
      </c>
      <c r="K261" s="136" t="s">
        <v>15</v>
      </c>
      <c r="L261" s="472" t="s">
        <v>4551</v>
      </c>
      <c r="M261" s="468">
        <v>2</v>
      </c>
      <c r="N261" s="31"/>
      <c r="O261" s="440" t="s">
        <v>5556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4844</v>
      </c>
      <c r="I262" s="467" t="s">
        <v>5551</v>
      </c>
      <c r="J262" s="467" t="s">
        <v>5552</v>
      </c>
      <c r="K262" s="136" t="s">
        <v>15</v>
      </c>
      <c r="L262" s="472" t="s">
        <v>33</v>
      </c>
      <c r="M262" s="468">
        <v>4</v>
      </c>
      <c r="N262" s="31"/>
      <c r="O262" s="444" t="s">
        <v>5557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5417</v>
      </c>
    </row>
    <row r="264" spans="1:16" s="17" customFormat="1" ht="33" customHeight="1">
      <c r="A264" s="435" t="s">
        <v>4498</v>
      </c>
      <c r="B264" s="127">
        <v>46132</v>
      </c>
      <c r="C264" s="3" t="s">
        <v>5562</v>
      </c>
      <c r="D264" s="3" t="s">
        <v>14</v>
      </c>
      <c r="E264" s="467" t="s">
        <v>1787</v>
      </c>
      <c r="F264" s="467" t="s">
        <v>5567</v>
      </c>
      <c r="G264" s="472" t="s">
        <v>142</v>
      </c>
      <c r="H264" s="466" t="s">
        <v>5566</v>
      </c>
      <c r="I264" s="467" t="s">
        <v>5560</v>
      </c>
      <c r="J264" s="466" t="s">
        <v>3074</v>
      </c>
      <c r="K264" s="136" t="s">
        <v>5563</v>
      </c>
      <c r="L264" s="472" t="s">
        <v>4551</v>
      </c>
      <c r="M264" s="468">
        <v>3</v>
      </c>
      <c r="N264" s="31"/>
      <c r="O264" s="443" t="s">
        <v>5568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4940</v>
      </c>
      <c r="G265" s="472" t="s">
        <v>5483</v>
      </c>
      <c r="H265" s="466" t="s">
        <v>5579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5538</v>
      </c>
      <c r="D266" s="3" t="s">
        <v>5543</v>
      </c>
      <c r="E266" s="486" t="s">
        <v>107</v>
      </c>
      <c r="F266" s="467" t="s">
        <v>5549</v>
      </c>
      <c r="G266" s="472" t="s">
        <v>1306</v>
      </c>
      <c r="H266" s="466" t="s">
        <v>5580</v>
      </c>
      <c r="I266" s="467" t="s">
        <v>5564</v>
      </c>
      <c r="J266" s="467" t="s">
        <v>3010</v>
      </c>
      <c r="K266" s="136" t="s">
        <v>5550</v>
      </c>
      <c r="L266" s="472" t="s">
        <v>5528</v>
      </c>
      <c r="M266" s="468">
        <v>2</v>
      </c>
      <c r="N266" s="467"/>
      <c r="O266" s="443" t="s">
        <v>5565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5569</v>
      </c>
      <c r="I267" s="467" t="s">
        <v>5587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5265</v>
      </c>
      <c r="I268" s="466" t="s">
        <v>90</v>
      </c>
      <c r="J268" s="466" t="s">
        <v>5570</v>
      </c>
      <c r="K268" s="136" t="s">
        <v>105</v>
      </c>
      <c r="L268" s="472" t="s">
        <v>33</v>
      </c>
      <c r="M268" s="468">
        <v>7</v>
      </c>
      <c r="N268" s="434"/>
      <c r="O268" s="449" t="s">
        <v>5586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5561</v>
      </c>
      <c r="G269" s="472" t="s">
        <v>142</v>
      </c>
      <c r="H269" s="466" t="s">
        <v>5487</v>
      </c>
      <c r="I269" s="466" t="s">
        <v>90</v>
      </c>
      <c r="J269" s="466" t="s">
        <v>5570</v>
      </c>
      <c r="K269" s="136" t="s">
        <v>15</v>
      </c>
      <c r="L269" s="472" t="s">
        <v>33</v>
      </c>
      <c r="M269" s="468">
        <v>7</v>
      </c>
      <c r="N269" s="193" t="s">
        <v>5606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5561</v>
      </c>
      <c r="G270" s="472" t="s">
        <v>142</v>
      </c>
      <c r="H270" s="466" t="s">
        <v>5298</v>
      </c>
      <c r="I270" s="466" t="s">
        <v>90</v>
      </c>
      <c r="J270" s="466" t="s">
        <v>5290</v>
      </c>
      <c r="K270" s="136" t="s">
        <v>105</v>
      </c>
      <c r="L270" s="472" t="s">
        <v>33</v>
      </c>
      <c r="M270" s="468">
        <v>4</v>
      </c>
      <c r="N270" s="434"/>
      <c r="O270" s="449" t="s">
        <v>5571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4940</v>
      </c>
      <c r="G271" s="472" t="s">
        <v>5483</v>
      </c>
      <c r="H271" s="466" t="s">
        <v>5302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5588</v>
      </c>
      <c r="D272" s="3" t="s">
        <v>14</v>
      </c>
      <c r="E272" s="467" t="s">
        <v>5589</v>
      </c>
      <c r="F272" s="467" t="s">
        <v>5590</v>
      </c>
      <c r="G272" s="472" t="s">
        <v>142</v>
      </c>
      <c r="H272" s="466" t="s">
        <v>5591</v>
      </c>
      <c r="I272" s="467"/>
      <c r="J272" s="466" t="s">
        <v>5599</v>
      </c>
      <c r="K272" s="136" t="s">
        <v>15</v>
      </c>
      <c r="L272" s="472">
        <v>9080</v>
      </c>
      <c r="M272" s="468">
        <v>2</v>
      </c>
      <c r="N272" s="31"/>
      <c r="O272" s="449" t="s">
        <v>5602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5298</v>
      </c>
      <c r="I273" s="466"/>
      <c r="J273" s="466" t="s">
        <v>5290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5403</v>
      </c>
      <c r="I274" s="467" t="s">
        <v>90</v>
      </c>
      <c r="J274" s="467" t="s">
        <v>5605</v>
      </c>
      <c r="K274" s="136" t="s">
        <v>15</v>
      </c>
      <c r="L274" s="472" t="s">
        <v>33</v>
      </c>
      <c r="M274" s="468">
        <v>2</v>
      </c>
      <c r="N274" s="31" t="s">
        <v>5499</v>
      </c>
      <c r="O274" s="449" t="s">
        <v>5602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5403</v>
      </c>
      <c r="I275" s="467" t="s">
        <v>1277</v>
      </c>
      <c r="J275" s="467" t="s">
        <v>5600</v>
      </c>
      <c r="K275" s="136" t="s">
        <v>15</v>
      </c>
      <c r="L275" s="472" t="s">
        <v>5404</v>
      </c>
      <c r="M275" s="468">
        <v>2</v>
      </c>
      <c r="N275" s="31" t="s">
        <v>5608</v>
      </c>
      <c r="O275" s="449" t="s">
        <v>5601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5298</v>
      </c>
      <c r="I276" s="466"/>
      <c r="J276" s="466" t="s">
        <v>5290</v>
      </c>
      <c r="K276" s="136" t="s">
        <v>15</v>
      </c>
      <c r="L276" s="472" t="s">
        <v>5622</v>
      </c>
      <c r="M276" s="468">
        <v>3</v>
      </c>
      <c r="N276" s="31"/>
      <c r="O276" s="449" t="s">
        <v>5623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5591</v>
      </c>
      <c r="I277" s="467" t="s">
        <v>5620</v>
      </c>
      <c r="J277" s="466" t="s">
        <v>5290</v>
      </c>
      <c r="K277" s="136" t="s">
        <v>15</v>
      </c>
      <c r="L277" s="472" t="s">
        <v>5624</v>
      </c>
      <c r="M277" s="468">
        <v>4</v>
      </c>
      <c r="N277" s="31"/>
      <c r="O277" s="449" t="s">
        <v>5621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5417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4940</v>
      </c>
      <c r="G279" s="472" t="s">
        <v>5483</v>
      </c>
      <c r="H279" s="466" t="s">
        <v>5302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5619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5592</v>
      </c>
      <c r="D280" s="4" t="s">
        <v>14</v>
      </c>
      <c r="E280" s="31" t="s">
        <v>5593</v>
      </c>
      <c r="F280" s="193" t="s">
        <v>5634</v>
      </c>
      <c r="G280" s="16" t="s">
        <v>23</v>
      </c>
      <c r="H280" s="193" t="s">
        <v>5594</v>
      </c>
      <c r="I280" s="31" t="s">
        <v>5604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5615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4940</v>
      </c>
      <c r="G281" s="472" t="s">
        <v>5483</v>
      </c>
      <c r="H281" s="466" t="s">
        <v>5302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5444</v>
      </c>
      <c r="I282" s="626" t="s">
        <v>202</v>
      </c>
      <c r="J282" s="626" t="s">
        <v>5636</v>
      </c>
      <c r="K282" s="125" t="s">
        <v>15</v>
      </c>
      <c r="L282" s="16" t="s">
        <v>4551</v>
      </c>
      <c r="M282" s="8">
        <v>2</v>
      </c>
      <c r="N282" s="626"/>
      <c r="O282" s="449" t="s">
        <v>5637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4940</v>
      </c>
      <c r="G283" s="472" t="s">
        <v>5483</v>
      </c>
      <c r="H283" s="466" t="s">
        <v>5302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5663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5538</v>
      </c>
      <c r="D284" s="4" t="s">
        <v>5543</v>
      </c>
      <c r="E284" s="31" t="s">
        <v>5544</v>
      </c>
      <c r="F284" s="193" t="s">
        <v>5545</v>
      </c>
      <c r="G284" s="16" t="s">
        <v>5546</v>
      </c>
      <c r="H284" s="193" t="s">
        <v>5547</v>
      </c>
      <c r="I284" s="31"/>
      <c r="J284" s="193" t="s">
        <v>68</v>
      </c>
      <c r="K284" s="125" t="s">
        <v>15</v>
      </c>
      <c r="L284" s="16" t="s">
        <v>4551</v>
      </c>
      <c r="M284" s="8">
        <v>1</v>
      </c>
      <c r="N284" s="632" t="s">
        <v>4666</v>
      </c>
      <c r="O284" s="449" t="s">
        <v>5659</v>
      </c>
      <c r="P284" s="576"/>
    </row>
    <row r="285" spans="1:16" s="17" customFormat="1" ht="33" customHeight="1">
      <c r="A285" s="436"/>
      <c r="B285" s="370">
        <v>46142</v>
      </c>
      <c r="C285" s="3" t="s">
        <v>5652</v>
      </c>
      <c r="D285" s="3" t="s">
        <v>5653</v>
      </c>
      <c r="E285" s="467" t="s">
        <v>5654</v>
      </c>
      <c r="F285" s="467" t="s">
        <v>5655</v>
      </c>
      <c r="G285" s="472" t="s">
        <v>5656</v>
      </c>
      <c r="H285" s="466" t="s">
        <v>481</v>
      </c>
      <c r="I285" s="467" t="s">
        <v>5657</v>
      </c>
      <c r="J285" s="466" t="s">
        <v>5658</v>
      </c>
      <c r="K285" s="136" t="s">
        <v>5648</v>
      </c>
      <c r="L285" s="472">
        <v>9080</v>
      </c>
      <c r="M285" s="468">
        <v>3</v>
      </c>
      <c r="N285" s="434"/>
      <c r="O285" s="608" t="s">
        <v>5662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4940</v>
      </c>
      <c r="G286" s="472" t="s">
        <v>5483</v>
      </c>
      <c r="H286" s="466" t="s">
        <v>5302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5667</v>
      </c>
      <c r="D287" s="4"/>
      <c r="E287" s="314" t="s">
        <v>5595</v>
      </c>
      <c r="F287" s="31"/>
      <c r="G287" s="16"/>
      <c r="H287" s="193" t="s">
        <v>5682</v>
      </c>
      <c r="I287" s="31" t="s">
        <v>5596</v>
      </c>
      <c r="J287" s="193"/>
      <c r="K287" s="125"/>
      <c r="L287" s="16" t="s">
        <v>5597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6"/>
      <c r="F288" s="626"/>
      <c r="G288" s="16"/>
      <c r="H288" s="638" t="s">
        <v>5649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5277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5417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5632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2" t="s">
        <v>5646</v>
      </c>
      <c r="F293" s="633" t="s">
        <v>5666</v>
      </c>
      <c r="G293" s="16" t="s">
        <v>106</v>
      </c>
      <c r="H293" s="633" t="s">
        <v>5647</v>
      </c>
      <c r="I293" s="632"/>
      <c r="J293" s="633" t="s">
        <v>3075</v>
      </c>
      <c r="K293" s="125" t="s">
        <v>181</v>
      </c>
      <c r="L293" s="16" t="s">
        <v>4551</v>
      </c>
      <c r="M293" s="8">
        <v>1</v>
      </c>
      <c r="N293" s="632"/>
      <c r="O293" s="443" t="s">
        <v>5676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4754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5668</v>
      </c>
      <c r="D295" s="59"/>
      <c r="E295" s="311" t="s">
        <v>1787</v>
      </c>
      <c r="F295" s="311"/>
      <c r="G295" s="197"/>
      <c r="H295" s="310" t="s">
        <v>5630</v>
      </c>
      <c r="I295" s="311" t="s">
        <v>5631</v>
      </c>
      <c r="J295" s="310"/>
      <c r="K295" s="309" t="s">
        <v>105</v>
      </c>
      <c r="L295" s="197" t="s">
        <v>5672</v>
      </c>
      <c r="M295" s="182">
        <v>1</v>
      </c>
      <c r="N295" s="632" t="s">
        <v>4666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4940</v>
      </c>
      <c r="G296" s="472" t="s">
        <v>5483</v>
      </c>
      <c r="H296" s="466" t="s">
        <v>5302</v>
      </c>
      <c r="I296" s="466" t="s">
        <v>5673</v>
      </c>
      <c r="J296" s="466" t="s">
        <v>5674</v>
      </c>
      <c r="K296" s="136" t="s">
        <v>15</v>
      </c>
      <c r="L296" s="575" t="s">
        <v>5675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5580</v>
      </c>
      <c r="I297" s="467" t="s">
        <v>5651</v>
      </c>
      <c r="J297" s="467" t="s">
        <v>5618</v>
      </c>
      <c r="K297" s="136" t="s">
        <v>15</v>
      </c>
      <c r="L297" s="472" t="s">
        <v>4551</v>
      </c>
      <c r="M297" s="468">
        <v>3</v>
      </c>
      <c r="N297" s="31"/>
      <c r="O297" s="444" t="s">
        <v>5661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5598</v>
      </c>
      <c r="I298" s="467" t="s">
        <v>5650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5660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5580</v>
      </c>
      <c r="I299" s="467" t="s">
        <v>5651</v>
      </c>
      <c r="J299" s="467" t="s">
        <v>5618</v>
      </c>
      <c r="K299" s="136" t="s">
        <v>15</v>
      </c>
      <c r="L299" s="472" t="s">
        <v>4551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4940</v>
      </c>
      <c r="G300" s="472" t="s">
        <v>5483</v>
      </c>
      <c r="H300" s="466" t="s">
        <v>5302</v>
      </c>
      <c r="I300" s="466"/>
      <c r="J300" s="466" t="s">
        <v>5720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4940</v>
      </c>
      <c r="G301" s="472" t="s">
        <v>5483</v>
      </c>
      <c r="H301" s="466" t="s">
        <v>5302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7" t="s">
        <v>5633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5688</v>
      </c>
      <c r="I303" s="642" t="s">
        <v>5687</v>
      </c>
      <c r="J303" s="630" t="s">
        <v>5686</v>
      </c>
      <c r="K303" s="125" t="s">
        <v>105</v>
      </c>
      <c r="L303" s="16" t="s">
        <v>4551</v>
      </c>
      <c r="M303" s="8">
        <v>3</v>
      </c>
      <c r="N303" s="626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5417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4940</v>
      </c>
      <c r="G307" s="472" t="s">
        <v>5742</v>
      </c>
      <c r="H307" s="193" t="s">
        <v>271</v>
      </c>
      <c r="I307" s="31" t="s">
        <v>202</v>
      </c>
      <c r="J307" s="31" t="s">
        <v>5741</v>
      </c>
      <c r="K307" s="125" t="s">
        <v>5617</v>
      </c>
      <c r="L307" s="16">
        <v>9080</v>
      </c>
      <c r="M307" s="8">
        <v>4</v>
      </c>
      <c r="N307" s="31" t="s">
        <v>5737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5736</v>
      </c>
      <c r="F308" s="467" t="s">
        <v>1968</v>
      </c>
      <c r="G308" s="472" t="s">
        <v>142</v>
      </c>
      <c r="H308" s="466" t="s">
        <v>5735</v>
      </c>
      <c r="I308" s="467" t="s">
        <v>5683</v>
      </c>
      <c r="J308" s="467" t="s">
        <v>3074</v>
      </c>
      <c r="K308" s="136" t="s">
        <v>5684</v>
      </c>
      <c r="L308" s="472" t="s">
        <v>4551</v>
      </c>
      <c r="M308" s="468">
        <v>2</v>
      </c>
      <c r="N308" s="466" t="s">
        <v>5805</v>
      </c>
      <c r="O308" s="470"/>
      <c r="P308" s="576"/>
    </row>
    <row r="309" spans="1:16" s="17" customFormat="1" ht="33" customHeight="1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5603</v>
      </c>
      <c r="I309" s="467" t="s">
        <v>5685</v>
      </c>
      <c r="J309" s="467"/>
      <c r="K309" s="136" t="s">
        <v>15</v>
      </c>
      <c r="L309" s="472" t="s">
        <v>33</v>
      </c>
      <c r="M309" s="468">
        <v>2</v>
      </c>
      <c r="N309" s="467"/>
      <c r="O309" s="728"/>
      <c r="P309" s="576"/>
    </row>
    <row r="310" spans="1:16" s="17" customFormat="1" ht="33" customHeight="1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4940</v>
      </c>
      <c r="G310" s="472" t="s">
        <v>5742</v>
      </c>
      <c r="H310" s="645" t="s">
        <v>271</v>
      </c>
      <c r="I310" s="642" t="s">
        <v>202</v>
      </c>
      <c r="J310" s="642" t="s">
        <v>5741</v>
      </c>
      <c r="K310" s="125" t="s">
        <v>15</v>
      </c>
      <c r="L310" s="16">
        <v>9080</v>
      </c>
      <c r="M310" s="8">
        <v>4</v>
      </c>
      <c r="N310" s="467"/>
      <c r="O310" s="728"/>
      <c r="P310" s="576"/>
    </row>
    <row r="311" spans="1:16" s="17" customFormat="1" ht="33" customHeight="1">
      <c r="A311" s="436"/>
      <c r="B311" s="403">
        <v>46154</v>
      </c>
      <c r="C311" s="4"/>
      <c r="D311" s="4"/>
      <c r="E311" s="645" t="s">
        <v>5743</v>
      </c>
      <c r="F311" s="31"/>
      <c r="G311" s="16"/>
      <c r="H311" s="193" t="s">
        <v>5745</v>
      </c>
      <c r="I311" s="31" t="s">
        <v>5744</v>
      </c>
      <c r="J311" s="193"/>
      <c r="K311" s="125"/>
      <c r="L311" s="16" t="s">
        <v>5746</v>
      </c>
      <c r="M311" s="8">
        <v>1</v>
      </c>
      <c r="N311" s="434"/>
      <c r="O311" s="442"/>
      <c r="P311" s="576"/>
    </row>
    <row r="312" spans="1:16" s="17" customFormat="1" ht="33" customHeight="1">
      <c r="A312" s="436"/>
      <c r="B312" s="370">
        <v>46155</v>
      </c>
      <c r="C312" s="3" t="s">
        <v>21</v>
      </c>
      <c r="D312" s="3" t="s">
        <v>14</v>
      </c>
      <c r="E312" s="467" t="s">
        <v>1893</v>
      </c>
      <c r="F312" s="467" t="s">
        <v>4940</v>
      </c>
      <c r="G312" s="472" t="s">
        <v>5742</v>
      </c>
      <c r="H312" s="645" t="s">
        <v>271</v>
      </c>
      <c r="I312" s="642" t="s">
        <v>202</v>
      </c>
      <c r="J312" s="642" t="s">
        <v>506</v>
      </c>
      <c r="K312" s="125" t="s">
        <v>15</v>
      </c>
      <c r="L312" s="16">
        <v>9080</v>
      </c>
      <c r="M312" s="8">
        <v>4</v>
      </c>
      <c r="N312" s="31" t="s">
        <v>4666</v>
      </c>
      <c r="O312" s="442"/>
      <c r="P312" s="576"/>
    </row>
    <row r="313" spans="1:16" s="17" customFormat="1" ht="33" customHeight="1">
      <c r="A313" s="436"/>
      <c r="B313" s="370">
        <v>46155</v>
      </c>
      <c r="C313" s="3"/>
      <c r="D313" s="3"/>
      <c r="E313" s="467"/>
      <c r="F313" s="467"/>
      <c r="G313" s="472"/>
      <c r="H313" s="693"/>
      <c r="I313" s="692"/>
      <c r="J313" s="693"/>
      <c r="K313" s="125"/>
      <c r="L313" s="16"/>
      <c r="M313" s="8"/>
      <c r="N313" s="692"/>
      <c r="O313" s="442"/>
      <c r="P313" s="576"/>
    </row>
    <row r="314" spans="1:16" s="17" customFormat="1" ht="33" customHeight="1">
      <c r="A314" s="436"/>
      <c r="B314" s="403">
        <v>46156</v>
      </c>
      <c r="C314" s="4" t="s">
        <v>5729</v>
      </c>
      <c r="D314" s="4" t="s">
        <v>5730</v>
      </c>
      <c r="E314" s="31" t="s">
        <v>5731</v>
      </c>
      <c r="F314" s="31" t="s">
        <v>5732</v>
      </c>
      <c r="G314" s="16" t="s">
        <v>2917</v>
      </c>
      <c r="H314" s="193" t="s">
        <v>5733</v>
      </c>
      <c r="I314" s="31" t="s">
        <v>5685</v>
      </c>
      <c r="J314" s="193"/>
      <c r="K314" s="125" t="s">
        <v>5734</v>
      </c>
      <c r="L314" s="16" t="s">
        <v>5726</v>
      </c>
      <c r="M314" s="8">
        <v>2</v>
      </c>
      <c r="N314" s="434"/>
      <c r="O314" s="442"/>
      <c r="P314" s="576"/>
    </row>
    <row r="315" spans="1:16" s="17" customFormat="1" ht="33" customHeight="1">
      <c r="A315" s="436"/>
      <c r="B315" s="403">
        <v>46156</v>
      </c>
      <c r="C315" s="3"/>
      <c r="D315" s="3"/>
      <c r="E315" s="467"/>
      <c r="F315" s="467"/>
      <c r="G315" s="472"/>
      <c r="H315" s="466"/>
      <c r="I315" s="466"/>
      <c r="J315" s="466"/>
      <c r="K315" s="136"/>
      <c r="L315" s="472"/>
      <c r="M315" s="468"/>
      <c r="N315" s="31"/>
      <c r="O315" s="444"/>
      <c r="P315" s="576"/>
    </row>
    <row r="316" spans="1:16" s="17" customFormat="1" ht="33" customHeight="1">
      <c r="A316" s="436"/>
      <c r="B316" s="370">
        <v>46157</v>
      </c>
      <c r="C316" s="3" t="s">
        <v>4506</v>
      </c>
      <c r="D316" s="3" t="s">
        <v>4507</v>
      </c>
      <c r="E316" s="466" t="s">
        <v>5722</v>
      </c>
      <c r="F316" s="471" t="s">
        <v>5796</v>
      </c>
      <c r="G316" s="472" t="s">
        <v>5723</v>
      </c>
      <c r="H316" s="466" t="s">
        <v>5724</v>
      </c>
      <c r="I316" s="466" t="s">
        <v>5797</v>
      </c>
      <c r="J316" s="466"/>
      <c r="K316" s="136" t="s">
        <v>4508</v>
      </c>
      <c r="L316" s="472" t="s">
        <v>5803</v>
      </c>
      <c r="M316" s="468">
        <v>2</v>
      </c>
      <c r="N316" s="467" t="s">
        <v>5740</v>
      </c>
      <c r="O316" s="474"/>
      <c r="P316" s="576"/>
    </row>
    <row r="317" spans="1:16" s="17" customFormat="1" ht="33" customHeight="1">
      <c r="A317" s="436"/>
      <c r="B317" s="370">
        <v>46157</v>
      </c>
      <c r="C317" s="3" t="s">
        <v>4506</v>
      </c>
      <c r="D317" s="3" t="s">
        <v>4507</v>
      </c>
      <c r="E317" s="466" t="s">
        <v>2130</v>
      </c>
      <c r="F317" s="471" t="s">
        <v>5835</v>
      </c>
      <c r="G317" s="472" t="s">
        <v>5837</v>
      </c>
      <c r="H317" s="466" t="s">
        <v>5836</v>
      </c>
      <c r="I317" s="467" t="s">
        <v>5809</v>
      </c>
      <c r="J317" s="466"/>
      <c r="K317" s="136" t="s">
        <v>4508</v>
      </c>
      <c r="L317" s="472" t="s">
        <v>5803</v>
      </c>
      <c r="M317" s="468">
        <v>1</v>
      </c>
      <c r="N317" s="467"/>
      <c r="O317" s="474"/>
      <c r="P317" s="576"/>
    </row>
    <row r="318" spans="1:16" s="17" customFormat="1" ht="33" customHeight="1">
      <c r="A318" s="436"/>
      <c r="B318" s="403">
        <v>46157</v>
      </c>
      <c r="C318" s="3" t="s">
        <v>163</v>
      </c>
      <c r="D318" s="3" t="s">
        <v>5798</v>
      </c>
      <c r="E318" s="467" t="s">
        <v>5799</v>
      </c>
      <c r="F318" s="467" t="s">
        <v>5800</v>
      </c>
      <c r="G318" s="472" t="s">
        <v>5801</v>
      </c>
      <c r="H318" s="466" t="s">
        <v>5802</v>
      </c>
      <c r="I318" s="466" t="s">
        <v>5771</v>
      </c>
      <c r="J318" s="466" t="s">
        <v>5819</v>
      </c>
      <c r="K318" s="136" t="s">
        <v>181</v>
      </c>
      <c r="L318" s="472" t="s">
        <v>5773</v>
      </c>
      <c r="M318" s="468">
        <v>3</v>
      </c>
      <c r="N318" s="467" t="s">
        <v>5804</v>
      </c>
      <c r="O318" s="586" t="s">
        <v>5820</v>
      </c>
      <c r="P318" s="576"/>
    </row>
    <row r="319" spans="1:16" s="17" customFormat="1" ht="33" customHeight="1">
      <c r="A319" s="436"/>
      <c r="B319" s="403">
        <v>46158</v>
      </c>
      <c r="C319" s="3" t="s">
        <v>24</v>
      </c>
      <c r="D319" s="3" t="s">
        <v>14</v>
      </c>
      <c r="E319" s="467" t="s">
        <v>899</v>
      </c>
      <c r="F319" s="467" t="s">
        <v>1968</v>
      </c>
      <c r="G319" s="472" t="s">
        <v>142</v>
      </c>
      <c r="H319" s="193" t="s">
        <v>5769</v>
      </c>
      <c r="I319" s="193" t="s">
        <v>5771</v>
      </c>
      <c r="J319" s="193" t="s">
        <v>5772</v>
      </c>
      <c r="K319" s="125" t="s">
        <v>5770</v>
      </c>
      <c r="L319" s="16" t="s">
        <v>5773</v>
      </c>
      <c r="M319" s="8">
        <v>2</v>
      </c>
      <c r="N319" s="193"/>
      <c r="O319" s="440" t="s">
        <v>5821</v>
      </c>
      <c r="P319" s="576"/>
    </row>
    <row r="320" spans="1:16" s="17" customFormat="1" ht="33" customHeight="1">
      <c r="A320" s="437"/>
      <c r="B320" s="403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4"/>
      <c r="P320" s="576"/>
    </row>
    <row r="321" spans="1:16" s="17" customFormat="1" ht="33" customHeight="1">
      <c r="A321" s="438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9" t="s">
        <v>63</v>
      </c>
      <c r="P321" s="439" t="s">
        <v>5417</v>
      </c>
    </row>
    <row r="322" spans="1:16" s="17" customFormat="1" ht="33" customHeight="1">
      <c r="A322" s="435" t="s">
        <v>4502</v>
      </c>
      <c r="B322" s="403">
        <v>46160</v>
      </c>
      <c r="C322" s="183" t="s">
        <v>163</v>
      </c>
      <c r="D322" s="183" t="s">
        <v>2202</v>
      </c>
      <c r="E322" s="316" t="s">
        <v>899</v>
      </c>
      <c r="F322" s="238" t="s">
        <v>3386</v>
      </c>
      <c r="G322" s="389" t="s">
        <v>188</v>
      </c>
      <c r="H322" s="238" t="s">
        <v>5818</v>
      </c>
      <c r="I322" s="316" t="s">
        <v>5809</v>
      </c>
      <c r="J322" s="316" t="s">
        <v>5738</v>
      </c>
      <c r="K322" s="239" t="s">
        <v>15</v>
      </c>
      <c r="L322" s="389" t="s">
        <v>4640</v>
      </c>
      <c r="M322" s="408"/>
      <c r="N322" s="31"/>
      <c r="O322" s="440" t="s">
        <v>5781</v>
      </c>
      <c r="P322" s="576"/>
    </row>
    <row r="323" spans="1:16" s="17" customFormat="1" ht="33" customHeight="1">
      <c r="A323" s="436"/>
      <c r="B323" s="403">
        <v>46160</v>
      </c>
      <c r="C323" s="3" t="s">
        <v>163</v>
      </c>
      <c r="D323" s="3" t="s">
        <v>5775</v>
      </c>
      <c r="E323" s="467" t="s">
        <v>5776</v>
      </c>
      <c r="F323" s="466" t="s">
        <v>3332</v>
      </c>
      <c r="G323" s="472" t="s">
        <v>5777</v>
      </c>
      <c r="H323" s="466" t="s">
        <v>5823</v>
      </c>
      <c r="I323" s="467"/>
      <c r="J323" s="467" t="s">
        <v>5806</v>
      </c>
      <c r="K323" s="136" t="s">
        <v>5778</v>
      </c>
      <c r="L323" s="472" t="s">
        <v>5780</v>
      </c>
      <c r="M323" s="468">
        <v>2</v>
      </c>
      <c r="N323" s="692"/>
      <c r="O323" s="440" t="s">
        <v>5822</v>
      </c>
      <c r="P323" s="576"/>
    </row>
    <row r="324" spans="1:16" s="17" customFormat="1" ht="33" customHeight="1">
      <c r="A324" s="436"/>
      <c r="B324" s="403">
        <v>46160</v>
      </c>
      <c r="C324" s="3" t="s">
        <v>138</v>
      </c>
      <c r="D324" s="3" t="s">
        <v>17</v>
      </c>
      <c r="E324" s="467" t="s">
        <v>5282</v>
      </c>
      <c r="F324" s="467">
        <v>7064</v>
      </c>
      <c r="G324" s="472" t="s">
        <v>83</v>
      </c>
      <c r="H324" s="466" t="s">
        <v>5574</v>
      </c>
      <c r="I324" s="466" t="s">
        <v>2017</v>
      </c>
      <c r="J324" s="466" t="s">
        <v>68</v>
      </c>
      <c r="K324" s="136" t="s">
        <v>15</v>
      </c>
      <c r="L324" s="472" t="s">
        <v>4551</v>
      </c>
      <c r="M324" s="468">
        <v>2</v>
      </c>
      <c r="N324" s="31"/>
      <c r="O324" s="443"/>
      <c r="P324" s="576"/>
    </row>
    <row r="325" spans="1:16" s="17" customFormat="1" ht="33" customHeight="1">
      <c r="A325" s="436"/>
      <c r="B325" s="403">
        <v>46161</v>
      </c>
      <c r="C325" s="3" t="s">
        <v>138</v>
      </c>
      <c r="D325" s="3" t="s">
        <v>17</v>
      </c>
      <c r="E325" s="467" t="s">
        <v>5282</v>
      </c>
      <c r="F325" s="467">
        <v>7064</v>
      </c>
      <c r="G325" s="472" t="s">
        <v>83</v>
      </c>
      <c r="H325" s="466" t="s">
        <v>5574</v>
      </c>
      <c r="I325" s="466" t="s">
        <v>2017</v>
      </c>
      <c r="J325" s="466" t="s">
        <v>68</v>
      </c>
      <c r="K325" s="136" t="s">
        <v>15</v>
      </c>
      <c r="L325" s="472" t="s">
        <v>4551</v>
      </c>
      <c r="M325" s="468">
        <v>2</v>
      </c>
      <c r="N325" s="692"/>
      <c r="O325" s="443"/>
      <c r="P325" s="576"/>
    </row>
    <row r="326" spans="1:16" s="17" customFormat="1" ht="33" customHeight="1">
      <c r="A326" s="436"/>
      <c r="B326" s="403">
        <v>46161</v>
      </c>
      <c r="C326" s="3" t="s">
        <v>21</v>
      </c>
      <c r="D326" s="3" t="s">
        <v>14</v>
      </c>
      <c r="E326" s="467" t="s">
        <v>1787</v>
      </c>
      <c r="F326" s="466" t="s">
        <v>5635</v>
      </c>
      <c r="G326" s="472" t="s">
        <v>23</v>
      </c>
      <c r="H326" s="466" t="s">
        <v>5594</v>
      </c>
      <c r="I326" s="467" t="s">
        <v>5645</v>
      </c>
      <c r="J326" s="467"/>
      <c r="K326" s="136" t="s">
        <v>15</v>
      </c>
      <c r="L326" s="472" t="s">
        <v>33</v>
      </c>
      <c r="M326" s="468">
        <v>2</v>
      </c>
      <c r="N326" s="434"/>
      <c r="O326" s="449" t="s">
        <v>5774</v>
      </c>
      <c r="P326" s="576"/>
    </row>
    <row r="327" spans="1:16" s="17" customFormat="1" ht="33" customHeight="1">
      <c r="A327" s="436"/>
      <c r="B327" s="370">
        <v>46161</v>
      </c>
      <c r="C327" s="3" t="s">
        <v>138</v>
      </c>
      <c r="D327" s="3" t="s">
        <v>14</v>
      </c>
      <c r="E327" s="467" t="s">
        <v>1787</v>
      </c>
      <c r="F327" s="467" t="s">
        <v>2135</v>
      </c>
      <c r="G327" s="472" t="s">
        <v>142</v>
      </c>
      <c r="H327" s="466" t="s">
        <v>3466</v>
      </c>
      <c r="I327" s="467" t="s">
        <v>5645</v>
      </c>
      <c r="J327" s="466"/>
      <c r="K327" s="136" t="s">
        <v>15</v>
      </c>
      <c r="L327" s="472" t="s">
        <v>33</v>
      </c>
      <c r="M327" s="468">
        <v>2</v>
      </c>
      <c r="N327" s="434"/>
      <c r="O327" s="442"/>
      <c r="P327" s="576"/>
    </row>
    <row r="328" spans="1:16" s="17" customFormat="1" ht="33" customHeight="1">
      <c r="A328" s="436"/>
      <c r="B328" s="370">
        <v>46161</v>
      </c>
      <c r="C328" s="3" t="s">
        <v>5824</v>
      </c>
      <c r="D328" s="3" t="s">
        <v>5825</v>
      </c>
      <c r="E328" s="467" t="s">
        <v>5826</v>
      </c>
      <c r="F328" s="467" t="s">
        <v>5827</v>
      </c>
      <c r="G328" s="472" t="s">
        <v>5828</v>
      </c>
      <c r="H328" s="466" t="s">
        <v>5829</v>
      </c>
      <c r="I328" s="467" t="s">
        <v>5830</v>
      </c>
      <c r="J328" s="466" t="s">
        <v>5831</v>
      </c>
      <c r="K328" s="136"/>
      <c r="L328" s="472">
        <v>2313</v>
      </c>
      <c r="M328" s="468">
        <v>2</v>
      </c>
      <c r="N328" s="692"/>
      <c r="O328" s="449" t="s">
        <v>5832</v>
      </c>
      <c r="P328" s="576"/>
    </row>
    <row r="329" spans="1:16" s="17" customFormat="1" ht="33" customHeight="1">
      <c r="A329" s="436"/>
      <c r="B329" s="403">
        <v>46162</v>
      </c>
      <c r="C329" s="3"/>
      <c r="D329" s="3"/>
      <c r="E329" s="467"/>
      <c r="F329" s="466"/>
      <c r="G329" s="472"/>
      <c r="H329" s="466"/>
      <c r="I329" s="467"/>
      <c r="J329" s="467"/>
      <c r="K329" s="136"/>
      <c r="L329" s="472"/>
      <c r="M329" s="468"/>
      <c r="N329" s="31" t="s">
        <v>5808</v>
      </c>
      <c r="O329" s="442"/>
      <c r="P329" s="576"/>
    </row>
    <row r="330" spans="1:16" s="17" customFormat="1" ht="33" customHeight="1">
      <c r="A330" s="436"/>
      <c r="B330" s="403">
        <v>46162</v>
      </c>
      <c r="C330" s="4"/>
      <c r="D330" s="4"/>
      <c r="E330" s="291"/>
      <c r="F330" s="31"/>
      <c r="G330" s="16"/>
      <c r="H330" s="193"/>
      <c r="I330" s="31"/>
      <c r="J330" s="31"/>
      <c r="K330" s="125"/>
      <c r="L330" s="16"/>
      <c r="M330" s="8"/>
      <c r="N330" s="31"/>
      <c r="O330" s="444"/>
      <c r="P330" s="576"/>
    </row>
    <row r="331" spans="1:16" s="17" customFormat="1" ht="33" customHeight="1">
      <c r="A331" s="436"/>
      <c r="B331" s="403">
        <v>46163</v>
      </c>
      <c r="C331" s="3" t="s">
        <v>21</v>
      </c>
      <c r="D331" s="3" t="s">
        <v>14</v>
      </c>
      <c r="E331" s="467" t="s">
        <v>1893</v>
      </c>
      <c r="F331" s="31" t="s">
        <v>5782</v>
      </c>
      <c r="G331" s="16" t="s">
        <v>5783</v>
      </c>
      <c r="H331" s="193" t="s">
        <v>5784</v>
      </c>
      <c r="I331" s="31"/>
      <c r="J331" s="193"/>
      <c r="K331" s="125"/>
      <c r="L331" s="16"/>
      <c r="M331" s="8"/>
      <c r="N331" s="434"/>
      <c r="O331" s="442"/>
      <c r="P331" s="576"/>
    </row>
    <row r="332" spans="1:16" s="17" customFormat="1" ht="33" customHeight="1">
      <c r="A332" s="436"/>
      <c r="B332" s="403">
        <v>46163</v>
      </c>
      <c r="C332" s="4"/>
      <c r="D332" s="4"/>
      <c r="E332" s="291"/>
      <c r="F332" s="31"/>
      <c r="G332" s="16"/>
      <c r="H332" s="193"/>
      <c r="I332" s="31"/>
      <c r="J332" s="31"/>
      <c r="K332" s="125"/>
      <c r="L332" s="16"/>
      <c r="M332" s="8"/>
      <c r="N332" s="31"/>
      <c r="O332" s="444"/>
      <c r="P332" s="576"/>
    </row>
    <row r="333" spans="1:16" s="17" customFormat="1" ht="40.5">
      <c r="A333" s="436"/>
      <c r="B333" s="403">
        <v>46164</v>
      </c>
      <c r="C333" s="3" t="s">
        <v>21</v>
      </c>
      <c r="D333" s="3" t="s">
        <v>14</v>
      </c>
      <c r="E333" s="467" t="s">
        <v>2241</v>
      </c>
      <c r="F333" s="692" t="s">
        <v>5785</v>
      </c>
      <c r="G333" s="16" t="s">
        <v>5786</v>
      </c>
      <c r="H333" s="193" t="s">
        <v>5787</v>
      </c>
      <c r="I333" s="31"/>
      <c r="J333" s="193"/>
      <c r="K333" s="125"/>
      <c r="L333" s="16"/>
      <c r="M333" s="8"/>
      <c r="N333" s="31" t="s">
        <v>4666</v>
      </c>
      <c r="O333" s="441"/>
      <c r="P333" s="576"/>
    </row>
    <row r="334" spans="1:16" s="17" customFormat="1" ht="33" customHeight="1">
      <c r="A334" s="436"/>
      <c r="B334" s="403">
        <v>46164</v>
      </c>
      <c r="C334" s="4" t="s">
        <v>5810</v>
      </c>
      <c r="D334" s="4" t="s">
        <v>5798</v>
      </c>
      <c r="E334" s="31" t="s">
        <v>5811</v>
      </c>
      <c r="F334" s="31">
        <v>124001</v>
      </c>
      <c r="G334" s="16" t="s">
        <v>5812</v>
      </c>
      <c r="H334" s="193" t="s">
        <v>5813</v>
      </c>
      <c r="I334" s="31" t="s">
        <v>5779</v>
      </c>
      <c r="J334" s="31"/>
      <c r="K334" s="125" t="s">
        <v>5814</v>
      </c>
      <c r="L334" s="16" t="s">
        <v>5773</v>
      </c>
      <c r="M334" s="8"/>
      <c r="N334" s="31"/>
      <c r="O334" s="440"/>
      <c r="P334" s="576"/>
    </row>
    <row r="335" spans="1:16" s="17" customFormat="1" ht="33" customHeight="1">
      <c r="A335" s="436"/>
      <c r="B335" s="403">
        <v>46165</v>
      </c>
      <c r="C335" s="4"/>
      <c r="D335" s="4"/>
      <c r="E335" s="31"/>
      <c r="F335" s="31"/>
      <c r="G335" s="16"/>
      <c r="H335" s="193"/>
      <c r="I335" s="193"/>
      <c r="J335" s="193"/>
      <c r="K335" s="125"/>
      <c r="L335" s="16"/>
      <c r="M335" s="8"/>
      <c r="N335" s="193"/>
      <c r="O335" s="450"/>
      <c r="P335" s="576"/>
    </row>
    <row r="336" spans="1:16" s="17" customFormat="1" ht="33" customHeight="1">
      <c r="A336" s="437"/>
      <c r="B336" s="403">
        <v>46165</v>
      </c>
      <c r="C336" s="4"/>
      <c r="D336" s="4"/>
      <c r="E336" s="31"/>
      <c r="F336" s="31"/>
      <c r="G336" s="16"/>
      <c r="H336" s="193"/>
      <c r="I336" s="193"/>
      <c r="J336" s="193"/>
      <c r="K336" s="125"/>
      <c r="L336" s="16"/>
      <c r="M336" s="8"/>
      <c r="N336" s="31"/>
      <c r="O336" s="444"/>
      <c r="P336" s="576"/>
    </row>
    <row r="337" spans="1:16" s="17" customFormat="1" ht="33" customHeight="1">
      <c r="A337" s="438" t="s">
        <v>0</v>
      </c>
      <c r="B337" s="324" t="s">
        <v>1</v>
      </c>
      <c r="C337" s="323" t="s">
        <v>2</v>
      </c>
      <c r="D337" s="323" t="s">
        <v>3</v>
      </c>
      <c r="E337" s="323" t="s">
        <v>4</v>
      </c>
      <c r="F337" s="323" t="s">
        <v>5</v>
      </c>
      <c r="G337" s="323" t="s">
        <v>6</v>
      </c>
      <c r="H337" s="325" t="s">
        <v>7</v>
      </c>
      <c r="I337" s="323" t="s">
        <v>8</v>
      </c>
      <c r="J337" s="323" t="s">
        <v>9</v>
      </c>
      <c r="K337" s="326" t="s">
        <v>10</v>
      </c>
      <c r="L337" s="327" t="s">
        <v>11</v>
      </c>
      <c r="M337" s="323" t="s">
        <v>12</v>
      </c>
      <c r="N337" s="328" t="s">
        <v>13</v>
      </c>
      <c r="O337" s="439" t="s">
        <v>63</v>
      </c>
      <c r="P337" s="439" t="s">
        <v>5417</v>
      </c>
    </row>
    <row r="338" spans="1:16" s="17" customFormat="1" ht="33" customHeight="1">
      <c r="A338" s="435" t="s">
        <v>4503</v>
      </c>
      <c r="B338" s="403">
        <v>46167</v>
      </c>
      <c r="C338" s="4"/>
      <c r="D338" s="4"/>
      <c r="E338" s="31"/>
      <c r="F338" s="193"/>
      <c r="G338" s="16"/>
      <c r="H338" s="413" t="s">
        <v>4665</v>
      </c>
      <c r="I338" s="31"/>
      <c r="J338" s="31"/>
      <c r="K338" s="125"/>
      <c r="L338" s="16"/>
      <c r="M338" s="8"/>
      <c r="N338" s="31"/>
      <c r="O338" s="443"/>
      <c r="P338" s="576"/>
    </row>
    <row r="339" spans="1:16" s="17" customFormat="1" ht="33" customHeight="1">
      <c r="A339" s="436"/>
      <c r="B339" s="403">
        <v>46167</v>
      </c>
      <c r="C339" s="4" t="s">
        <v>5729</v>
      </c>
      <c r="D339" s="4" t="s">
        <v>5730</v>
      </c>
      <c r="E339" s="642" t="s">
        <v>5731</v>
      </c>
      <c r="F339" s="642" t="s">
        <v>5732</v>
      </c>
      <c r="G339" s="16" t="s">
        <v>2917</v>
      </c>
      <c r="H339" s="193" t="s">
        <v>5739</v>
      </c>
      <c r="I339" s="31"/>
      <c r="J339" s="31"/>
      <c r="K339" s="125"/>
      <c r="L339" s="16"/>
      <c r="M339" s="8"/>
      <c r="N339" s="31"/>
      <c r="O339" s="443"/>
      <c r="P339" s="576"/>
    </row>
    <row r="340" spans="1:16" s="17" customFormat="1" ht="33" customHeight="1">
      <c r="A340" s="436"/>
      <c r="B340" s="403">
        <v>46168</v>
      </c>
      <c r="C340" s="4"/>
      <c r="D340" s="4"/>
      <c r="E340" s="31"/>
      <c r="F340" s="31"/>
      <c r="G340" s="16"/>
      <c r="H340" s="193"/>
      <c r="I340" s="31"/>
      <c r="J340" s="193"/>
      <c r="K340" s="125"/>
      <c r="L340" s="16"/>
      <c r="M340" s="8"/>
      <c r="N340" s="434"/>
      <c r="O340" s="442"/>
      <c r="P340" s="576"/>
    </row>
    <row r="341" spans="1:16" s="17" customFormat="1" ht="33" customHeight="1">
      <c r="A341" s="436"/>
      <c r="B341" s="403">
        <v>46168</v>
      </c>
      <c r="C341" s="4"/>
      <c r="D341" s="4"/>
      <c r="E341" s="31"/>
      <c r="F341" s="31"/>
      <c r="G341" s="16"/>
      <c r="H341" s="193"/>
      <c r="I341" s="31"/>
      <c r="J341" s="193"/>
      <c r="K341" s="125"/>
      <c r="L341" s="16"/>
      <c r="M341" s="8"/>
      <c r="N341" s="434"/>
      <c r="O341" s="442"/>
      <c r="P341" s="576"/>
    </row>
    <row r="342" spans="1:16" s="17" customFormat="1" ht="33" customHeight="1">
      <c r="A342" s="436"/>
      <c r="B342" s="403">
        <v>46169</v>
      </c>
      <c r="C342" s="4"/>
      <c r="D342" s="4"/>
      <c r="E342" s="193" t="s">
        <v>5612</v>
      </c>
      <c r="F342" s="31"/>
      <c r="G342" s="16"/>
      <c r="H342" s="193" t="s">
        <v>5616</v>
      </c>
      <c r="I342" s="31" t="s">
        <v>5613</v>
      </c>
      <c r="J342" s="193"/>
      <c r="K342" s="125"/>
      <c r="L342" s="16" t="s">
        <v>5614</v>
      </c>
      <c r="M342" s="8">
        <v>1</v>
      </c>
      <c r="N342" s="434"/>
      <c r="O342" s="442"/>
      <c r="P342" s="576"/>
    </row>
    <row r="343" spans="1:16" s="17" customFormat="1" ht="33" customHeight="1">
      <c r="A343" s="436"/>
      <c r="B343" s="403">
        <v>46169</v>
      </c>
      <c r="C343" s="3" t="s">
        <v>163</v>
      </c>
      <c r="D343" s="3" t="s">
        <v>5817</v>
      </c>
      <c r="E343" s="467" t="s">
        <v>5833</v>
      </c>
      <c r="F343" s="466" t="s">
        <v>5816</v>
      </c>
      <c r="G343" s="472"/>
      <c r="H343" s="466" t="s">
        <v>5815</v>
      </c>
      <c r="I343" s="467" t="s">
        <v>5807</v>
      </c>
      <c r="J343" s="467"/>
      <c r="K343" s="136"/>
      <c r="L343" s="472" t="s">
        <v>5773</v>
      </c>
      <c r="M343" s="8"/>
      <c r="N343" s="31"/>
      <c r="O343" s="444" t="s">
        <v>5834</v>
      </c>
      <c r="P343" s="576"/>
    </row>
    <row r="344" spans="1:16" s="17" customFormat="1" ht="33" customHeight="1">
      <c r="A344" s="436"/>
      <c r="B344" s="403">
        <v>46170</v>
      </c>
      <c r="C344" s="3" t="s">
        <v>21</v>
      </c>
      <c r="D344" s="3" t="s">
        <v>14</v>
      </c>
      <c r="E344" s="486" t="s">
        <v>107</v>
      </c>
      <c r="F344" s="467" t="s">
        <v>2959</v>
      </c>
      <c r="G344" s="472" t="s">
        <v>143</v>
      </c>
      <c r="H344" s="693" t="s">
        <v>5747</v>
      </c>
      <c r="I344" s="31"/>
      <c r="J344" s="193"/>
      <c r="K344" s="125"/>
      <c r="L344" s="16"/>
      <c r="M344" s="8"/>
      <c r="N344" s="434"/>
      <c r="O344" s="442"/>
      <c r="P344" s="576"/>
    </row>
    <row r="345" spans="1:16" s="17" customFormat="1" ht="33" customHeight="1">
      <c r="A345" s="436"/>
      <c r="B345" s="403">
        <v>46170</v>
      </c>
      <c r="C345" s="4"/>
      <c r="D345" s="4"/>
      <c r="E345" s="291"/>
      <c r="F345" s="31"/>
      <c r="G345" s="16"/>
      <c r="H345" s="193"/>
      <c r="I345" s="31"/>
      <c r="J345" s="31"/>
      <c r="K345" s="125"/>
      <c r="L345" s="16"/>
      <c r="M345" s="8"/>
      <c r="N345" s="31"/>
      <c r="O345" s="444"/>
      <c r="P345" s="576"/>
    </row>
    <row r="346" spans="1:16" s="17" customFormat="1" ht="33" customHeight="1">
      <c r="A346" s="436"/>
      <c r="B346" s="403">
        <v>46171</v>
      </c>
      <c r="C346" s="4"/>
      <c r="D346" s="4"/>
      <c r="E346" s="31"/>
      <c r="F346" s="291"/>
      <c r="G346" s="16"/>
      <c r="H346" s="193"/>
      <c r="I346" s="31"/>
      <c r="J346" s="193"/>
      <c r="K346" s="125"/>
      <c r="L346" s="16"/>
      <c r="M346" s="8"/>
      <c r="N346" s="31"/>
      <c r="O346" s="441"/>
      <c r="P346" s="576"/>
    </row>
    <row r="347" spans="1:16" s="17" customFormat="1" ht="33" customHeight="1">
      <c r="A347" s="436"/>
      <c r="B347" s="403">
        <v>46171</v>
      </c>
      <c r="C347" s="4"/>
      <c r="D347" s="4"/>
      <c r="E347" s="31"/>
      <c r="F347" s="31"/>
      <c r="G347" s="16"/>
      <c r="H347" s="193"/>
      <c r="I347" s="31"/>
      <c r="J347" s="31"/>
      <c r="K347" s="125"/>
      <c r="L347" s="16"/>
      <c r="M347" s="8"/>
      <c r="N347" s="31"/>
      <c r="O347" s="440"/>
      <c r="P347" s="576"/>
    </row>
    <row r="348" spans="1:16" s="17" customFormat="1" ht="33" customHeight="1">
      <c r="A348" s="436"/>
      <c r="B348" s="403">
        <v>46172</v>
      </c>
      <c r="C348" s="4"/>
      <c r="D348" s="4"/>
      <c r="E348" s="31"/>
      <c r="F348" s="31"/>
      <c r="G348" s="16"/>
      <c r="H348" s="193"/>
      <c r="I348" s="193"/>
      <c r="J348" s="193"/>
      <c r="K348" s="125"/>
      <c r="L348" s="16"/>
      <c r="M348" s="8"/>
      <c r="N348" s="193"/>
      <c r="O348" s="450"/>
      <c r="P348" s="576"/>
    </row>
    <row r="349" spans="1:16" s="17" customFormat="1" ht="33" customHeight="1">
      <c r="A349" s="437"/>
      <c r="B349" s="403">
        <v>46172</v>
      </c>
      <c r="C349" s="4"/>
      <c r="D349" s="4"/>
      <c r="E349" s="31"/>
      <c r="F349" s="31"/>
      <c r="G349" s="16"/>
      <c r="H349" s="193"/>
      <c r="I349" s="193"/>
      <c r="J349" s="193"/>
      <c r="K349" s="125"/>
      <c r="L349" s="16"/>
      <c r="M349" s="8"/>
      <c r="N349" s="31"/>
      <c r="O349" s="444"/>
      <c r="P349" s="576"/>
    </row>
    <row r="350" spans="1:16" s="17" customFormat="1" ht="33" customHeight="1">
      <c r="A350" s="438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9" t="s">
        <v>63</v>
      </c>
      <c r="P350" s="439" t="s">
        <v>5417</v>
      </c>
    </row>
    <row r="351" spans="1:16" s="17" customFormat="1" ht="33" customHeight="1">
      <c r="A351" s="435" t="s">
        <v>4504</v>
      </c>
      <c r="B351" s="403">
        <v>46174</v>
      </c>
      <c r="C351" s="4"/>
      <c r="D351" s="4"/>
      <c r="E351" s="31"/>
      <c r="F351" s="193"/>
      <c r="G351" s="16"/>
      <c r="H351" s="193"/>
      <c r="I351" s="31"/>
      <c r="J351" s="31"/>
      <c r="K351" s="125"/>
      <c r="L351" s="16"/>
      <c r="M351" s="8"/>
      <c r="N351" s="31"/>
      <c r="O351" s="443"/>
      <c r="P351" s="576"/>
    </row>
    <row r="352" spans="1:16" s="17" customFormat="1" ht="33" customHeight="1">
      <c r="A352" s="436"/>
      <c r="B352" s="403">
        <v>46174</v>
      </c>
      <c r="C352" s="4"/>
      <c r="D352" s="4"/>
      <c r="E352" s="291"/>
      <c r="F352" s="31"/>
      <c r="G352" s="16"/>
      <c r="H352" s="193"/>
      <c r="I352" s="31"/>
      <c r="J352" s="31"/>
      <c r="K352" s="125"/>
      <c r="L352" s="16"/>
      <c r="M352" s="8"/>
      <c r="N352" s="31"/>
      <c r="O352" s="443"/>
      <c r="P352" s="576"/>
    </row>
    <row r="353" spans="1:16" s="17" customFormat="1" ht="33" customHeight="1">
      <c r="A353" s="436"/>
      <c r="B353" s="403">
        <v>46175</v>
      </c>
      <c r="C353" s="4"/>
      <c r="D353" s="4"/>
      <c r="E353" s="31"/>
      <c r="F353" s="31"/>
      <c r="G353" s="16"/>
      <c r="H353" s="193"/>
      <c r="I353" s="31"/>
      <c r="J353" s="193"/>
      <c r="K353" s="125"/>
      <c r="L353" s="16"/>
      <c r="M353" s="8"/>
      <c r="N353" s="434"/>
      <c r="O353" s="442"/>
      <c r="P353" s="576"/>
    </row>
    <row r="354" spans="1:16" s="17" customFormat="1" ht="33" customHeight="1">
      <c r="A354" s="436"/>
      <c r="B354" s="403">
        <v>46175</v>
      </c>
      <c r="C354" s="4"/>
      <c r="D354" s="4"/>
      <c r="E354" s="31"/>
      <c r="F354" s="31"/>
      <c r="G354" s="16"/>
      <c r="H354" s="193"/>
      <c r="I354" s="31"/>
      <c r="J354" s="193"/>
      <c r="K354" s="125"/>
      <c r="L354" s="16"/>
      <c r="M354" s="8"/>
      <c r="N354" s="434"/>
      <c r="O354" s="442"/>
      <c r="P354" s="576"/>
    </row>
    <row r="355" spans="1:16" s="17" customFormat="1" ht="33" customHeight="1">
      <c r="A355" s="436"/>
      <c r="B355" s="403">
        <v>46176</v>
      </c>
      <c r="C355" s="4"/>
      <c r="D355" s="4"/>
      <c r="E355" s="31"/>
      <c r="F355" s="31"/>
      <c r="G355" s="16"/>
      <c r="H355" s="413" t="s">
        <v>4753</v>
      </c>
      <c r="I355" s="31"/>
      <c r="J355" s="193"/>
      <c r="K355" s="125"/>
      <c r="L355" s="16"/>
      <c r="M355" s="8"/>
      <c r="N355" s="434"/>
      <c r="O355" s="442"/>
      <c r="P355" s="576"/>
    </row>
    <row r="356" spans="1:16" s="17" customFormat="1" ht="33" customHeight="1">
      <c r="A356" s="436"/>
      <c r="B356" s="403">
        <v>46176</v>
      </c>
      <c r="C356" s="4"/>
      <c r="D356" s="4"/>
      <c r="E356" s="291"/>
      <c r="F356" s="31"/>
      <c r="G356" s="16"/>
      <c r="H356" s="193"/>
      <c r="I356" s="31"/>
      <c r="J356" s="31"/>
      <c r="K356" s="125"/>
      <c r="L356" s="16"/>
      <c r="M356" s="8"/>
      <c r="N356" s="31"/>
      <c r="O356" s="444"/>
      <c r="P356" s="576"/>
    </row>
    <row r="357" spans="1:16" s="17" customFormat="1" ht="33" customHeight="1">
      <c r="A357" s="436"/>
      <c r="B357" s="403">
        <v>46177</v>
      </c>
      <c r="C357" s="4"/>
      <c r="D357" s="4"/>
      <c r="E357" s="31"/>
      <c r="F357" s="31"/>
      <c r="G357" s="16"/>
      <c r="H357" s="193"/>
      <c r="I357" s="31"/>
      <c r="J357" s="193"/>
      <c r="K357" s="125"/>
      <c r="L357" s="16"/>
      <c r="M357" s="8"/>
      <c r="N357" s="434"/>
      <c r="O357" s="442"/>
      <c r="P357" s="576"/>
    </row>
    <row r="358" spans="1:16" s="17" customFormat="1" ht="33" customHeight="1">
      <c r="A358" s="436"/>
      <c r="B358" s="403">
        <v>46177</v>
      </c>
      <c r="C358" s="4"/>
      <c r="D358" s="4"/>
      <c r="E358" s="291"/>
      <c r="F358" s="31"/>
      <c r="G358" s="16"/>
      <c r="H358" s="193"/>
      <c r="I358" s="31"/>
      <c r="J358" s="31"/>
      <c r="K358" s="125"/>
      <c r="L358" s="16"/>
      <c r="M358" s="8"/>
      <c r="N358" s="31"/>
      <c r="O358" s="444"/>
      <c r="P358" s="576"/>
    </row>
    <row r="359" spans="1:16" s="17" customFormat="1" ht="33" customHeight="1">
      <c r="A359" s="436"/>
      <c r="B359" s="403">
        <v>46178</v>
      </c>
      <c r="C359" s="4" t="s">
        <v>113</v>
      </c>
      <c r="D359" s="4" t="s">
        <v>5257</v>
      </c>
      <c r="E359" s="31" t="s">
        <v>5259</v>
      </c>
      <c r="F359" s="31" t="s">
        <v>5260</v>
      </c>
      <c r="G359" s="16" t="s">
        <v>5261</v>
      </c>
      <c r="H359" s="193" t="s">
        <v>5258</v>
      </c>
      <c r="I359" s="31" t="s">
        <v>5548</v>
      </c>
      <c r="J359" s="193"/>
      <c r="K359" s="125" t="s">
        <v>5572</v>
      </c>
      <c r="L359" s="16" t="s">
        <v>5573</v>
      </c>
      <c r="M359" s="8">
        <v>2</v>
      </c>
      <c r="N359" s="31"/>
      <c r="O359" s="441"/>
      <c r="P359" s="576"/>
    </row>
    <row r="360" spans="1:16" s="17" customFormat="1" ht="33" customHeight="1">
      <c r="A360" s="436"/>
      <c r="B360" s="403">
        <v>46178</v>
      </c>
      <c r="C360" s="4"/>
      <c r="D360" s="4"/>
      <c r="E360" s="31"/>
      <c r="F360" s="31"/>
      <c r="G360" s="16"/>
      <c r="H360" s="193"/>
      <c r="I360" s="31"/>
      <c r="J360" s="31"/>
      <c r="K360" s="125"/>
      <c r="L360" s="16"/>
      <c r="M360" s="8"/>
      <c r="N360" s="31"/>
      <c r="O360" s="440"/>
      <c r="P360" s="576"/>
    </row>
    <row r="361" spans="1:16" s="17" customFormat="1" ht="33" customHeight="1">
      <c r="A361" s="436"/>
      <c r="B361" s="403">
        <v>46179</v>
      </c>
      <c r="C361" s="4"/>
      <c r="D361" s="4"/>
      <c r="E361" s="31"/>
      <c r="F361" s="31"/>
      <c r="G361" s="16"/>
      <c r="H361" s="193"/>
      <c r="I361" s="193"/>
      <c r="J361" s="193"/>
      <c r="K361" s="125"/>
      <c r="L361" s="16"/>
      <c r="M361" s="8"/>
      <c r="N361" s="193"/>
      <c r="O361" s="450"/>
      <c r="P361" s="576"/>
    </row>
    <row r="362" spans="1:16" s="17" customFormat="1" ht="33" customHeight="1">
      <c r="A362" s="437"/>
      <c r="B362" s="403">
        <v>46179</v>
      </c>
      <c r="C362" s="4"/>
      <c r="D362" s="4"/>
      <c r="E362" s="31"/>
      <c r="F362" s="31"/>
      <c r="G362" s="16"/>
      <c r="H362" s="193"/>
      <c r="I362" s="193"/>
      <c r="J362" s="193"/>
      <c r="K362" s="125"/>
      <c r="L362" s="16"/>
      <c r="M362" s="8"/>
      <c r="N362" s="31"/>
      <c r="O362" s="444"/>
      <c r="P362" s="576"/>
    </row>
    <row r="363" spans="1:16" s="17" customFormat="1" ht="33" customHeight="1">
      <c r="A363" s="323" t="s">
        <v>0</v>
      </c>
      <c r="B363" s="324" t="s">
        <v>1</v>
      </c>
      <c r="C363" s="323" t="s">
        <v>2</v>
      </c>
      <c r="D363" s="323" t="s">
        <v>3</v>
      </c>
      <c r="E363" s="323" t="s">
        <v>4</v>
      </c>
      <c r="F363" s="323" t="s">
        <v>5</v>
      </c>
      <c r="G363" s="323" t="s">
        <v>6</v>
      </c>
      <c r="H363" s="325" t="s">
        <v>7</v>
      </c>
      <c r="I363" s="323" t="s">
        <v>8</v>
      </c>
      <c r="J363" s="323" t="s">
        <v>9</v>
      </c>
      <c r="K363" s="326" t="s">
        <v>10</v>
      </c>
      <c r="L363" s="327" t="s">
        <v>11</v>
      </c>
      <c r="M363" s="323" t="s">
        <v>12</v>
      </c>
      <c r="N363" s="328" t="s">
        <v>13</v>
      </c>
      <c r="O363" s="439" t="s">
        <v>63</v>
      </c>
      <c r="P363" s="323" t="s">
        <v>5417</v>
      </c>
    </row>
    <row r="364" spans="1:16" s="17" customFormat="1" ht="33" customHeight="1">
      <c r="A364" s="635" t="s">
        <v>4505</v>
      </c>
      <c r="B364" s="403">
        <v>46181</v>
      </c>
      <c r="C364" s="4"/>
      <c r="D364" s="4"/>
      <c r="E364" s="626"/>
      <c r="F364" s="626"/>
      <c r="G364" s="16"/>
      <c r="H364" s="630"/>
      <c r="I364" s="626"/>
      <c r="J364" s="626"/>
      <c r="K364" s="125"/>
      <c r="L364" s="16"/>
      <c r="M364" s="8"/>
      <c r="N364" s="626"/>
      <c r="O364" s="443"/>
      <c r="P364" s="576"/>
    </row>
    <row r="365" spans="1:16" s="17" customFormat="1" ht="33" customHeight="1">
      <c r="A365" s="636"/>
      <c r="B365" s="403">
        <v>46181</v>
      </c>
      <c r="C365" s="4" t="s">
        <v>163</v>
      </c>
      <c r="D365" s="4" t="s">
        <v>5788</v>
      </c>
      <c r="E365" s="291" t="s">
        <v>5789</v>
      </c>
      <c r="F365" s="626" t="s">
        <v>5790</v>
      </c>
      <c r="G365" s="16" t="s">
        <v>5791</v>
      </c>
      <c r="H365" s="630" t="s">
        <v>5792</v>
      </c>
      <c r="I365" s="626"/>
      <c r="J365" s="626"/>
      <c r="K365" s="125"/>
      <c r="L365" s="16"/>
      <c r="M365" s="8"/>
      <c r="N365" s="626"/>
      <c r="O365" s="443"/>
      <c r="P365" s="576"/>
    </row>
    <row r="366" spans="1:16" s="17" customFormat="1" ht="33" customHeight="1">
      <c r="A366" s="636"/>
      <c r="B366" s="403">
        <v>46182</v>
      </c>
      <c r="C366" s="4"/>
      <c r="D366" s="4"/>
      <c r="E366" s="626"/>
      <c r="F366" s="626"/>
      <c r="G366" s="16"/>
      <c r="H366" s="630"/>
      <c r="I366" s="626"/>
      <c r="J366" s="630"/>
      <c r="K366" s="125"/>
      <c r="L366" s="16"/>
      <c r="M366" s="8"/>
      <c r="N366" s="627"/>
      <c r="O366" s="442"/>
      <c r="P366" s="576"/>
    </row>
    <row r="367" spans="1:16" s="17" customFormat="1" ht="33" customHeight="1">
      <c r="A367" s="636"/>
      <c r="B367" s="403">
        <v>46182</v>
      </c>
      <c r="C367" s="4" t="s">
        <v>163</v>
      </c>
      <c r="D367" s="4" t="s">
        <v>5788</v>
      </c>
      <c r="E367" s="291" t="s">
        <v>5789</v>
      </c>
      <c r="F367" s="692" t="s">
        <v>5790</v>
      </c>
      <c r="G367" s="16" t="s">
        <v>5791</v>
      </c>
      <c r="H367" s="693" t="s">
        <v>5792</v>
      </c>
      <c r="I367" s="626"/>
      <c r="J367" s="630"/>
      <c r="K367" s="125"/>
      <c r="L367" s="16"/>
      <c r="M367" s="8"/>
      <c r="N367" s="627"/>
      <c r="O367" s="442"/>
      <c r="P367" s="576"/>
    </row>
    <row r="368" spans="1:16" s="17" customFormat="1" ht="33" customHeight="1">
      <c r="A368" s="636"/>
      <c r="B368" s="403">
        <v>46183</v>
      </c>
      <c r="C368" s="4"/>
      <c r="D368" s="4"/>
      <c r="E368" s="626"/>
      <c r="F368" s="626"/>
      <c r="G368" s="16"/>
      <c r="H368" s="630"/>
      <c r="I368" s="626"/>
      <c r="J368" s="630"/>
      <c r="K368" s="125"/>
      <c r="L368" s="16"/>
      <c r="M368" s="8"/>
      <c r="N368" s="627"/>
      <c r="O368" s="442"/>
      <c r="P368" s="576"/>
    </row>
    <row r="369" spans="1:16" s="17" customFormat="1" ht="33" customHeight="1">
      <c r="A369" s="636"/>
      <c r="B369" s="403">
        <v>46183</v>
      </c>
      <c r="C369" s="4"/>
      <c r="D369" s="4"/>
      <c r="E369" s="291"/>
      <c r="F369" s="626"/>
      <c r="G369" s="16"/>
      <c r="H369" s="630"/>
      <c r="I369" s="626"/>
      <c r="J369" s="626"/>
      <c r="K369" s="125"/>
      <c r="L369" s="16"/>
      <c r="M369" s="8"/>
      <c r="N369" s="626"/>
      <c r="O369" s="444"/>
      <c r="P369" s="576"/>
    </row>
    <row r="370" spans="1:16" s="17" customFormat="1" ht="33" customHeight="1">
      <c r="A370" s="636"/>
      <c r="B370" s="403">
        <v>46184</v>
      </c>
      <c r="C370" s="4"/>
      <c r="D370" s="4"/>
      <c r="E370" s="626"/>
      <c r="F370" s="626"/>
      <c r="G370" s="16"/>
      <c r="H370" s="630"/>
      <c r="I370" s="626"/>
      <c r="J370" s="630"/>
      <c r="K370" s="125"/>
      <c r="L370" s="16"/>
      <c r="M370" s="8"/>
      <c r="N370" s="627"/>
      <c r="O370" s="442"/>
      <c r="P370" s="576"/>
    </row>
    <row r="371" spans="1:16" s="17" customFormat="1" ht="33" customHeight="1">
      <c r="A371" s="636"/>
      <c r="B371" s="403">
        <v>46184</v>
      </c>
      <c r="C371" s="4"/>
      <c r="D371" s="4"/>
      <c r="E371" s="291"/>
      <c r="F371" s="626"/>
      <c r="G371" s="16"/>
      <c r="H371" s="630"/>
      <c r="I371" s="626"/>
      <c r="J371" s="626"/>
      <c r="K371" s="125"/>
      <c r="L371" s="16"/>
      <c r="M371" s="8"/>
      <c r="N371" s="626"/>
      <c r="O371" s="444"/>
      <c r="P371" s="576"/>
    </row>
    <row r="372" spans="1:16" s="17" customFormat="1" ht="33" customHeight="1">
      <c r="A372" s="636"/>
      <c r="B372" s="403">
        <v>46185</v>
      </c>
      <c r="C372" s="4"/>
      <c r="D372" s="4"/>
      <c r="E372" s="626"/>
      <c r="F372" s="291"/>
      <c r="G372" s="16"/>
      <c r="H372" s="630"/>
      <c r="I372" s="626"/>
      <c r="J372" s="630"/>
      <c r="K372" s="125"/>
      <c r="L372" s="16"/>
      <c r="M372" s="8"/>
      <c r="N372" s="626"/>
      <c r="O372" s="441"/>
      <c r="P372" s="576"/>
    </row>
    <row r="373" spans="1:16" s="17" customFormat="1" ht="33" customHeight="1">
      <c r="A373" s="636"/>
      <c r="B373" s="403">
        <v>46185</v>
      </c>
      <c r="C373" s="4"/>
      <c r="D373" s="4"/>
      <c r="E373" s="626"/>
      <c r="F373" s="626"/>
      <c r="G373" s="16"/>
      <c r="H373" s="630"/>
      <c r="I373" s="626"/>
      <c r="J373" s="626"/>
      <c r="K373" s="125"/>
      <c r="L373" s="16"/>
      <c r="M373" s="8"/>
      <c r="N373" s="626"/>
      <c r="O373" s="440"/>
      <c r="P373" s="576"/>
    </row>
    <row r="374" spans="1:16" s="17" customFormat="1" ht="33" customHeight="1">
      <c r="A374" s="637"/>
      <c r="B374" s="370">
        <v>46186</v>
      </c>
      <c r="C374" s="4"/>
      <c r="D374" s="4"/>
      <c r="E374" s="626"/>
      <c r="F374" s="626"/>
      <c r="G374" s="16"/>
      <c r="H374" s="630"/>
      <c r="I374" s="630"/>
      <c r="J374" s="630"/>
      <c r="K374" s="125"/>
      <c r="L374" s="16"/>
      <c r="M374" s="8"/>
      <c r="N374" s="630"/>
      <c r="O374" s="450"/>
      <c r="P374" s="576"/>
    </row>
    <row r="375" spans="1:16" s="17" customFormat="1" ht="33" customHeight="1">
      <c r="A375" s="323" t="s">
        <v>0</v>
      </c>
      <c r="B375" s="324" t="s">
        <v>1</v>
      </c>
      <c r="C375" s="323" t="s">
        <v>2</v>
      </c>
      <c r="D375" s="323" t="s">
        <v>3</v>
      </c>
      <c r="E375" s="323" t="s">
        <v>4</v>
      </c>
      <c r="F375" s="323" t="s">
        <v>5</v>
      </c>
      <c r="G375" s="323" t="s">
        <v>6</v>
      </c>
      <c r="H375" s="325" t="s">
        <v>7</v>
      </c>
      <c r="I375" s="323" t="s">
        <v>8</v>
      </c>
      <c r="J375" s="323" t="s">
        <v>9</v>
      </c>
      <c r="K375" s="326" t="s">
        <v>10</v>
      </c>
      <c r="L375" s="327" t="s">
        <v>11</v>
      </c>
      <c r="M375" s="323" t="s">
        <v>12</v>
      </c>
      <c r="N375" s="328" t="s">
        <v>13</v>
      </c>
      <c r="O375" s="439" t="s">
        <v>63</v>
      </c>
      <c r="P375" s="323" t="s">
        <v>123</v>
      </c>
    </row>
    <row r="376" spans="1:16" s="17" customFormat="1" ht="33" customHeight="1">
      <c r="A376" s="635" t="s">
        <v>5638</v>
      </c>
      <c r="B376" s="403">
        <v>46188</v>
      </c>
      <c r="C376" s="4"/>
      <c r="D376" s="4"/>
      <c r="E376" s="626"/>
      <c r="F376" s="626"/>
      <c r="G376" s="16"/>
      <c r="H376" s="630"/>
      <c r="I376" s="626"/>
      <c r="J376" s="626"/>
      <c r="K376" s="125"/>
      <c r="L376" s="16"/>
      <c r="M376" s="8"/>
      <c r="N376" s="626"/>
      <c r="O376" s="443"/>
      <c r="P376" s="576"/>
    </row>
    <row r="377" spans="1:16" s="17" customFormat="1" ht="33" customHeight="1">
      <c r="A377" s="636"/>
      <c r="B377" s="403">
        <v>46189</v>
      </c>
      <c r="C377" s="4"/>
      <c r="D377" s="4"/>
      <c r="E377" s="291"/>
      <c r="F377" s="626"/>
      <c r="G377" s="16"/>
      <c r="H377" s="630"/>
      <c r="I377" s="626"/>
      <c r="J377" s="626"/>
      <c r="K377" s="125"/>
      <c r="L377" s="16"/>
      <c r="M377" s="8"/>
      <c r="N377" s="626"/>
      <c r="O377" s="443"/>
      <c r="P377" s="576"/>
    </row>
    <row r="378" spans="1:16" s="17" customFormat="1" ht="33" customHeight="1">
      <c r="A378" s="636"/>
      <c r="B378" s="403">
        <v>46190</v>
      </c>
      <c r="C378" s="4"/>
      <c r="D378" s="4"/>
      <c r="E378" s="626"/>
      <c r="F378" s="626"/>
      <c r="G378" s="16"/>
      <c r="H378" s="630"/>
      <c r="I378" s="626"/>
      <c r="J378" s="630"/>
      <c r="K378" s="125"/>
      <c r="L378" s="16"/>
      <c r="M378" s="8"/>
      <c r="N378" s="627"/>
      <c r="O378" s="442"/>
      <c r="P378" s="576"/>
    </row>
    <row r="379" spans="1:16" s="17" customFormat="1" ht="33" customHeight="1">
      <c r="A379" s="636"/>
      <c r="B379" s="403">
        <v>46191</v>
      </c>
      <c r="C379" s="4"/>
      <c r="D379" s="4"/>
      <c r="E379" s="626"/>
      <c r="F379" s="626"/>
      <c r="G379" s="16"/>
      <c r="H379" s="630"/>
      <c r="I379" s="626"/>
      <c r="J379" s="630"/>
      <c r="K379" s="125"/>
      <c r="L379" s="16"/>
      <c r="M379" s="8"/>
      <c r="N379" s="627"/>
      <c r="O379" s="442"/>
      <c r="P379" s="576"/>
    </row>
    <row r="380" spans="1:16" s="17" customFormat="1" ht="33" customHeight="1">
      <c r="A380" s="636"/>
      <c r="B380" s="403">
        <v>46192</v>
      </c>
      <c r="C380" s="4"/>
      <c r="D380" s="4"/>
      <c r="E380" s="626"/>
      <c r="F380" s="626"/>
      <c r="G380" s="16"/>
      <c r="H380" s="630"/>
      <c r="I380" s="626"/>
      <c r="J380" s="630"/>
      <c r="K380" s="125"/>
      <c r="L380" s="16"/>
      <c r="M380" s="8"/>
      <c r="N380" s="627"/>
      <c r="O380" s="442"/>
      <c r="P380" s="576"/>
    </row>
    <row r="381" spans="1:16" s="17" customFormat="1" ht="33" customHeight="1">
      <c r="A381" s="636"/>
      <c r="B381" s="403">
        <v>46193</v>
      </c>
      <c r="C381" s="4"/>
      <c r="D381" s="4"/>
      <c r="E381" s="291"/>
      <c r="F381" s="626"/>
      <c r="G381" s="16"/>
      <c r="H381" s="630"/>
      <c r="I381" s="626"/>
      <c r="J381" s="626"/>
      <c r="K381" s="125"/>
      <c r="L381" s="16"/>
      <c r="M381" s="8"/>
      <c r="N381" s="626"/>
      <c r="O381" s="444"/>
      <c r="P381" s="576"/>
    </row>
    <row r="382" spans="1:16" s="17" customFormat="1" ht="33" customHeight="1">
      <c r="A382" s="323" t="s">
        <v>0</v>
      </c>
      <c r="B382" s="324" t="s">
        <v>1</v>
      </c>
      <c r="C382" s="323" t="s">
        <v>2</v>
      </c>
      <c r="D382" s="323" t="s">
        <v>3</v>
      </c>
      <c r="E382" s="323" t="s">
        <v>4</v>
      </c>
      <c r="F382" s="323" t="s">
        <v>5</v>
      </c>
      <c r="G382" s="323" t="s">
        <v>6</v>
      </c>
      <c r="H382" s="325" t="s">
        <v>7</v>
      </c>
      <c r="I382" s="323" t="s">
        <v>8</v>
      </c>
      <c r="J382" s="323" t="s">
        <v>9</v>
      </c>
      <c r="K382" s="326" t="s">
        <v>10</v>
      </c>
      <c r="L382" s="327" t="s">
        <v>11</v>
      </c>
      <c r="M382" s="323" t="s">
        <v>12</v>
      </c>
      <c r="N382" s="328" t="s">
        <v>13</v>
      </c>
      <c r="O382" s="439" t="s">
        <v>63</v>
      </c>
      <c r="P382" s="323" t="s">
        <v>123</v>
      </c>
    </row>
    <row r="383" spans="1:16" s="17" customFormat="1" ht="33" customHeight="1">
      <c r="A383" s="635" t="s">
        <v>5639</v>
      </c>
      <c r="B383" s="403">
        <v>46195</v>
      </c>
      <c r="C383" s="4"/>
      <c r="D383" s="4"/>
      <c r="E383" s="626"/>
      <c r="F383" s="626"/>
      <c r="G383" s="16"/>
      <c r="H383" s="630"/>
      <c r="I383" s="626"/>
      <c r="J383" s="626"/>
      <c r="K383" s="125"/>
      <c r="L383" s="16"/>
      <c r="M383" s="8"/>
      <c r="N383" s="626"/>
      <c r="O383" s="443"/>
      <c r="P383" s="576"/>
    </row>
    <row r="384" spans="1:16" s="17" customFormat="1" ht="33" customHeight="1">
      <c r="A384" s="636"/>
      <c r="B384" s="403">
        <v>46196</v>
      </c>
      <c r="C384" s="4" t="s">
        <v>163</v>
      </c>
      <c r="D384" s="4" t="s">
        <v>5788</v>
      </c>
      <c r="E384" s="291" t="s">
        <v>5789</v>
      </c>
      <c r="F384" s="692" t="s">
        <v>5795</v>
      </c>
      <c r="G384" s="16" t="s">
        <v>5794</v>
      </c>
      <c r="H384" s="630" t="s">
        <v>5793</v>
      </c>
      <c r="I384" s="626"/>
      <c r="J384" s="626"/>
      <c r="K384" s="125"/>
      <c r="L384" s="16"/>
      <c r="M384" s="8"/>
      <c r="N384" s="626"/>
      <c r="O384" s="443"/>
      <c r="P384" s="576"/>
    </row>
    <row r="385" spans="1:16" s="17" customFormat="1" ht="33" customHeight="1">
      <c r="A385" s="636"/>
      <c r="B385" s="403">
        <v>46197</v>
      </c>
      <c r="C385" s="4"/>
      <c r="D385" s="4"/>
      <c r="E385" s="626"/>
      <c r="F385" s="626"/>
      <c r="G385" s="16"/>
      <c r="H385" s="630"/>
      <c r="I385" s="626"/>
      <c r="J385" s="630"/>
      <c r="K385" s="125"/>
      <c r="L385" s="16"/>
      <c r="M385" s="8"/>
      <c r="N385" s="627"/>
      <c r="O385" s="442"/>
      <c r="P385" s="576"/>
    </row>
    <row r="386" spans="1:16" s="17" customFormat="1" ht="33" customHeight="1">
      <c r="A386" s="636"/>
      <c r="B386" s="403">
        <v>46198</v>
      </c>
      <c r="C386" s="4"/>
      <c r="D386" s="4"/>
      <c r="E386" s="626"/>
      <c r="F386" s="626"/>
      <c r="G386" s="16"/>
      <c r="H386" s="630"/>
      <c r="I386" s="626"/>
      <c r="J386" s="630"/>
      <c r="K386" s="125"/>
      <c r="L386" s="16"/>
      <c r="M386" s="8"/>
      <c r="N386" s="627"/>
      <c r="O386" s="442"/>
      <c r="P386" s="576"/>
    </row>
    <row r="387" spans="1:16" s="17" customFormat="1" ht="33" customHeight="1">
      <c r="A387" s="636"/>
      <c r="B387" s="403">
        <v>46199</v>
      </c>
      <c r="C387" s="4"/>
      <c r="D387" s="4"/>
      <c r="E387" s="626"/>
      <c r="F387" s="626"/>
      <c r="G387" s="16"/>
      <c r="H387" s="630"/>
      <c r="I387" s="626"/>
      <c r="J387" s="630"/>
      <c r="K387" s="125"/>
      <c r="L387" s="16"/>
      <c r="M387" s="8"/>
      <c r="N387" s="627"/>
      <c r="O387" s="442"/>
      <c r="P387" s="576"/>
    </row>
    <row r="388" spans="1:16" s="17" customFormat="1" ht="33" customHeight="1">
      <c r="A388" s="637"/>
      <c r="B388" s="370">
        <v>46200</v>
      </c>
      <c r="C388" s="4"/>
      <c r="D388" s="4"/>
      <c r="E388" s="291"/>
      <c r="F388" s="626"/>
      <c r="G388" s="16"/>
      <c r="H388" s="630"/>
      <c r="I388" s="626"/>
      <c r="J388" s="626"/>
      <c r="K388" s="125"/>
      <c r="L388" s="16"/>
      <c r="M388" s="8"/>
      <c r="N388" s="626"/>
      <c r="O388" s="444"/>
      <c r="P388" s="576"/>
    </row>
    <row r="389" spans="1:16" s="17" customFormat="1" ht="33" customHeight="1">
      <c r="A389" s="323" t="s">
        <v>0</v>
      </c>
      <c r="B389" s="324" t="s">
        <v>1</v>
      </c>
      <c r="C389" s="323" t="s">
        <v>2</v>
      </c>
      <c r="D389" s="323" t="s">
        <v>3</v>
      </c>
      <c r="E389" s="323" t="s">
        <v>4</v>
      </c>
      <c r="F389" s="323" t="s">
        <v>5</v>
      </c>
      <c r="G389" s="323" t="s">
        <v>6</v>
      </c>
      <c r="H389" s="325" t="s">
        <v>7</v>
      </c>
      <c r="I389" s="323" t="s">
        <v>8</v>
      </c>
      <c r="J389" s="323" t="s">
        <v>9</v>
      </c>
      <c r="K389" s="326" t="s">
        <v>10</v>
      </c>
      <c r="L389" s="327" t="s">
        <v>11</v>
      </c>
      <c r="M389" s="323" t="s">
        <v>12</v>
      </c>
      <c r="N389" s="328" t="s">
        <v>13</v>
      </c>
      <c r="O389" s="439" t="s">
        <v>63</v>
      </c>
      <c r="P389" s="323" t="s">
        <v>123</v>
      </c>
    </row>
    <row r="390" spans="1:16" s="17" customFormat="1" ht="33" customHeight="1">
      <c r="A390" s="635" t="s">
        <v>5640</v>
      </c>
      <c r="B390" s="403">
        <v>46202</v>
      </c>
      <c r="C390" s="4"/>
      <c r="D390" s="4"/>
      <c r="E390" s="626"/>
      <c r="F390" s="626"/>
      <c r="G390" s="16"/>
      <c r="H390" s="630"/>
      <c r="I390" s="626"/>
      <c r="J390" s="626"/>
      <c r="K390" s="125"/>
      <c r="L390" s="16"/>
      <c r="M390" s="8"/>
      <c r="N390" s="626"/>
      <c r="O390" s="443"/>
      <c r="P390" s="576"/>
    </row>
    <row r="391" spans="1:16" s="17" customFormat="1" ht="33" customHeight="1">
      <c r="A391" s="636"/>
      <c r="B391" s="403">
        <v>46203</v>
      </c>
      <c r="C391" s="4"/>
      <c r="D391" s="4"/>
      <c r="E391" s="291"/>
      <c r="F391" s="626"/>
      <c r="G391" s="16"/>
      <c r="H391" s="630"/>
      <c r="I391" s="626"/>
      <c r="J391" s="626"/>
      <c r="K391" s="125"/>
      <c r="L391" s="16"/>
      <c r="M391" s="8"/>
      <c r="N391" s="626"/>
      <c r="O391" s="443"/>
      <c r="P391" s="576"/>
    </row>
    <row r="392" spans="1:16" s="17" customFormat="1" ht="33" customHeight="1">
      <c r="A392" s="636"/>
      <c r="B392" s="403">
        <v>46204</v>
      </c>
      <c r="C392" s="4"/>
      <c r="D392" s="4"/>
      <c r="E392" s="626"/>
      <c r="F392" s="626"/>
      <c r="G392" s="16"/>
      <c r="H392" s="630"/>
      <c r="I392" s="626"/>
      <c r="J392" s="630"/>
      <c r="K392" s="125"/>
      <c r="L392" s="16"/>
      <c r="M392" s="8"/>
      <c r="N392" s="627"/>
      <c r="O392" s="442"/>
      <c r="P392" s="576"/>
    </row>
    <row r="393" spans="1:16" s="17" customFormat="1" ht="33" customHeight="1">
      <c r="A393" s="636"/>
      <c r="B393" s="403">
        <v>46205</v>
      </c>
      <c r="C393" s="4" t="s">
        <v>21</v>
      </c>
      <c r="D393" s="4" t="s">
        <v>14</v>
      </c>
      <c r="E393" s="626" t="s">
        <v>1787</v>
      </c>
      <c r="F393" s="626" t="s">
        <v>2978</v>
      </c>
      <c r="G393" s="16" t="s">
        <v>4108</v>
      </c>
      <c r="H393" s="630" t="s">
        <v>900</v>
      </c>
      <c r="I393" s="626" t="s">
        <v>5479</v>
      </c>
      <c r="J393" s="630" t="s">
        <v>3074</v>
      </c>
      <c r="K393" s="125" t="s">
        <v>105</v>
      </c>
      <c r="L393" s="16" t="s">
        <v>4379</v>
      </c>
      <c r="M393" s="8">
        <v>2</v>
      </c>
      <c r="N393" s="627"/>
      <c r="O393" s="442"/>
      <c r="P393" s="576"/>
    </row>
    <row r="394" spans="1:16" s="17" customFormat="1" ht="33" customHeight="1">
      <c r="A394" s="636"/>
      <c r="B394" s="403">
        <v>46206</v>
      </c>
      <c r="C394" s="4" t="s">
        <v>21</v>
      </c>
      <c r="D394" s="4" t="s">
        <v>14</v>
      </c>
      <c r="E394" s="626" t="s">
        <v>1787</v>
      </c>
      <c r="F394" s="626" t="s">
        <v>2978</v>
      </c>
      <c r="G394" s="16" t="s">
        <v>843</v>
      </c>
      <c r="H394" s="630" t="s">
        <v>900</v>
      </c>
      <c r="I394" s="626" t="s">
        <v>5479</v>
      </c>
      <c r="J394" s="630" t="s">
        <v>3074</v>
      </c>
      <c r="K394" s="125" t="s">
        <v>15</v>
      </c>
      <c r="L394" s="16" t="s">
        <v>4379</v>
      </c>
      <c r="M394" s="8">
        <v>2</v>
      </c>
      <c r="N394" s="627"/>
      <c r="O394" s="442"/>
      <c r="P394" s="576"/>
    </row>
    <row r="395" spans="1:16" s="17" customFormat="1" ht="33" customHeight="1">
      <c r="A395" s="636"/>
      <c r="B395" s="403">
        <v>46206</v>
      </c>
      <c r="C395" s="4" t="s">
        <v>21</v>
      </c>
      <c r="D395" s="4" t="s">
        <v>14</v>
      </c>
      <c r="E395" s="626" t="s">
        <v>1787</v>
      </c>
      <c r="F395" s="626" t="s">
        <v>2978</v>
      </c>
      <c r="G395" s="16" t="s">
        <v>142</v>
      </c>
      <c r="H395" s="630" t="s">
        <v>900</v>
      </c>
      <c r="I395" s="626" t="s">
        <v>5479</v>
      </c>
      <c r="J395" s="630" t="s">
        <v>3074</v>
      </c>
      <c r="K395" s="125" t="s">
        <v>105</v>
      </c>
      <c r="L395" s="16" t="s">
        <v>4379</v>
      </c>
      <c r="M395" s="8">
        <v>2</v>
      </c>
      <c r="N395" s="627"/>
      <c r="O395" s="442"/>
      <c r="P395" s="576"/>
    </row>
    <row r="396" spans="1:16" s="17" customFormat="1" ht="33" customHeight="1">
      <c r="A396" s="637"/>
      <c r="B396" s="370">
        <v>46207</v>
      </c>
      <c r="C396" s="4"/>
      <c r="D396" s="4"/>
      <c r="E396" s="291"/>
      <c r="F396" s="626"/>
      <c r="G396" s="16"/>
      <c r="H396" s="630"/>
      <c r="I396" s="626"/>
      <c r="J396" s="626"/>
      <c r="K396" s="125"/>
      <c r="L396" s="16"/>
      <c r="M396" s="8"/>
      <c r="N396" s="626"/>
      <c r="O396" s="444"/>
      <c r="P396" s="576"/>
    </row>
    <row r="397" spans="1:16" s="17" customFormat="1" ht="33" customHeight="1">
      <c r="A397" s="323" t="s">
        <v>0</v>
      </c>
      <c r="B397" s="324" t="s">
        <v>1</v>
      </c>
      <c r="C397" s="323" t="s">
        <v>2</v>
      </c>
      <c r="D397" s="323" t="s">
        <v>3</v>
      </c>
      <c r="E397" s="323" t="s">
        <v>4</v>
      </c>
      <c r="F397" s="323" t="s">
        <v>5</v>
      </c>
      <c r="G397" s="323" t="s">
        <v>6</v>
      </c>
      <c r="H397" s="325" t="s">
        <v>7</v>
      </c>
      <c r="I397" s="323" t="s">
        <v>8</v>
      </c>
      <c r="J397" s="323" t="s">
        <v>9</v>
      </c>
      <c r="K397" s="326" t="s">
        <v>10</v>
      </c>
      <c r="L397" s="327" t="s">
        <v>11</v>
      </c>
      <c r="M397" s="323" t="s">
        <v>12</v>
      </c>
      <c r="N397" s="328" t="s">
        <v>13</v>
      </c>
      <c r="O397" s="439" t="s">
        <v>63</v>
      </c>
      <c r="P397" s="323" t="s">
        <v>123</v>
      </c>
    </row>
    <row r="398" spans="1:16" s="17" customFormat="1" ht="33" customHeight="1">
      <c r="A398" s="635" t="s">
        <v>5641</v>
      </c>
      <c r="B398" s="403">
        <v>46209</v>
      </c>
      <c r="C398" s="4"/>
      <c r="D398" s="4"/>
      <c r="E398" s="626"/>
      <c r="F398" s="626"/>
      <c r="G398" s="16"/>
      <c r="H398" s="630"/>
      <c r="I398" s="626"/>
      <c r="J398" s="626"/>
      <c r="K398" s="125"/>
      <c r="L398" s="16"/>
      <c r="M398" s="8"/>
      <c r="N398" s="626"/>
      <c r="O398" s="443"/>
      <c r="P398" s="576"/>
    </row>
    <row r="399" spans="1:16" s="17" customFormat="1" ht="33" customHeight="1">
      <c r="A399" s="636"/>
      <c r="B399" s="403">
        <v>46210</v>
      </c>
      <c r="C399" s="4"/>
      <c r="D399" s="4"/>
      <c r="E399" s="291"/>
      <c r="F399" s="626"/>
      <c r="G399" s="16"/>
      <c r="H399" s="630"/>
      <c r="I399" s="626"/>
      <c r="J399" s="626"/>
      <c r="K399" s="125"/>
      <c r="L399" s="16"/>
      <c r="M399" s="8"/>
      <c r="N399" s="626"/>
      <c r="O399" s="443"/>
      <c r="P399" s="576"/>
    </row>
    <row r="400" spans="1:16" s="17" customFormat="1" ht="33" customHeight="1">
      <c r="A400" s="636"/>
      <c r="B400" s="403">
        <v>46211</v>
      </c>
      <c r="C400" s="4"/>
      <c r="D400" s="4"/>
      <c r="E400" s="626"/>
      <c r="F400" s="626"/>
      <c r="G400" s="16"/>
      <c r="H400" s="630"/>
      <c r="I400" s="626"/>
      <c r="J400" s="630"/>
      <c r="K400" s="125"/>
      <c r="L400" s="16"/>
      <c r="M400" s="8"/>
      <c r="N400" s="627"/>
      <c r="O400" s="442"/>
      <c r="P400" s="576"/>
    </row>
    <row r="401" spans="1:16" s="17" customFormat="1" ht="33" customHeight="1">
      <c r="A401" s="636"/>
      <c r="B401" s="403">
        <v>46212</v>
      </c>
      <c r="C401" s="4"/>
      <c r="D401" s="4"/>
      <c r="E401" s="626"/>
      <c r="F401" s="626"/>
      <c r="G401" s="16"/>
      <c r="H401" s="630"/>
      <c r="I401" s="626"/>
      <c r="J401" s="630"/>
      <c r="K401" s="125"/>
      <c r="L401" s="16"/>
      <c r="M401" s="8"/>
      <c r="N401" s="627"/>
      <c r="O401" s="442"/>
      <c r="P401" s="576"/>
    </row>
    <row r="402" spans="1:16" s="17" customFormat="1" ht="33" customHeight="1">
      <c r="A402" s="636"/>
      <c r="B402" s="403">
        <v>46213</v>
      </c>
      <c r="C402" s="4"/>
      <c r="D402" s="4"/>
      <c r="E402" s="626"/>
      <c r="F402" s="626"/>
      <c r="G402" s="16"/>
      <c r="H402" s="630"/>
      <c r="I402" s="626"/>
      <c r="J402" s="630"/>
      <c r="K402" s="125"/>
      <c r="L402" s="16"/>
      <c r="M402" s="8"/>
      <c r="N402" s="627"/>
      <c r="O402" s="442"/>
      <c r="P402" s="576"/>
    </row>
    <row r="403" spans="1:16" s="17" customFormat="1" ht="33" customHeight="1">
      <c r="A403" s="637"/>
      <c r="B403" s="370">
        <v>46214</v>
      </c>
      <c r="C403" s="4"/>
      <c r="D403" s="4"/>
      <c r="E403" s="291"/>
      <c r="F403" s="626"/>
      <c r="G403" s="16"/>
      <c r="H403" s="630"/>
      <c r="I403" s="626"/>
      <c r="J403" s="626"/>
      <c r="K403" s="125"/>
      <c r="L403" s="16"/>
      <c r="M403" s="8"/>
      <c r="N403" s="626"/>
      <c r="O403" s="444"/>
      <c r="P403" s="576"/>
    </row>
    <row r="404" spans="1:16" s="17" customFormat="1" ht="33" customHeight="1">
      <c r="A404" s="323" t="s">
        <v>0</v>
      </c>
      <c r="B404" s="324" t="s">
        <v>1</v>
      </c>
      <c r="C404" s="323" t="s">
        <v>2</v>
      </c>
      <c r="D404" s="323" t="s">
        <v>3</v>
      </c>
      <c r="E404" s="323" t="s">
        <v>4</v>
      </c>
      <c r="F404" s="323" t="s">
        <v>5</v>
      </c>
      <c r="G404" s="323" t="s">
        <v>6</v>
      </c>
      <c r="H404" s="325" t="s">
        <v>7</v>
      </c>
      <c r="I404" s="323" t="s">
        <v>8</v>
      </c>
      <c r="J404" s="323" t="s">
        <v>9</v>
      </c>
      <c r="K404" s="326" t="s">
        <v>10</v>
      </c>
      <c r="L404" s="327" t="s">
        <v>11</v>
      </c>
      <c r="M404" s="323" t="s">
        <v>12</v>
      </c>
      <c r="N404" s="328" t="s">
        <v>13</v>
      </c>
      <c r="O404" s="439" t="s">
        <v>63</v>
      </c>
      <c r="P404" s="323" t="s">
        <v>123</v>
      </c>
    </row>
    <row r="405" spans="1:16" s="17" customFormat="1" ht="33" customHeight="1">
      <c r="A405" s="635" t="s">
        <v>5642</v>
      </c>
      <c r="B405" s="403">
        <v>46216</v>
      </c>
      <c r="C405" s="4"/>
      <c r="D405" s="4"/>
      <c r="E405" s="626"/>
      <c r="F405" s="626"/>
      <c r="G405" s="16"/>
      <c r="H405" s="630"/>
      <c r="I405" s="626"/>
      <c r="J405" s="626"/>
      <c r="K405" s="125"/>
      <c r="L405" s="16"/>
      <c r="M405" s="8"/>
      <c r="N405" s="626"/>
      <c r="O405" s="443"/>
      <c r="P405" s="576"/>
    </row>
    <row r="406" spans="1:16" s="17" customFormat="1" ht="33" customHeight="1">
      <c r="A406" s="636"/>
      <c r="B406" s="403">
        <v>46217</v>
      </c>
      <c r="C406" s="4"/>
      <c r="D406" s="4"/>
      <c r="E406" s="291"/>
      <c r="F406" s="626"/>
      <c r="G406" s="16"/>
      <c r="H406" s="630"/>
      <c r="I406" s="626"/>
      <c r="J406" s="626"/>
      <c r="K406" s="125"/>
      <c r="L406" s="16"/>
      <c r="M406" s="8"/>
      <c r="N406" s="626"/>
      <c r="O406" s="443"/>
      <c r="P406" s="576"/>
    </row>
    <row r="407" spans="1:16" s="17" customFormat="1" ht="33" customHeight="1">
      <c r="A407" s="636"/>
      <c r="B407" s="403">
        <v>46218</v>
      </c>
      <c r="C407" s="4"/>
      <c r="D407" s="4"/>
      <c r="E407" s="626"/>
      <c r="F407" s="626"/>
      <c r="G407" s="16"/>
      <c r="H407" s="630"/>
      <c r="I407" s="626"/>
      <c r="J407" s="630"/>
      <c r="K407" s="125"/>
      <c r="L407" s="16"/>
      <c r="M407" s="8"/>
      <c r="N407" s="627"/>
      <c r="O407" s="442"/>
      <c r="P407" s="576"/>
    </row>
    <row r="408" spans="1:16" s="17" customFormat="1" ht="33" customHeight="1">
      <c r="A408" s="636"/>
      <c r="B408" s="403">
        <v>46219</v>
      </c>
      <c r="C408" s="4"/>
      <c r="D408" s="4"/>
      <c r="E408" s="626"/>
      <c r="F408" s="626"/>
      <c r="G408" s="16"/>
      <c r="H408" s="630"/>
      <c r="I408" s="626"/>
      <c r="J408" s="630"/>
      <c r="K408" s="125"/>
      <c r="L408" s="16"/>
      <c r="M408" s="8"/>
      <c r="N408" s="627"/>
      <c r="O408" s="442"/>
      <c r="P408" s="576"/>
    </row>
    <row r="409" spans="1:16" s="17" customFormat="1" ht="33" customHeight="1">
      <c r="A409" s="636"/>
      <c r="B409" s="403">
        <v>46220</v>
      </c>
      <c r="C409" s="4"/>
      <c r="D409" s="4"/>
      <c r="E409" s="626"/>
      <c r="F409" s="626"/>
      <c r="G409" s="16"/>
      <c r="H409" s="630"/>
      <c r="I409" s="626"/>
      <c r="J409" s="630"/>
      <c r="K409" s="125"/>
      <c r="L409" s="16"/>
      <c r="M409" s="8"/>
      <c r="N409" s="627"/>
      <c r="O409" s="442"/>
      <c r="P409" s="576"/>
    </row>
    <row r="410" spans="1:16" s="17" customFormat="1" ht="33" customHeight="1">
      <c r="A410" s="637"/>
      <c r="B410" s="370">
        <v>46221</v>
      </c>
      <c r="C410" s="4"/>
      <c r="D410" s="4"/>
      <c r="E410" s="291"/>
      <c r="F410" s="626"/>
      <c r="G410" s="16"/>
      <c r="H410" s="630"/>
      <c r="I410" s="626"/>
      <c r="J410" s="626"/>
      <c r="K410" s="125"/>
      <c r="L410" s="16"/>
      <c r="M410" s="8"/>
      <c r="N410" s="626"/>
      <c r="O410" s="444"/>
      <c r="P410" s="576"/>
    </row>
    <row r="411" spans="1:16" s="17" customFormat="1" ht="33" customHeight="1">
      <c r="A411" s="323" t="s">
        <v>0</v>
      </c>
      <c r="B411" s="324" t="s">
        <v>1</v>
      </c>
      <c r="C411" s="323" t="s">
        <v>2</v>
      </c>
      <c r="D411" s="323" t="s">
        <v>3</v>
      </c>
      <c r="E411" s="323" t="s">
        <v>4</v>
      </c>
      <c r="F411" s="323" t="s">
        <v>5</v>
      </c>
      <c r="G411" s="323" t="s">
        <v>6</v>
      </c>
      <c r="H411" s="325" t="s">
        <v>7</v>
      </c>
      <c r="I411" s="323" t="s">
        <v>8</v>
      </c>
      <c r="J411" s="323" t="s">
        <v>9</v>
      </c>
      <c r="K411" s="326" t="s">
        <v>10</v>
      </c>
      <c r="L411" s="327" t="s">
        <v>11</v>
      </c>
      <c r="M411" s="323" t="s">
        <v>12</v>
      </c>
      <c r="N411" s="328" t="s">
        <v>13</v>
      </c>
      <c r="O411" s="439" t="s">
        <v>63</v>
      </c>
      <c r="P411" s="323" t="s">
        <v>123</v>
      </c>
    </row>
    <row r="412" spans="1:16" s="17" customFormat="1" ht="33" customHeight="1">
      <c r="A412" s="635" t="s">
        <v>5643</v>
      </c>
      <c r="B412" s="403">
        <v>46223</v>
      </c>
      <c r="C412" s="4" t="s">
        <v>113</v>
      </c>
      <c r="D412" s="4" t="s">
        <v>2202</v>
      </c>
      <c r="E412" s="692" t="s">
        <v>899</v>
      </c>
      <c r="F412" s="692" t="s">
        <v>1968</v>
      </c>
      <c r="G412" s="16" t="s">
        <v>376</v>
      </c>
      <c r="H412" s="693" t="s">
        <v>4109</v>
      </c>
      <c r="I412" s="626"/>
      <c r="J412" s="626"/>
      <c r="K412" s="125"/>
      <c r="L412" s="16"/>
      <c r="M412" s="8"/>
      <c r="N412" s="626"/>
      <c r="O412" s="443"/>
      <c r="P412" s="576"/>
    </row>
    <row r="413" spans="1:16" s="17" customFormat="1" ht="33" customHeight="1">
      <c r="A413" s="636"/>
      <c r="B413" s="403">
        <v>46224</v>
      </c>
      <c r="C413" s="4" t="s">
        <v>113</v>
      </c>
      <c r="D413" s="4" t="s">
        <v>2202</v>
      </c>
      <c r="E413" s="692" t="s">
        <v>899</v>
      </c>
      <c r="F413" s="692" t="s">
        <v>1968</v>
      </c>
      <c r="G413" s="16" t="s">
        <v>5364</v>
      </c>
      <c r="H413" s="693" t="s">
        <v>4109</v>
      </c>
      <c r="I413" s="626"/>
      <c r="J413" s="626"/>
      <c r="K413" s="125"/>
      <c r="L413" s="16"/>
      <c r="M413" s="8"/>
      <c r="N413" s="626"/>
      <c r="O413" s="443"/>
      <c r="P413" s="576"/>
    </row>
    <row r="414" spans="1:16" s="17" customFormat="1" ht="33" customHeight="1">
      <c r="A414" s="636"/>
      <c r="B414" s="403">
        <v>46225</v>
      </c>
      <c r="C414" s="4"/>
      <c r="D414" s="4"/>
      <c r="E414" s="626"/>
      <c r="F414" s="626"/>
      <c r="G414" s="16"/>
      <c r="H414" s="630"/>
      <c r="I414" s="626"/>
      <c r="J414" s="630"/>
      <c r="K414" s="125"/>
      <c r="L414" s="16"/>
      <c r="M414" s="8"/>
      <c r="N414" s="627"/>
      <c r="O414" s="442"/>
      <c r="P414" s="576"/>
    </row>
    <row r="415" spans="1:16" s="17" customFormat="1" ht="33" customHeight="1">
      <c r="A415" s="636"/>
      <c r="B415" s="403">
        <v>46226</v>
      </c>
      <c r="C415" s="4"/>
      <c r="D415" s="4"/>
      <c r="E415" s="626"/>
      <c r="F415" s="626"/>
      <c r="G415" s="16"/>
      <c r="H415" s="630"/>
      <c r="I415" s="626"/>
      <c r="J415" s="630"/>
      <c r="K415" s="125"/>
      <c r="L415" s="16"/>
      <c r="M415" s="8"/>
      <c r="N415" s="627"/>
      <c r="O415" s="442"/>
      <c r="P415" s="576"/>
    </row>
    <row r="416" spans="1:16" s="17" customFormat="1" ht="33" customHeight="1">
      <c r="A416" s="636"/>
      <c r="B416" s="403">
        <v>46227</v>
      </c>
      <c r="C416" s="4"/>
      <c r="D416" s="4"/>
      <c r="E416" s="626"/>
      <c r="F416" s="626"/>
      <c r="G416" s="16"/>
      <c r="H416" s="630"/>
      <c r="I416" s="626"/>
      <c r="J416" s="630"/>
      <c r="K416" s="125"/>
      <c r="L416" s="16"/>
      <c r="M416" s="8"/>
      <c r="N416" s="627"/>
      <c r="O416" s="442"/>
      <c r="P416" s="576"/>
    </row>
    <row r="417" spans="1:16" s="17" customFormat="1" ht="33" customHeight="1">
      <c r="A417" s="637"/>
      <c r="B417" s="370">
        <v>46228</v>
      </c>
      <c r="C417" s="4"/>
      <c r="D417" s="4"/>
      <c r="E417" s="291"/>
      <c r="F417" s="626"/>
      <c r="G417" s="16"/>
      <c r="H417" s="630"/>
      <c r="I417" s="626"/>
      <c r="J417" s="626"/>
      <c r="K417" s="125"/>
      <c r="L417" s="16"/>
      <c r="M417" s="8"/>
      <c r="N417" s="626"/>
      <c r="O417" s="444"/>
      <c r="P417" s="576"/>
    </row>
    <row r="418" spans="1:16" s="17" customFormat="1" ht="33" customHeight="1">
      <c r="A418" s="323" t="s">
        <v>0</v>
      </c>
      <c r="B418" s="324" t="s">
        <v>1</v>
      </c>
      <c r="C418" s="323" t="s">
        <v>2</v>
      </c>
      <c r="D418" s="323" t="s">
        <v>3</v>
      </c>
      <c r="E418" s="323" t="s">
        <v>4</v>
      </c>
      <c r="F418" s="323" t="s">
        <v>5</v>
      </c>
      <c r="G418" s="323" t="s">
        <v>6</v>
      </c>
      <c r="H418" s="325" t="s">
        <v>7</v>
      </c>
      <c r="I418" s="323" t="s">
        <v>8</v>
      </c>
      <c r="J418" s="323" t="s">
        <v>9</v>
      </c>
      <c r="K418" s="326" t="s">
        <v>10</v>
      </c>
      <c r="L418" s="327" t="s">
        <v>11</v>
      </c>
      <c r="M418" s="323" t="s">
        <v>12</v>
      </c>
      <c r="N418" s="328" t="s">
        <v>13</v>
      </c>
      <c r="O418" s="439" t="s">
        <v>63</v>
      </c>
      <c r="P418" s="323" t="s">
        <v>123</v>
      </c>
    </row>
    <row r="419" spans="1:16" s="17" customFormat="1" ht="33" customHeight="1">
      <c r="A419" s="635" t="s">
        <v>5644</v>
      </c>
      <c r="B419" s="403">
        <v>46230</v>
      </c>
      <c r="C419" s="4"/>
      <c r="D419" s="4"/>
      <c r="E419" s="626"/>
      <c r="F419" s="626"/>
      <c r="G419" s="16"/>
      <c r="H419" s="630"/>
      <c r="I419" s="626"/>
      <c r="J419" s="626"/>
      <c r="K419" s="125"/>
      <c r="L419" s="16"/>
      <c r="M419" s="8"/>
      <c r="N419" s="626"/>
      <c r="O419" s="443"/>
      <c r="P419" s="576"/>
    </row>
    <row r="420" spans="1:16" s="17" customFormat="1" ht="33" customHeight="1">
      <c r="A420" s="636"/>
      <c r="B420" s="403">
        <v>46231</v>
      </c>
      <c r="C420" s="4"/>
      <c r="D420" s="4"/>
      <c r="E420" s="291"/>
      <c r="F420" s="626"/>
      <c r="G420" s="16"/>
      <c r="H420" s="630"/>
      <c r="I420" s="626"/>
      <c r="J420" s="626"/>
      <c r="K420" s="125"/>
      <c r="L420" s="16"/>
      <c r="M420" s="8"/>
      <c r="N420" s="626"/>
      <c r="O420" s="443"/>
      <c r="P420" s="576"/>
    </row>
    <row r="421" spans="1:16" s="17" customFormat="1" ht="33" customHeight="1">
      <c r="A421" s="636"/>
      <c r="B421" s="403">
        <v>46232</v>
      </c>
      <c r="C421" s="4"/>
      <c r="D421" s="4"/>
      <c r="E421" s="626"/>
      <c r="F421" s="626"/>
      <c r="G421" s="16"/>
      <c r="H421" s="630"/>
      <c r="I421" s="626"/>
      <c r="J421" s="630"/>
      <c r="K421" s="125"/>
      <c r="L421" s="16"/>
      <c r="M421" s="8"/>
      <c r="N421" s="627"/>
      <c r="O421" s="442"/>
      <c r="P421" s="576"/>
    </row>
    <row r="422" spans="1:16" s="17" customFormat="1" ht="33" customHeight="1">
      <c r="A422" s="636"/>
      <c r="B422" s="403">
        <v>46233</v>
      </c>
      <c r="C422" s="4"/>
      <c r="D422" s="4"/>
      <c r="E422" s="626"/>
      <c r="F422" s="626"/>
      <c r="G422" s="16"/>
      <c r="H422" s="630"/>
      <c r="I422" s="626"/>
      <c r="J422" s="630"/>
      <c r="K422" s="125"/>
      <c r="L422" s="16"/>
      <c r="M422" s="8"/>
      <c r="N422" s="627"/>
      <c r="O422" s="442"/>
      <c r="P422" s="576"/>
    </row>
    <row r="423" spans="1:16" s="17" customFormat="1" ht="33" customHeight="1">
      <c r="A423" s="636"/>
      <c r="B423" s="403">
        <v>46234</v>
      </c>
      <c r="C423" s="4"/>
      <c r="D423" s="4"/>
      <c r="E423" s="626"/>
      <c r="F423" s="626"/>
      <c r="G423" s="16"/>
      <c r="H423" s="630"/>
      <c r="I423" s="626"/>
      <c r="J423" s="630"/>
      <c r="K423" s="125"/>
      <c r="L423" s="16"/>
      <c r="M423" s="8"/>
      <c r="N423" s="627"/>
      <c r="O423" s="442"/>
      <c r="P423" s="576"/>
    </row>
    <row r="424" spans="1:16" s="17" customFormat="1" ht="33" customHeight="1">
      <c r="A424" s="637"/>
      <c r="B424" s="370">
        <v>46235</v>
      </c>
      <c r="C424" s="4"/>
      <c r="D424" s="4"/>
      <c r="E424" s="291"/>
      <c r="F424" s="626"/>
      <c r="G424" s="16"/>
      <c r="H424" s="630"/>
      <c r="I424" s="626"/>
      <c r="J424" s="626"/>
      <c r="K424" s="125"/>
      <c r="L424" s="16"/>
      <c r="M424" s="8"/>
      <c r="N424" s="626"/>
      <c r="O424" s="444"/>
      <c r="P424" s="576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24"/>
  <sheetViews>
    <sheetView zoomScaleNormal="100" zoomScaleSheetLayoutView="115" workbookViewId="0">
      <pane ySplit="2" topLeftCell="A1405" activePane="bottomLeft" state="frozen"/>
      <selection pane="bottomLeft" activeCell="I1421" sqref="I142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69" t="s">
        <v>161</v>
      </c>
      <c r="B1" s="869" t="s">
        <v>162</v>
      </c>
      <c r="C1" s="867" t="s">
        <v>1</v>
      </c>
      <c r="D1" s="867" t="s">
        <v>2</v>
      </c>
      <c r="E1" s="867" t="s">
        <v>3</v>
      </c>
      <c r="F1" s="27" t="s">
        <v>54</v>
      </c>
      <c r="G1" s="867" t="s">
        <v>5</v>
      </c>
      <c r="H1" s="867" t="s">
        <v>6</v>
      </c>
      <c r="I1" s="867" t="s">
        <v>7</v>
      </c>
      <c r="J1" s="867" t="s">
        <v>55</v>
      </c>
      <c r="K1" s="871" t="s">
        <v>483</v>
      </c>
      <c r="L1" s="873" t="s">
        <v>56</v>
      </c>
      <c r="M1" s="865" t="s">
        <v>57</v>
      </c>
      <c r="N1" s="867" t="s">
        <v>58</v>
      </c>
    </row>
    <row r="2" spans="1:14">
      <c r="A2" s="870"/>
      <c r="B2" s="870"/>
      <c r="C2" s="868"/>
      <c r="D2" s="868"/>
      <c r="E2" s="868"/>
      <c r="F2" s="28" t="s">
        <v>59</v>
      </c>
      <c r="G2" s="868"/>
      <c r="H2" s="868"/>
      <c r="I2" s="868"/>
      <c r="J2" s="868"/>
      <c r="K2" s="872"/>
      <c r="L2" s="874"/>
      <c r="M2" s="866"/>
      <c r="N2" s="868"/>
    </row>
    <row r="3" spans="1:14" ht="27">
      <c r="A3" s="55">
        <v>1</v>
      </c>
      <c r="B3" s="84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4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6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6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4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49"/>
      <c r="C9" s="87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49"/>
      <c r="C10" s="87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4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49"/>
      <c r="C12" s="87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49"/>
      <c r="C13" s="87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49"/>
      <c r="C14" s="87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49"/>
      <c r="C15" s="87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49"/>
      <c r="C16" s="87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6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6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84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6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62"/>
    </row>
    <row r="24" spans="1:17" ht="27">
      <c r="A24" s="55">
        <v>4</v>
      </c>
      <c r="B24" s="848" t="s">
        <v>21</v>
      </c>
      <c r="C24" s="85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36" t="s">
        <v>85</v>
      </c>
      <c r="K24" s="851" t="s">
        <v>41</v>
      </c>
      <c r="L24" s="6" t="s">
        <v>15</v>
      </c>
      <c r="M24" s="878">
        <v>180000</v>
      </c>
      <c r="N24" s="45" t="s">
        <v>194</v>
      </c>
    </row>
    <row r="25" spans="1:17" ht="27">
      <c r="A25" s="55">
        <v>4</v>
      </c>
      <c r="B25" s="849"/>
      <c r="C25" s="85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37"/>
      <c r="K25" s="852"/>
      <c r="L25" s="6" t="s">
        <v>15</v>
      </c>
      <c r="M25" s="879"/>
      <c r="N25" s="45" t="s">
        <v>194</v>
      </c>
    </row>
    <row r="26" spans="1:17">
      <c r="A26" s="55">
        <v>4</v>
      </c>
      <c r="B26" s="849"/>
      <c r="C26" s="85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3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0"/>
      <c r="C27" s="85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3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4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4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49"/>
      <c r="C32" s="85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49"/>
      <c r="C33" s="85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48" t="s">
        <v>20</v>
      </c>
      <c r="C35" s="85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0"/>
      <c r="C36" s="85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48" t="s">
        <v>20</v>
      </c>
      <c r="C37" s="85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0"/>
      <c r="C38" s="85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5"/>
      <c r="C40" s="85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5"/>
      <c r="C41" s="85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8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4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43"/>
      <c r="C45" s="84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43"/>
      <c r="C46" s="88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4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4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4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4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4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4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48" t="s">
        <v>64</v>
      </c>
      <c r="C67" s="85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51" t="s">
        <v>435</v>
      </c>
      <c r="L67" s="6" t="s">
        <v>436</v>
      </c>
      <c r="M67" s="878">
        <v>750000</v>
      </c>
      <c r="N67" s="45" t="s">
        <v>446</v>
      </c>
    </row>
    <row r="68" spans="1:15" ht="27">
      <c r="A68" s="55">
        <v>19</v>
      </c>
      <c r="B68" s="849"/>
      <c r="C68" s="85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52"/>
      <c r="L68" s="6" t="s">
        <v>411</v>
      </c>
      <c r="M68" s="879"/>
      <c r="N68" s="45" t="s">
        <v>445</v>
      </c>
    </row>
    <row r="69" spans="1:15">
      <c r="A69" s="55">
        <v>19</v>
      </c>
      <c r="B69" s="849"/>
      <c r="C69" s="85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4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84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4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4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4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84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4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4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4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49"/>
      <c r="C83" s="85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49"/>
      <c r="C84" s="85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49"/>
      <c r="C85" s="85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49"/>
      <c r="C86" s="85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4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4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4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4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49"/>
      <c r="C93" s="85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49"/>
      <c r="C94" s="85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49"/>
      <c r="C95" s="85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4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48" t="s">
        <v>21</v>
      </c>
      <c r="C99" s="85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49"/>
      <c r="C100" s="85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4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4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4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4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4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4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16" t="s">
        <v>658</v>
      </c>
      <c r="C110" s="81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41"/>
      <c r="C111" s="86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41"/>
      <c r="C112" s="86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63"/>
      <c r="C113" s="86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6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41"/>
      <c r="C115" s="81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17"/>
      <c r="C116" s="86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48" t="s">
        <v>20</v>
      </c>
      <c r="C117" s="85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36" t="s">
        <v>168</v>
      </c>
      <c r="K117" s="851" t="s">
        <v>645</v>
      </c>
      <c r="L117" s="57" t="s">
        <v>209</v>
      </c>
      <c r="M117" s="838">
        <f>250000*5</f>
        <v>1250000</v>
      </c>
      <c r="N117" s="848" t="s">
        <v>121</v>
      </c>
    </row>
    <row r="118" spans="1:14">
      <c r="A118" s="101">
        <v>28</v>
      </c>
      <c r="B118" s="849"/>
      <c r="C118" s="85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60"/>
      <c r="K118" s="859"/>
      <c r="L118" s="57" t="s">
        <v>209</v>
      </c>
      <c r="M118" s="839"/>
      <c r="N118" s="849"/>
    </row>
    <row r="119" spans="1:14">
      <c r="A119" s="101">
        <v>28</v>
      </c>
      <c r="B119" s="849"/>
      <c r="C119" s="85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37"/>
      <c r="K119" s="852"/>
      <c r="L119" s="57" t="s">
        <v>209</v>
      </c>
      <c r="M119" s="840"/>
      <c r="N119" s="850"/>
    </row>
    <row r="120" spans="1:14">
      <c r="A120" s="101">
        <v>28</v>
      </c>
      <c r="B120" s="850"/>
      <c r="C120" s="85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16" t="s">
        <v>307</v>
      </c>
      <c r="C122" s="81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841"/>
      <c r="C123" s="84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16" t="s">
        <v>664</v>
      </c>
      <c r="K123" s="842" t="s">
        <v>707</v>
      </c>
      <c r="L123" s="110" t="s">
        <v>324</v>
      </c>
      <c r="M123" s="845" t="s">
        <v>708</v>
      </c>
      <c r="N123" s="110"/>
    </row>
    <row r="124" spans="1:14">
      <c r="A124" s="55">
        <v>29</v>
      </c>
      <c r="B124" s="841"/>
      <c r="C124" s="84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41"/>
      <c r="K124" s="843"/>
      <c r="L124" s="110" t="s">
        <v>324</v>
      </c>
      <c r="M124" s="846"/>
      <c r="N124" s="110"/>
    </row>
    <row r="125" spans="1:14">
      <c r="A125" s="55">
        <v>29</v>
      </c>
      <c r="B125" s="841"/>
      <c r="C125" s="84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17"/>
      <c r="K125" s="844"/>
      <c r="L125" s="110" t="s">
        <v>324</v>
      </c>
      <c r="M125" s="847"/>
      <c r="N125" s="110"/>
    </row>
    <row r="126" spans="1:14">
      <c r="A126" s="55">
        <v>29</v>
      </c>
      <c r="B126" s="817"/>
      <c r="C126" s="81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81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84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84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841"/>
      <c r="C130" s="81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841"/>
      <c r="C131" s="81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841"/>
      <c r="C132" s="81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841"/>
      <c r="C133" s="81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81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848" t="s">
        <v>618</v>
      </c>
      <c r="C135" s="85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49"/>
      <c r="C136" s="85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49"/>
      <c r="C137" s="85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0"/>
      <c r="C138" s="85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4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49"/>
      <c r="C140" s="85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49"/>
      <c r="C141" s="85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48" t="s">
        <v>735</v>
      </c>
    </row>
    <row r="142" spans="1:14">
      <c r="A142" s="55">
        <v>30</v>
      </c>
      <c r="B142" s="85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4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48" t="s">
        <v>20</v>
      </c>
      <c r="C146" s="855" t="s">
        <v>869</v>
      </c>
      <c r="D146" s="851" t="s">
        <v>19</v>
      </c>
      <c r="E146" s="85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0"/>
      <c r="C147" s="857"/>
      <c r="D147" s="852"/>
      <c r="E147" s="85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48" t="s">
        <v>123</v>
      </c>
      <c r="C148" s="855" t="s">
        <v>782</v>
      </c>
      <c r="D148" s="851" t="s">
        <v>19</v>
      </c>
      <c r="E148" s="85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0"/>
      <c r="C149" s="857"/>
      <c r="D149" s="852"/>
      <c r="E149" s="85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4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4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4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48" t="s">
        <v>247</v>
      </c>
    </row>
    <row r="154" spans="1:14" ht="27">
      <c r="A154" s="55">
        <v>34</v>
      </c>
      <c r="B154" s="849"/>
      <c r="C154" s="85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49"/>
    </row>
    <row r="155" spans="1:14" ht="27">
      <c r="A155" s="55">
        <v>34</v>
      </c>
      <c r="B155" s="849"/>
      <c r="C155" s="85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0"/>
    </row>
    <row r="156" spans="1:14" ht="27">
      <c r="A156" s="55">
        <v>34</v>
      </c>
      <c r="B156" s="849"/>
      <c r="C156" s="85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48" t="s">
        <v>825</v>
      </c>
    </row>
    <row r="157" spans="1:14" ht="27">
      <c r="A157" s="55">
        <v>34</v>
      </c>
      <c r="B157" s="849"/>
      <c r="C157" s="85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49"/>
    </row>
    <row r="158" spans="1:14" ht="27">
      <c r="A158" s="55">
        <v>34</v>
      </c>
      <c r="B158" s="849"/>
      <c r="C158" s="85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49"/>
    </row>
    <row r="159" spans="1:14" ht="27">
      <c r="A159" s="55">
        <v>34</v>
      </c>
      <c r="B159" s="849"/>
      <c r="C159" s="85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49"/>
    </row>
    <row r="160" spans="1:14" ht="27">
      <c r="A160" s="55">
        <v>34</v>
      </c>
      <c r="B160" s="84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49"/>
    </row>
    <row r="161" spans="1:15" ht="27">
      <c r="A161" s="55">
        <v>34</v>
      </c>
      <c r="B161" s="84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0"/>
    </row>
    <row r="162" spans="1:15" ht="27">
      <c r="A162" s="55">
        <v>34</v>
      </c>
      <c r="B162" s="85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4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4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4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69" t="s">
        <v>849</v>
      </c>
      <c r="C167" s="78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70"/>
      <c r="C168" s="78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70"/>
      <c r="C169" s="78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71"/>
      <c r="C170" s="78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6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7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7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7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7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6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7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70"/>
      <c r="C178" s="78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71"/>
      <c r="C179" s="78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6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70"/>
      <c r="C181" s="85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36" t="s">
        <v>838</v>
      </c>
      <c r="K181" s="851" t="s">
        <v>985</v>
      </c>
      <c r="L181" s="6" t="s">
        <v>910</v>
      </c>
      <c r="M181" s="838">
        <f>180000+200000+200000</f>
        <v>580000</v>
      </c>
      <c r="N181" s="45" t="s">
        <v>806</v>
      </c>
    </row>
    <row r="182" spans="1:14">
      <c r="A182" s="55">
        <v>36</v>
      </c>
      <c r="B182" s="770"/>
      <c r="C182" s="85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37"/>
      <c r="K182" s="852"/>
      <c r="L182" s="6" t="s">
        <v>911</v>
      </c>
      <c r="M182" s="840"/>
      <c r="N182" s="45" t="s">
        <v>806</v>
      </c>
    </row>
    <row r="183" spans="1:14">
      <c r="A183" s="55">
        <v>36</v>
      </c>
      <c r="B183" s="770"/>
      <c r="C183" s="85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7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6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7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70"/>
      <c r="C187" s="78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71"/>
      <c r="C188" s="78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6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7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7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69" t="s">
        <v>939</v>
      </c>
      <c r="C192" s="78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70"/>
      <c r="C193" s="78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7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6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70"/>
      <c r="C196" s="85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70"/>
      <c r="C197" s="85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70"/>
      <c r="C198" s="85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71"/>
      <c r="C199" s="85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69" t="s">
        <v>20</v>
      </c>
      <c r="C200" s="78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70"/>
      <c r="C201" s="78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70"/>
      <c r="C202" s="78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71"/>
      <c r="C203" s="78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6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7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7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69" t="s">
        <v>20</v>
      </c>
      <c r="C207" s="78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70"/>
      <c r="C208" s="78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7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6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7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6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7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7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6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7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7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69" t="s">
        <v>20</v>
      </c>
      <c r="C218" s="78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70"/>
      <c r="C219" s="78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7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6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7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7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6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7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48" t="s">
        <v>247</v>
      </c>
    </row>
    <row r="226" spans="1:14">
      <c r="A226" s="55">
        <v>44</v>
      </c>
      <c r="B226" s="77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49"/>
    </row>
    <row r="227" spans="1:14">
      <c r="A227" s="55">
        <v>44</v>
      </c>
      <c r="B227" s="77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0"/>
    </row>
    <row r="228" spans="1:14">
      <c r="A228" s="55">
        <v>44</v>
      </c>
      <c r="B228" s="76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7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6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7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7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7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6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7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6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7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7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6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7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7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6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7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6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7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6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70"/>
      <c r="C249" s="78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48" t="s">
        <v>247</v>
      </c>
    </row>
    <row r="250" spans="1:14">
      <c r="A250" s="55">
        <v>48</v>
      </c>
      <c r="B250" s="771"/>
      <c r="C250" s="78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0"/>
    </row>
    <row r="251" spans="1:14">
      <c r="A251" s="55">
        <v>48</v>
      </c>
      <c r="B251" s="76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7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7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7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6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70"/>
      <c r="C256" s="78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48" t="s">
        <v>247</v>
      </c>
    </row>
    <row r="257" spans="1:14">
      <c r="A257" s="55">
        <v>49</v>
      </c>
      <c r="B257" s="771"/>
      <c r="C257" s="78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0"/>
    </row>
    <row r="258" spans="1:14" ht="40.5">
      <c r="A258" s="55">
        <v>49</v>
      </c>
      <c r="B258" s="76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7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88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65" t="s">
        <v>1103</v>
      </c>
    </row>
    <row r="262" spans="1:14" ht="25.5">
      <c r="A262" s="132">
        <v>49</v>
      </c>
      <c r="B262" s="88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66"/>
    </row>
    <row r="263" spans="1:14" ht="16.5" customHeight="1">
      <c r="A263" s="55">
        <v>50</v>
      </c>
      <c r="B263" s="769" t="s">
        <v>20</v>
      </c>
      <c r="C263" s="78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70"/>
      <c r="C264" s="78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70"/>
      <c r="C265" s="78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70"/>
      <c r="C266" s="78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71"/>
      <c r="C267" s="78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7" t="s">
        <v>658</v>
      </c>
      <c r="C268" s="76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888"/>
      <c r="C269" s="78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889"/>
      <c r="C270" s="76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769" t="s">
        <v>20</v>
      </c>
      <c r="C271" s="78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70"/>
      <c r="C272" s="78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70"/>
      <c r="C273" s="78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7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70"/>
      <c r="C275" s="78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70"/>
      <c r="C276" s="78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7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94" t="s">
        <v>1196</v>
      </c>
      <c r="B278" s="895"/>
      <c r="C278" s="895"/>
      <c r="D278" s="895"/>
      <c r="E278" s="895"/>
      <c r="F278" s="895"/>
      <c r="G278" s="895"/>
      <c r="H278" s="895"/>
      <c r="I278" s="895"/>
      <c r="J278" s="895"/>
      <c r="K278" s="895"/>
      <c r="L278" s="895"/>
      <c r="M278" s="895"/>
      <c r="N278" s="896"/>
    </row>
    <row r="279" spans="1:15" ht="16.5" customHeight="1">
      <c r="A279" s="55">
        <v>1</v>
      </c>
      <c r="B279" s="769" t="s">
        <v>20</v>
      </c>
      <c r="C279" s="78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71"/>
      <c r="C280" s="78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69" t="s">
        <v>64</v>
      </c>
      <c r="C281" s="78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70"/>
      <c r="C282" s="78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70"/>
      <c r="C283" s="78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36" t="s">
        <v>1174</v>
      </c>
      <c r="K283" s="892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70"/>
      <c r="C284" s="78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37"/>
      <c r="K284" s="893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7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7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97" t="s">
        <v>123</v>
      </c>
      <c r="C287" s="76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898"/>
      <c r="C288" s="76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887" t="s">
        <v>64</v>
      </c>
      <c r="C289" s="76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88"/>
      <c r="C290" s="89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888"/>
      <c r="C291" s="89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65" t="s">
        <v>638</v>
      </c>
      <c r="K291" s="826" t="s">
        <v>671</v>
      </c>
      <c r="L291" s="148" t="s">
        <v>309</v>
      </c>
      <c r="M291" s="775" t="s">
        <v>672</v>
      </c>
      <c r="N291" s="148" t="s">
        <v>723</v>
      </c>
    </row>
    <row r="292" spans="1:15">
      <c r="A292" s="55">
        <v>2</v>
      </c>
      <c r="B292" s="888"/>
      <c r="C292" s="89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66"/>
      <c r="K292" s="827"/>
      <c r="L292" s="148" t="s">
        <v>309</v>
      </c>
      <c r="M292" s="776"/>
      <c r="N292" s="148" t="s">
        <v>723</v>
      </c>
    </row>
    <row r="293" spans="1:15">
      <c r="A293" s="55">
        <v>2</v>
      </c>
      <c r="B293" s="888"/>
      <c r="C293" s="89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888"/>
      <c r="C294" s="76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88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769" t="s">
        <v>20</v>
      </c>
      <c r="C296" s="78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70"/>
      <c r="C297" s="78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71"/>
      <c r="C298" s="78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6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7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7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69" t="s">
        <v>20</v>
      </c>
      <c r="C302" s="78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70"/>
      <c r="C303" s="78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70"/>
      <c r="C304" s="78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70"/>
      <c r="C305" s="78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71"/>
      <c r="C306" s="78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69" t="s">
        <v>20</v>
      </c>
      <c r="C308" s="78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71"/>
      <c r="C309" s="78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6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7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7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7" t="s">
        <v>307</v>
      </c>
      <c r="C313" s="76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889"/>
      <c r="C314" s="76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769" t="s">
        <v>20</v>
      </c>
      <c r="C316" s="78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70"/>
      <c r="C317" s="78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71"/>
      <c r="C318" s="78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6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7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7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69" t="s">
        <v>20</v>
      </c>
      <c r="C322" s="78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71"/>
      <c r="C323" s="78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6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7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7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7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7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69" t="s">
        <v>20</v>
      </c>
      <c r="C329" s="78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70"/>
      <c r="C330" s="78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71"/>
      <c r="C331" s="78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6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7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69" t="s">
        <v>20</v>
      </c>
      <c r="C334" s="78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70"/>
      <c r="C335" s="78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70"/>
      <c r="C336" s="78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71"/>
      <c r="C337" s="78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6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7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7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7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69" t="s">
        <v>20</v>
      </c>
      <c r="C342" s="78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70"/>
      <c r="C343" s="78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7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6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7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7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7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70"/>
      <c r="C349" s="85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71"/>
      <c r="C350" s="85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88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88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88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88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88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88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88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88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76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7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7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6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7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7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7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7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7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6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7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7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7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6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7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7" t="s">
        <v>307</v>
      </c>
      <c r="C375" s="128" t="s">
        <v>1531</v>
      </c>
      <c r="D375" s="765" t="s">
        <v>306</v>
      </c>
      <c r="E375" s="765" t="s">
        <v>322</v>
      </c>
      <c r="F375" s="765" t="s">
        <v>307</v>
      </c>
      <c r="G375" s="767">
        <v>4266</v>
      </c>
      <c r="H375" s="765" t="s">
        <v>640</v>
      </c>
      <c r="I375" s="767" t="s">
        <v>1533</v>
      </c>
      <c r="J375" s="765" t="s">
        <v>1534</v>
      </c>
      <c r="K375" s="899" t="s">
        <v>692</v>
      </c>
      <c r="L375" s="765" t="s">
        <v>324</v>
      </c>
      <c r="M375" s="775" t="s">
        <v>1535</v>
      </c>
      <c r="N375" s="765" t="s">
        <v>425</v>
      </c>
    </row>
    <row r="376" spans="1:19">
      <c r="A376" s="199" t="s">
        <v>1539</v>
      </c>
      <c r="B376" s="888"/>
      <c r="C376" s="129" t="s">
        <v>1532</v>
      </c>
      <c r="D376" s="766"/>
      <c r="E376" s="766"/>
      <c r="F376" s="766"/>
      <c r="G376" s="768"/>
      <c r="H376" s="766"/>
      <c r="I376" s="768"/>
      <c r="J376" s="766"/>
      <c r="K376" s="900"/>
      <c r="L376" s="766"/>
      <c r="M376" s="776"/>
      <c r="N376" s="766"/>
    </row>
    <row r="377" spans="1:19">
      <c r="A377" s="199" t="s">
        <v>1539</v>
      </c>
      <c r="B377" s="888"/>
      <c r="C377" s="128" t="s">
        <v>1536</v>
      </c>
      <c r="D377" s="765" t="s">
        <v>306</v>
      </c>
      <c r="E377" s="765" t="s">
        <v>322</v>
      </c>
      <c r="F377" s="765" t="s">
        <v>307</v>
      </c>
      <c r="G377" s="767">
        <v>3306</v>
      </c>
      <c r="H377" s="765" t="s">
        <v>1153</v>
      </c>
      <c r="I377" s="767" t="s">
        <v>1538</v>
      </c>
      <c r="J377" s="765" t="s">
        <v>1534</v>
      </c>
      <c r="K377" s="899" t="s">
        <v>692</v>
      </c>
      <c r="L377" s="765" t="s">
        <v>324</v>
      </c>
      <c r="M377" s="775" t="s">
        <v>1535</v>
      </c>
      <c r="N377" s="765" t="s">
        <v>425</v>
      </c>
    </row>
    <row r="378" spans="1:19">
      <c r="A378" s="199" t="s">
        <v>1539</v>
      </c>
      <c r="B378" s="889"/>
      <c r="C378" s="129" t="s">
        <v>1537</v>
      </c>
      <c r="D378" s="766"/>
      <c r="E378" s="766"/>
      <c r="F378" s="766"/>
      <c r="G378" s="768"/>
      <c r="H378" s="766"/>
      <c r="I378" s="768"/>
      <c r="J378" s="766"/>
      <c r="K378" s="900"/>
      <c r="L378" s="766"/>
      <c r="M378" s="776"/>
      <c r="N378" s="766"/>
    </row>
    <row r="379" spans="1:19" ht="27" customHeight="1">
      <c r="A379" s="123">
        <v>15</v>
      </c>
      <c r="B379" s="76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7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7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7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6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7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6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7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7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7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6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7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7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7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6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7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7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6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7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7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7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7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7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7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61" t="s">
        <v>1782</v>
      </c>
      <c r="C403" s="226" t="s">
        <v>1748</v>
      </c>
      <c r="D403" s="824" t="s">
        <v>306</v>
      </c>
      <c r="E403" s="824" t="s">
        <v>322</v>
      </c>
      <c r="F403" s="824" t="s">
        <v>307</v>
      </c>
      <c r="G403" s="830">
        <v>3306</v>
      </c>
      <c r="H403" s="824" t="s">
        <v>1153</v>
      </c>
      <c r="I403" s="830" t="s">
        <v>1749</v>
      </c>
      <c r="J403" s="824" t="s">
        <v>664</v>
      </c>
      <c r="K403" s="901" t="s">
        <v>1288</v>
      </c>
      <c r="L403" s="824" t="s">
        <v>324</v>
      </c>
      <c r="M403" s="828" t="s">
        <v>1750</v>
      </c>
      <c r="N403" s="824" t="s">
        <v>665</v>
      </c>
    </row>
    <row r="404" spans="1:14">
      <c r="A404" s="123">
        <v>18</v>
      </c>
      <c r="B404" s="762"/>
      <c r="C404" s="226" t="s">
        <v>1751</v>
      </c>
      <c r="D404" s="825"/>
      <c r="E404" s="825"/>
      <c r="F404" s="825"/>
      <c r="G404" s="831"/>
      <c r="H404" s="825"/>
      <c r="I404" s="831"/>
      <c r="J404" s="825"/>
      <c r="K404" s="902"/>
      <c r="L404" s="825"/>
      <c r="M404" s="829"/>
      <c r="N404" s="825"/>
    </row>
    <row r="405" spans="1:14" ht="22.5">
      <c r="A405" s="123">
        <v>18</v>
      </c>
      <c r="B405" s="76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62"/>
      <c r="C406" s="226" t="s">
        <v>1755</v>
      </c>
      <c r="D406" s="824" t="s">
        <v>306</v>
      </c>
      <c r="E406" s="824" t="s">
        <v>322</v>
      </c>
      <c r="F406" s="824" t="s">
        <v>307</v>
      </c>
      <c r="G406" s="830" t="s">
        <v>1756</v>
      </c>
      <c r="H406" s="824" t="s">
        <v>347</v>
      </c>
      <c r="I406" s="830" t="s">
        <v>1154</v>
      </c>
      <c r="J406" s="824" t="s">
        <v>664</v>
      </c>
      <c r="K406" s="824" t="s">
        <v>1757</v>
      </c>
      <c r="L406" s="824" t="s">
        <v>324</v>
      </c>
      <c r="M406" s="828" t="s">
        <v>1758</v>
      </c>
      <c r="N406" s="824" t="s">
        <v>665</v>
      </c>
    </row>
    <row r="407" spans="1:14">
      <c r="A407" s="123">
        <v>18</v>
      </c>
      <c r="B407" s="762"/>
      <c r="C407" s="226" t="s">
        <v>1759</v>
      </c>
      <c r="D407" s="825"/>
      <c r="E407" s="825"/>
      <c r="F407" s="825"/>
      <c r="G407" s="831"/>
      <c r="H407" s="825"/>
      <c r="I407" s="831"/>
      <c r="J407" s="825"/>
      <c r="K407" s="825"/>
      <c r="L407" s="825"/>
      <c r="M407" s="829"/>
      <c r="N407" s="825"/>
    </row>
    <row r="408" spans="1:14" ht="16.5" customHeight="1">
      <c r="A408" s="123">
        <v>18</v>
      </c>
      <c r="B408" s="762"/>
      <c r="C408" s="228" t="s">
        <v>1760</v>
      </c>
      <c r="D408" s="824" t="s">
        <v>306</v>
      </c>
      <c r="E408" s="824" t="s">
        <v>322</v>
      </c>
      <c r="F408" s="824" t="s">
        <v>307</v>
      </c>
      <c r="G408" s="830" t="s">
        <v>1761</v>
      </c>
      <c r="H408" s="824" t="s">
        <v>329</v>
      </c>
      <c r="I408" s="830" t="s">
        <v>1762</v>
      </c>
      <c r="J408" s="824" t="s">
        <v>664</v>
      </c>
      <c r="K408" s="824" t="s">
        <v>1763</v>
      </c>
      <c r="L408" s="824" t="s">
        <v>324</v>
      </c>
      <c r="M408" s="828" t="s">
        <v>1764</v>
      </c>
      <c r="N408" s="824" t="s">
        <v>1765</v>
      </c>
    </row>
    <row r="409" spans="1:14">
      <c r="A409" s="123">
        <v>18</v>
      </c>
      <c r="B409" s="763"/>
      <c r="C409" s="226" t="s">
        <v>1766</v>
      </c>
      <c r="D409" s="825"/>
      <c r="E409" s="825"/>
      <c r="F409" s="825"/>
      <c r="G409" s="831"/>
      <c r="H409" s="825"/>
      <c r="I409" s="831"/>
      <c r="J409" s="825"/>
      <c r="K409" s="825"/>
      <c r="L409" s="825"/>
      <c r="M409" s="829"/>
      <c r="N409" s="825"/>
    </row>
    <row r="410" spans="1:14" ht="16.5" customHeight="1">
      <c r="A410" s="123">
        <v>18</v>
      </c>
      <c r="B410" s="761" t="s">
        <v>253</v>
      </c>
      <c r="C410" s="832" t="s">
        <v>1767</v>
      </c>
      <c r="D410" s="824" t="s">
        <v>311</v>
      </c>
      <c r="E410" s="824" t="s">
        <v>320</v>
      </c>
      <c r="F410" s="824" t="s">
        <v>709</v>
      </c>
      <c r="G410" s="824" t="s">
        <v>1768</v>
      </c>
      <c r="H410" s="832" t="s">
        <v>1769</v>
      </c>
      <c r="I410" s="227" t="s">
        <v>1770</v>
      </c>
      <c r="J410" s="824"/>
      <c r="K410" s="834" t="s">
        <v>1771</v>
      </c>
      <c r="L410" s="824" t="s">
        <v>309</v>
      </c>
      <c r="M410" s="828" t="s">
        <v>1764</v>
      </c>
      <c r="N410" s="824" t="s">
        <v>1772</v>
      </c>
    </row>
    <row r="411" spans="1:14">
      <c r="A411" s="123">
        <v>18</v>
      </c>
      <c r="B411" s="762"/>
      <c r="C411" s="833"/>
      <c r="D411" s="825"/>
      <c r="E411" s="825"/>
      <c r="F411" s="825"/>
      <c r="G411" s="825"/>
      <c r="H411" s="833"/>
      <c r="I411" s="227" t="s">
        <v>1773</v>
      </c>
      <c r="J411" s="825"/>
      <c r="K411" s="835"/>
      <c r="L411" s="825"/>
      <c r="M411" s="829"/>
      <c r="N411" s="825"/>
    </row>
    <row r="412" spans="1:14" ht="22.5">
      <c r="A412" s="123">
        <v>18</v>
      </c>
      <c r="B412" s="76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62"/>
      <c r="C413" s="832" t="s">
        <v>1776</v>
      </c>
      <c r="D413" s="832" t="s">
        <v>700</v>
      </c>
      <c r="E413" s="824" t="s">
        <v>675</v>
      </c>
      <c r="F413" s="832" t="s">
        <v>1777</v>
      </c>
      <c r="G413" s="832" t="s">
        <v>1778</v>
      </c>
      <c r="H413" s="832" t="s">
        <v>662</v>
      </c>
      <c r="I413" s="227" t="s">
        <v>1779</v>
      </c>
      <c r="J413" s="824" t="s">
        <v>638</v>
      </c>
      <c r="K413" s="824" t="s">
        <v>731</v>
      </c>
      <c r="L413" s="824" t="s">
        <v>309</v>
      </c>
      <c r="M413" s="828" t="s">
        <v>1780</v>
      </c>
      <c r="N413" s="824" t="s">
        <v>1781</v>
      </c>
    </row>
    <row r="414" spans="1:14">
      <c r="A414" s="123">
        <v>18</v>
      </c>
      <c r="B414" s="763"/>
      <c r="C414" s="833"/>
      <c r="D414" s="833"/>
      <c r="E414" s="825"/>
      <c r="F414" s="833"/>
      <c r="G414" s="833"/>
      <c r="H414" s="833"/>
      <c r="I414" s="26"/>
      <c r="J414" s="825"/>
      <c r="K414" s="825"/>
      <c r="L414" s="825"/>
      <c r="M414" s="829"/>
      <c r="N414" s="825"/>
    </row>
    <row r="415" spans="1:14" ht="16.5" customHeight="1">
      <c r="A415" s="123">
        <v>19</v>
      </c>
      <c r="B415" s="761" t="s">
        <v>20</v>
      </c>
      <c r="C415" s="148" t="s">
        <v>1794</v>
      </c>
      <c r="D415" s="765" t="s">
        <v>306</v>
      </c>
      <c r="E415" s="765" t="s">
        <v>322</v>
      </c>
      <c r="F415" s="765" t="s">
        <v>307</v>
      </c>
      <c r="G415" s="767" t="s">
        <v>1796</v>
      </c>
      <c r="H415" s="765" t="s">
        <v>1797</v>
      </c>
      <c r="I415" s="767" t="s">
        <v>1792</v>
      </c>
      <c r="J415" s="765" t="s">
        <v>664</v>
      </c>
      <c r="K415" s="148" t="s">
        <v>1520</v>
      </c>
      <c r="L415" s="765" t="s">
        <v>324</v>
      </c>
      <c r="M415" s="775" t="s">
        <v>1799</v>
      </c>
      <c r="N415" s="765" t="s">
        <v>665</v>
      </c>
    </row>
    <row r="416" spans="1:14">
      <c r="A416" s="123">
        <v>19</v>
      </c>
      <c r="B416" s="762"/>
      <c r="C416" s="148" t="s">
        <v>1795</v>
      </c>
      <c r="D416" s="766"/>
      <c r="E416" s="766"/>
      <c r="F416" s="766"/>
      <c r="G416" s="768"/>
      <c r="H416" s="766"/>
      <c r="I416" s="768"/>
      <c r="J416" s="766"/>
      <c r="K416" s="148" t="s">
        <v>1798</v>
      </c>
      <c r="L416" s="766"/>
      <c r="M416" s="776"/>
      <c r="N416" s="766"/>
    </row>
    <row r="417" spans="1:14">
      <c r="A417" s="123">
        <v>19</v>
      </c>
      <c r="B417" s="762"/>
      <c r="C417" s="148" t="s">
        <v>1800</v>
      </c>
      <c r="D417" s="765" t="s">
        <v>306</v>
      </c>
      <c r="E417" s="765" t="s">
        <v>322</v>
      </c>
      <c r="F417" s="765" t="s">
        <v>307</v>
      </c>
      <c r="G417" s="767" t="s">
        <v>1801</v>
      </c>
      <c r="H417" s="765" t="s">
        <v>1802</v>
      </c>
      <c r="I417" s="767" t="s">
        <v>1803</v>
      </c>
      <c r="J417" s="765" t="s">
        <v>664</v>
      </c>
      <c r="K417" s="826" t="s">
        <v>1155</v>
      </c>
      <c r="L417" s="765" t="s">
        <v>324</v>
      </c>
      <c r="M417" s="775" t="s">
        <v>1804</v>
      </c>
      <c r="N417" s="765" t="s">
        <v>665</v>
      </c>
    </row>
    <row r="418" spans="1:14">
      <c r="A418" s="123">
        <v>19</v>
      </c>
      <c r="B418" s="763"/>
      <c r="C418" s="148" t="s">
        <v>1795</v>
      </c>
      <c r="D418" s="766"/>
      <c r="E418" s="766"/>
      <c r="F418" s="766"/>
      <c r="G418" s="768"/>
      <c r="H418" s="766"/>
      <c r="I418" s="768"/>
      <c r="J418" s="766"/>
      <c r="K418" s="827"/>
      <c r="L418" s="766"/>
      <c r="M418" s="776"/>
      <c r="N418" s="766"/>
    </row>
    <row r="419" spans="1:14" ht="16.5" customHeight="1">
      <c r="A419" s="123">
        <v>19</v>
      </c>
      <c r="B419" s="761" t="s">
        <v>21</v>
      </c>
      <c r="C419" s="816" t="s">
        <v>1805</v>
      </c>
      <c r="D419" s="816" t="s">
        <v>700</v>
      </c>
      <c r="E419" s="765" t="s">
        <v>675</v>
      </c>
      <c r="F419" s="816" t="s">
        <v>1806</v>
      </c>
      <c r="G419" s="816" t="s">
        <v>1807</v>
      </c>
      <c r="H419" s="816" t="s">
        <v>662</v>
      </c>
      <c r="I419" s="767" t="s">
        <v>1808</v>
      </c>
      <c r="J419" s="765"/>
      <c r="K419" s="818" t="s">
        <v>1809</v>
      </c>
      <c r="L419" s="765" t="s">
        <v>309</v>
      </c>
      <c r="M419" s="775" t="s">
        <v>1810</v>
      </c>
      <c r="N419" s="149" t="s">
        <v>1811</v>
      </c>
    </row>
    <row r="420" spans="1:14">
      <c r="A420" s="123">
        <v>19</v>
      </c>
      <c r="B420" s="762"/>
      <c r="C420" s="817"/>
      <c r="D420" s="817"/>
      <c r="E420" s="766"/>
      <c r="F420" s="817"/>
      <c r="G420" s="817"/>
      <c r="H420" s="817"/>
      <c r="I420" s="768"/>
      <c r="J420" s="766"/>
      <c r="K420" s="819"/>
      <c r="L420" s="766"/>
      <c r="M420" s="776"/>
      <c r="N420" s="149" t="s">
        <v>1812</v>
      </c>
    </row>
    <row r="421" spans="1:14">
      <c r="A421" s="123">
        <v>19</v>
      </c>
      <c r="B421" s="762"/>
      <c r="C421" s="820" t="s">
        <v>1813</v>
      </c>
      <c r="D421" s="816" t="s">
        <v>700</v>
      </c>
      <c r="E421" s="765" t="s">
        <v>320</v>
      </c>
      <c r="F421" s="765" t="s">
        <v>337</v>
      </c>
      <c r="G421" s="816" t="s">
        <v>353</v>
      </c>
      <c r="H421" s="816" t="s">
        <v>1814</v>
      </c>
      <c r="I421" s="767" t="s">
        <v>1815</v>
      </c>
      <c r="J421" s="765" t="s">
        <v>638</v>
      </c>
      <c r="K421" s="822" t="s">
        <v>692</v>
      </c>
      <c r="L421" s="765" t="s">
        <v>309</v>
      </c>
      <c r="M421" s="775" t="s">
        <v>1816</v>
      </c>
      <c r="N421" s="148" t="s">
        <v>1817</v>
      </c>
    </row>
    <row r="422" spans="1:14">
      <c r="A422" s="123">
        <v>19</v>
      </c>
      <c r="B422" s="762"/>
      <c r="C422" s="821"/>
      <c r="D422" s="817"/>
      <c r="E422" s="766"/>
      <c r="F422" s="766"/>
      <c r="G422" s="817"/>
      <c r="H422" s="817"/>
      <c r="I422" s="768"/>
      <c r="J422" s="766"/>
      <c r="K422" s="823"/>
      <c r="L422" s="766"/>
      <c r="M422" s="776"/>
      <c r="N422" s="148" t="s">
        <v>1818</v>
      </c>
    </row>
    <row r="423" spans="1:14">
      <c r="A423" s="123">
        <v>19</v>
      </c>
      <c r="B423" s="76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62"/>
      <c r="C424" s="816" t="s">
        <v>1820</v>
      </c>
      <c r="D424" s="816" t="s">
        <v>700</v>
      </c>
      <c r="E424" s="765" t="s">
        <v>320</v>
      </c>
      <c r="F424" s="765" t="s">
        <v>709</v>
      </c>
      <c r="G424" s="765" t="s">
        <v>1768</v>
      </c>
      <c r="H424" s="816" t="s">
        <v>1821</v>
      </c>
      <c r="I424" s="149" t="s">
        <v>1822</v>
      </c>
      <c r="J424" s="765" t="s">
        <v>638</v>
      </c>
      <c r="K424" s="765" t="s">
        <v>692</v>
      </c>
      <c r="L424" s="765" t="s">
        <v>309</v>
      </c>
      <c r="M424" s="775" t="s">
        <v>1535</v>
      </c>
      <c r="N424" s="767" t="s">
        <v>1824</v>
      </c>
    </row>
    <row r="425" spans="1:14">
      <c r="A425" s="123">
        <v>19</v>
      </c>
      <c r="B425" s="762"/>
      <c r="C425" s="817"/>
      <c r="D425" s="817"/>
      <c r="E425" s="766"/>
      <c r="F425" s="766"/>
      <c r="G425" s="766"/>
      <c r="H425" s="817"/>
      <c r="I425" s="149" t="s">
        <v>1823</v>
      </c>
      <c r="J425" s="766"/>
      <c r="K425" s="766"/>
      <c r="L425" s="766"/>
      <c r="M425" s="776"/>
      <c r="N425" s="768"/>
    </row>
    <row r="426" spans="1:14">
      <c r="A426" s="123">
        <v>19</v>
      </c>
      <c r="B426" s="76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6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6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6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6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6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6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6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6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6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6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6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6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6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6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6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6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6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6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6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6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6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6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6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6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6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61" t="s">
        <v>2078</v>
      </c>
      <c r="C452" s="243" t="s">
        <v>1906</v>
      </c>
      <c r="D452" s="796" t="s">
        <v>306</v>
      </c>
      <c r="E452" s="796" t="s">
        <v>322</v>
      </c>
      <c r="F452" s="796" t="s">
        <v>307</v>
      </c>
      <c r="G452" s="796">
        <v>3306</v>
      </c>
      <c r="H452" s="796" t="s">
        <v>1153</v>
      </c>
      <c r="I452" s="796" t="s">
        <v>1907</v>
      </c>
      <c r="J452" s="796" t="s">
        <v>1111</v>
      </c>
      <c r="K452" s="796" t="s">
        <v>692</v>
      </c>
      <c r="L452" s="796" t="s">
        <v>324</v>
      </c>
      <c r="M452" s="794" t="s">
        <v>1908</v>
      </c>
      <c r="N452" s="796" t="s">
        <v>665</v>
      </c>
    </row>
    <row r="453" spans="1:14">
      <c r="A453" s="123">
        <v>23</v>
      </c>
      <c r="B453" s="762"/>
      <c r="C453" s="243" t="s">
        <v>1909</v>
      </c>
      <c r="D453" s="797"/>
      <c r="E453" s="797"/>
      <c r="F453" s="797"/>
      <c r="G453" s="797"/>
      <c r="H453" s="797"/>
      <c r="I453" s="797"/>
      <c r="J453" s="797"/>
      <c r="K453" s="797"/>
      <c r="L453" s="797"/>
      <c r="M453" s="795"/>
      <c r="N453" s="797"/>
    </row>
    <row r="454" spans="1:14">
      <c r="A454" s="123">
        <v>23</v>
      </c>
      <c r="B454" s="762"/>
      <c r="C454" s="243" t="s">
        <v>1910</v>
      </c>
      <c r="D454" s="796" t="s">
        <v>306</v>
      </c>
      <c r="E454" s="796" t="s">
        <v>322</v>
      </c>
      <c r="F454" s="796" t="s">
        <v>307</v>
      </c>
      <c r="G454" s="798" t="s">
        <v>1418</v>
      </c>
      <c r="H454" s="796" t="s">
        <v>1911</v>
      </c>
      <c r="I454" s="798" t="s">
        <v>1154</v>
      </c>
      <c r="J454" s="796" t="s">
        <v>664</v>
      </c>
      <c r="K454" s="812" t="s">
        <v>1763</v>
      </c>
      <c r="L454" s="796" t="s">
        <v>324</v>
      </c>
      <c r="M454" s="794" t="s">
        <v>1535</v>
      </c>
      <c r="N454" s="796" t="s">
        <v>665</v>
      </c>
    </row>
    <row r="455" spans="1:14">
      <c r="A455" s="123">
        <v>23</v>
      </c>
      <c r="B455" s="762"/>
      <c r="C455" s="243" t="s">
        <v>1909</v>
      </c>
      <c r="D455" s="797"/>
      <c r="E455" s="797"/>
      <c r="F455" s="797"/>
      <c r="G455" s="799"/>
      <c r="H455" s="797"/>
      <c r="I455" s="799"/>
      <c r="J455" s="797"/>
      <c r="K455" s="813"/>
      <c r="L455" s="797"/>
      <c r="M455" s="795"/>
      <c r="N455" s="797"/>
    </row>
    <row r="456" spans="1:14">
      <c r="A456" s="123">
        <v>23</v>
      </c>
      <c r="B456" s="76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62"/>
      <c r="C457" s="243" t="s">
        <v>1917</v>
      </c>
      <c r="D457" s="796" t="s">
        <v>306</v>
      </c>
      <c r="E457" s="796" t="s">
        <v>322</v>
      </c>
      <c r="F457" s="796" t="s">
        <v>307</v>
      </c>
      <c r="G457" s="798">
        <v>4267</v>
      </c>
      <c r="H457" s="796" t="s">
        <v>640</v>
      </c>
      <c r="I457" s="798" t="s">
        <v>1154</v>
      </c>
      <c r="J457" s="796" t="s">
        <v>664</v>
      </c>
      <c r="K457" s="812" t="s">
        <v>1763</v>
      </c>
      <c r="L457" s="796" t="s">
        <v>324</v>
      </c>
      <c r="M457" s="794" t="s">
        <v>1535</v>
      </c>
      <c r="N457" s="796" t="s">
        <v>665</v>
      </c>
    </row>
    <row r="458" spans="1:14">
      <c r="A458" s="123">
        <v>23</v>
      </c>
      <c r="B458" s="762"/>
      <c r="C458" s="243" t="s">
        <v>1918</v>
      </c>
      <c r="D458" s="797"/>
      <c r="E458" s="797"/>
      <c r="F458" s="797"/>
      <c r="G458" s="799"/>
      <c r="H458" s="797"/>
      <c r="I458" s="799"/>
      <c r="J458" s="797"/>
      <c r="K458" s="813"/>
      <c r="L458" s="797"/>
      <c r="M458" s="795"/>
      <c r="N458" s="797"/>
    </row>
    <row r="459" spans="1:14">
      <c r="A459" s="123">
        <v>23</v>
      </c>
      <c r="B459" s="762"/>
      <c r="C459" s="243" t="s">
        <v>1917</v>
      </c>
      <c r="D459" s="796" t="s">
        <v>306</v>
      </c>
      <c r="E459" s="796" t="s">
        <v>322</v>
      </c>
      <c r="F459" s="796" t="s">
        <v>307</v>
      </c>
      <c r="G459" s="798" t="s">
        <v>1919</v>
      </c>
      <c r="H459" s="796" t="s">
        <v>662</v>
      </c>
      <c r="I459" s="798" t="s">
        <v>1920</v>
      </c>
      <c r="J459" s="796" t="s">
        <v>349</v>
      </c>
      <c r="K459" s="814" t="s">
        <v>1916</v>
      </c>
      <c r="L459" s="796" t="s">
        <v>324</v>
      </c>
      <c r="M459" s="794" t="s">
        <v>1535</v>
      </c>
      <c r="N459" s="796" t="s">
        <v>425</v>
      </c>
    </row>
    <row r="460" spans="1:14">
      <c r="A460" s="123">
        <v>23</v>
      </c>
      <c r="B460" s="763"/>
      <c r="C460" s="244" t="s">
        <v>1918</v>
      </c>
      <c r="D460" s="797"/>
      <c r="E460" s="797"/>
      <c r="F460" s="797"/>
      <c r="G460" s="799"/>
      <c r="H460" s="797"/>
      <c r="I460" s="799"/>
      <c r="J460" s="797"/>
      <c r="K460" s="815"/>
      <c r="L460" s="797"/>
      <c r="M460" s="795"/>
      <c r="N460" s="797"/>
    </row>
    <row r="461" spans="1:14">
      <c r="A461" s="123">
        <v>23</v>
      </c>
      <c r="B461" s="76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62"/>
      <c r="C462" s="796" t="s">
        <v>1921</v>
      </c>
      <c r="D462" s="796" t="s">
        <v>311</v>
      </c>
      <c r="E462" s="796" t="s">
        <v>675</v>
      </c>
      <c r="F462" s="796" t="s">
        <v>1926</v>
      </c>
      <c r="G462" s="796" t="s">
        <v>1927</v>
      </c>
      <c r="H462" s="903" t="s">
        <v>347</v>
      </c>
      <c r="I462" s="242" t="s">
        <v>1928</v>
      </c>
      <c r="J462" s="796"/>
      <c r="K462" s="798" t="s">
        <v>1924</v>
      </c>
      <c r="L462" s="796" t="s">
        <v>309</v>
      </c>
      <c r="M462" s="794" t="s">
        <v>1828</v>
      </c>
      <c r="N462" s="798" t="s">
        <v>1925</v>
      </c>
    </row>
    <row r="463" spans="1:14">
      <c r="A463" s="123">
        <v>23</v>
      </c>
      <c r="B463" s="762"/>
      <c r="C463" s="797"/>
      <c r="D463" s="797"/>
      <c r="E463" s="797"/>
      <c r="F463" s="797"/>
      <c r="G463" s="797"/>
      <c r="H463" s="904"/>
      <c r="I463" s="242" t="s">
        <v>1929</v>
      </c>
      <c r="J463" s="797"/>
      <c r="K463" s="799"/>
      <c r="L463" s="797"/>
      <c r="M463" s="795"/>
      <c r="N463" s="799"/>
    </row>
    <row r="464" spans="1:14" ht="24">
      <c r="A464" s="123">
        <v>23</v>
      </c>
      <c r="B464" s="76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6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6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6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6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6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6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6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6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6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6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6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6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6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6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6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6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6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6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6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6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6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6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6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6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6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6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6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6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6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6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6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6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6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6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6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6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6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6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6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6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6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6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6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6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6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6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6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6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6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6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6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6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6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6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6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6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6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6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6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6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6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6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6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6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6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6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6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6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6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6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6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6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6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6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6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6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6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6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6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6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6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6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6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6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6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6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6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6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6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6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6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6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6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6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6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6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6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6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6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6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6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6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6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6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6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8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8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8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8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8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8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6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6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8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8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8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8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6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6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6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6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6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6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6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6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6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6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6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6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6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6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6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6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6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6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6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6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6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6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8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8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8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6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6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6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6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6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6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6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6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6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6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0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1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1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1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1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6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6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6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6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6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6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6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6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6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6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6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6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6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6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6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6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6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6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6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62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6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6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6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6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6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6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6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6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6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6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6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6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6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6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6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6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6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6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6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6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808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6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6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6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6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6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6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6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6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6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6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6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6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6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62"/>
      <c r="C687" s="148" t="s">
        <v>2726</v>
      </c>
      <c r="D687" s="765" t="s">
        <v>306</v>
      </c>
      <c r="E687" s="765" t="s">
        <v>322</v>
      </c>
      <c r="F687" s="765" t="s">
        <v>307</v>
      </c>
      <c r="G687" s="767" t="s">
        <v>2719</v>
      </c>
      <c r="H687" s="765" t="s">
        <v>1047</v>
      </c>
      <c r="I687" s="767" t="s">
        <v>704</v>
      </c>
      <c r="J687" s="765" t="s">
        <v>664</v>
      </c>
      <c r="K687" s="804" t="s">
        <v>1763</v>
      </c>
      <c r="L687" s="765"/>
      <c r="M687" s="775" t="s">
        <v>458</v>
      </c>
      <c r="N687" s="765" t="s">
        <v>665</v>
      </c>
    </row>
    <row r="688" spans="1:14">
      <c r="A688" s="123">
        <v>8</v>
      </c>
      <c r="B688" s="762"/>
      <c r="C688" s="148" t="s">
        <v>2727</v>
      </c>
      <c r="D688" s="766"/>
      <c r="E688" s="766"/>
      <c r="F688" s="766"/>
      <c r="G688" s="768"/>
      <c r="H688" s="766"/>
      <c r="I688" s="768"/>
      <c r="J688" s="766"/>
      <c r="K688" s="805"/>
      <c r="L688" s="766"/>
      <c r="M688" s="776"/>
      <c r="N688" s="766"/>
    </row>
    <row r="689" spans="1:14">
      <c r="A689" s="123">
        <v>8</v>
      </c>
      <c r="B689" s="76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62"/>
      <c r="C690" s="148" t="s">
        <v>2730</v>
      </c>
      <c r="D690" s="765" t="s">
        <v>306</v>
      </c>
      <c r="E690" s="765" t="s">
        <v>322</v>
      </c>
      <c r="F690" s="765" t="s">
        <v>307</v>
      </c>
      <c r="G690" s="767" t="s">
        <v>2731</v>
      </c>
      <c r="H690" s="765" t="s">
        <v>640</v>
      </c>
      <c r="I690" s="767" t="s">
        <v>668</v>
      </c>
      <c r="J690" s="765" t="s">
        <v>349</v>
      </c>
      <c r="K690" s="806" t="s">
        <v>2732</v>
      </c>
      <c r="L690" s="765"/>
      <c r="M690" s="775" t="s">
        <v>2769</v>
      </c>
      <c r="N690" s="765" t="s">
        <v>425</v>
      </c>
    </row>
    <row r="691" spans="1:14">
      <c r="A691" s="123">
        <v>8</v>
      </c>
      <c r="B691" s="763"/>
      <c r="C691" s="148" t="s">
        <v>2723</v>
      </c>
      <c r="D691" s="766"/>
      <c r="E691" s="766"/>
      <c r="F691" s="766"/>
      <c r="G691" s="768"/>
      <c r="H691" s="766"/>
      <c r="I691" s="768"/>
      <c r="J691" s="766"/>
      <c r="K691" s="807"/>
      <c r="L691" s="766"/>
      <c r="M691" s="776"/>
      <c r="N691" s="766"/>
    </row>
    <row r="692" spans="1:14">
      <c r="A692" s="123">
        <v>8</v>
      </c>
      <c r="B692" s="76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62"/>
      <c r="C693" s="765" t="s">
        <v>2768</v>
      </c>
      <c r="D693" s="765" t="s">
        <v>311</v>
      </c>
      <c r="E693" s="765" t="s">
        <v>675</v>
      </c>
      <c r="F693" s="149" t="s">
        <v>1806</v>
      </c>
      <c r="G693" s="767" t="s">
        <v>689</v>
      </c>
      <c r="H693" s="767" t="s">
        <v>662</v>
      </c>
      <c r="I693" s="767" t="s">
        <v>2739</v>
      </c>
      <c r="J693" s="767"/>
      <c r="K693" s="767" t="s">
        <v>698</v>
      </c>
      <c r="L693" s="765" t="s">
        <v>309</v>
      </c>
      <c r="M693" s="775" t="s">
        <v>672</v>
      </c>
      <c r="N693" s="765" t="s">
        <v>2740</v>
      </c>
    </row>
    <row r="694" spans="1:14">
      <c r="A694" s="123">
        <v>8</v>
      </c>
      <c r="B694" s="763"/>
      <c r="C694" s="766"/>
      <c r="D694" s="766"/>
      <c r="E694" s="766"/>
      <c r="F694" s="149" t="s">
        <v>2738</v>
      </c>
      <c r="G694" s="768"/>
      <c r="H694" s="768"/>
      <c r="I694" s="768"/>
      <c r="J694" s="768"/>
      <c r="K694" s="768"/>
      <c r="L694" s="766"/>
      <c r="M694" s="776"/>
      <c r="N694" s="782"/>
    </row>
    <row r="695" spans="1:14">
      <c r="A695" s="123">
        <v>9</v>
      </c>
      <c r="B695" s="76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6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62"/>
      <c r="C697" s="243" t="s">
        <v>2745</v>
      </c>
      <c r="D697" s="796" t="s">
        <v>306</v>
      </c>
      <c r="E697" s="796" t="s">
        <v>322</v>
      </c>
      <c r="F697" s="796" t="s">
        <v>307</v>
      </c>
      <c r="G697" s="798" t="s">
        <v>2746</v>
      </c>
      <c r="H697" s="796" t="s">
        <v>405</v>
      </c>
      <c r="I697" s="798" t="s">
        <v>2747</v>
      </c>
      <c r="J697" s="796" t="s">
        <v>664</v>
      </c>
      <c r="K697" s="802" t="s">
        <v>1757</v>
      </c>
      <c r="L697" s="796"/>
      <c r="M697" s="794">
        <v>750000</v>
      </c>
      <c r="N697" s="796" t="s">
        <v>665</v>
      </c>
    </row>
    <row r="698" spans="1:14">
      <c r="A698" s="123">
        <v>9</v>
      </c>
      <c r="B698" s="762"/>
      <c r="C698" s="243" t="s">
        <v>2748</v>
      </c>
      <c r="D698" s="797"/>
      <c r="E698" s="797"/>
      <c r="F698" s="797"/>
      <c r="G698" s="799"/>
      <c r="H698" s="797"/>
      <c r="I698" s="799"/>
      <c r="J698" s="797"/>
      <c r="K698" s="803"/>
      <c r="L698" s="797"/>
      <c r="M698" s="795"/>
      <c r="N698" s="797"/>
    </row>
    <row r="699" spans="1:14">
      <c r="A699" s="123">
        <v>9</v>
      </c>
      <c r="B699" s="762"/>
      <c r="C699" s="243" t="s">
        <v>2745</v>
      </c>
      <c r="D699" s="796" t="s">
        <v>306</v>
      </c>
      <c r="E699" s="796" t="s">
        <v>322</v>
      </c>
      <c r="F699" s="796" t="s">
        <v>307</v>
      </c>
      <c r="G699" s="798" t="s">
        <v>2749</v>
      </c>
      <c r="H699" s="796" t="s">
        <v>662</v>
      </c>
      <c r="I699" s="798" t="s">
        <v>668</v>
      </c>
      <c r="J699" s="796" t="s">
        <v>349</v>
      </c>
      <c r="K699" s="800" t="s">
        <v>2732</v>
      </c>
      <c r="L699" s="796"/>
      <c r="M699" s="794">
        <v>1000000</v>
      </c>
      <c r="N699" s="796" t="s">
        <v>425</v>
      </c>
    </row>
    <row r="700" spans="1:14">
      <c r="A700" s="123">
        <v>9</v>
      </c>
      <c r="B700" s="762"/>
      <c r="C700" s="243" t="s">
        <v>2750</v>
      </c>
      <c r="D700" s="797"/>
      <c r="E700" s="797"/>
      <c r="F700" s="797"/>
      <c r="G700" s="799"/>
      <c r="H700" s="797"/>
      <c r="I700" s="799"/>
      <c r="J700" s="797"/>
      <c r="K700" s="801"/>
      <c r="L700" s="797"/>
      <c r="M700" s="795"/>
      <c r="N700" s="797"/>
    </row>
    <row r="701" spans="1:14">
      <c r="A701" s="123">
        <v>9</v>
      </c>
      <c r="B701" s="76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6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6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6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6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6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6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6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6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6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6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6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6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6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6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6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6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6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6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6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6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6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6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6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6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6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62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6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6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6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6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792" t="s">
        <v>2821</v>
      </c>
    </row>
    <row r="734" spans="1:14" ht="27">
      <c r="A734" s="123">
        <v>15</v>
      </c>
      <c r="B734" s="76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793"/>
    </row>
    <row r="735" spans="1:14">
      <c r="A735" s="123">
        <v>15</v>
      </c>
      <c r="B735" s="76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6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6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6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6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6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6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6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6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6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40.5">
      <c r="A745" s="231">
        <v>16</v>
      </c>
      <c r="B745" s="763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6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6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6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6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6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61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6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6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6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6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6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6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6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6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6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6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6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6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6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6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6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6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6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63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6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6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6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6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6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6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6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6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6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6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6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6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6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6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6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6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6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6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6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6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6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6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8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8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8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6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6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6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6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6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61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62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62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63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6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6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6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6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6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6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6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6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6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6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6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6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6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6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6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6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6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6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6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6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6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6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6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6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6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6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6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6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61" t="s">
        <v>3097</v>
      </c>
      <c r="C835" s="148" t="s">
        <v>3079</v>
      </c>
      <c r="D835" s="765" t="s">
        <v>306</v>
      </c>
      <c r="E835" s="765" t="s">
        <v>322</v>
      </c>
      <c r="F835" s="765" t="s">
        <v>307</v>
      </c>
      <c r="G835" s="767" t="s">
        <v>3051</v>
      </c>
      <c r="H835" s="765" t="s">
        <v>1993</v>
      </c>
      <c r="I835" s="767" t="s">
        <v>3052</v>
      </c>
      <c r="J835" s="765" t="s">
        <v>664</v>
      </c>
      <c r="K835" s="148" t="s">
        <v>3081</v>
      </c>
      <c r="L835" s="765"/>
      <c r="M835" s="784" t="s">
        <v>3082</v>
      </c>
      <c r="N835" s="148" t="s">
        <v>3083</v>
      </c>
    </row>
    <row r="836" spans="1:14">
      <c r="A836" s="123">
        <v>29</v>
      </c>
      <c r="B836" s="762"/>
      <c r="C836" s="148" t="s">
        <v>3080</v>
      </c>
      <c r="D836" s="782"/>
      <c r="E836" s="782"/>
      <c r="F836" s="782"/>
      <c r="G836" s="783"/>
      <c r="H836" s="782"/>
      <c r="I836" s="783"/>
      <c r="J836" s="782"/>
      <c r="K836" s="148" t="s">
        <v>707</v>
      </c>
      <c r="L836" s="782"/>
      <c r="M836" s="785"/>
      <c r="N836" s="148"/>
    </row>
    <row r="837" spans="1:14">
      <c r="A837" s="123">
        <v>29</v>
      </c>
      <c r="B837" s="762"/>
      <c r="C837" s="148"/>
      <c r="D837" s="766"/>
      <c r="E837" s="766"/>
      <c r="F837" s="766"/>
      <c r="G837" s="768"/>
      <c r="H837" s="766"/>
      <c r="I837" s="768"/>
      <c r="J837" s="766"/>
      <c r="K837" s="148"/>
      <c r="L837" s="766"/>
      <c r="M837" s="786"/>
      <c r="N837" s="148" t="s">
        <v>3084</v>
      </c>
    </row>
    <row r="838" spans="1:14">
      <c r="A838" s="123">
        <v>29</v>
      </c>
      <c r="B838" s="76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6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61" t="s">
        <v>21</v>
      </c>
      <c r="C840" s="111" t="s">
        <v>3087</v>
      </c>
      <c r="D840" s="765" t="s">
        <v>311</v>
      </c>
      <c r="E840" s="765" t="s">
        <v>320</v>
      </c>
      <c r="F840" s="767" t="s">
        <v>2601</v>
      </c>
      <c r="G840" s="767" t="s">
        <v>3059</v>
      </c>
      <c r="H840" s="767" t="s">
        <v>3060</v>
      </c>
      <c r="I840" s="767" t="s">
        <v>3061</v>
      </c>
      <c r="J840" s="767" t="s">
        <v>702</v>
      </c>
      <c r="K840" s="767" t="s">
        <v>3062</v>
      </c>
      <c r="L840" s="765" t="s">
        <v>309</v>
      </c>
      <c r="M840" s="784" t="s">
        <v>1816</v>
      </c>
      <c r="N840" s="765" t="s">
        <v>3088</v>
      </c>
    </row>
    <row r="841" spans="1:14">
      <c r="A841" s="123">
        <v>29</v>
      </c>
      <c r="B841" s="762"/>
      <c r="C841" s="111" t="s">
        <v>3065</v>
      </c>
      <c r="D841" s="766"/>
      <c r="E841" s="766"/>
      <c r="F841" s="768"/>
      <c r="G841" s="768"/>
      <c r="H841" s="768"/>
      <c r="I841" s="768"/>
      <c r="J841" s="768"/>
      <c r="K841" s="768"/>
      <c r="L841" s="766"/>
      <c r="M841" s="786"/>
      <c r="N841" s="766"/>
    </row>
    <row r="842" spans="1:14">
      <c r="A842" s="123">
        <v>29</v>
      </c>
      <c r="B842" s="76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6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62"/>
      <c r="C844" s="111" t="s">
        <v>3079</v>
      </c>
      <c r="D844" s="765" t="s">
        <v>311</v>
      </c>
      <c r="E844" s="765" t="s">
        <v>320</v>
      </c>
      <c r="F844" s="767" t="s">
        <v>3068</v>
      </c>
      <c r="G844" s="767" t="s">
        <v>1919</v>
      </c>
      <c r="H844" s="767" t="s">
        <v>3069</v>
      </c>
      <c r="I844" s="149" t="s">
        <v>3090</v>
      </c>
      <c r="J844" s="767"/>
      <c r="K844" s="767" t="s">
        <v>3070</v>
      </c>
      <c r="L844" s="765" t="s">
        <v>309</v>
      </c>
      <c r="M844" s="790" t="s">
        <v>3092</v>
      </c>
      <c r="N844" s="765" t="s">
        <v>1206</v>
      </c>
    </row>
    <row r="845" spans="1:14">
      <c r="A845" s="123">
        <v>29</v>
      </c>
      <c r="B845" s="762"/>
      <c r="C845" s="111" t="s">
        <v>3089</v>
      </c>
      <c r="D845" s="766"/>
      <c r="E845" s="766"/>
      <c r="F845" s="768"/>
      <c r="G845" s="768"/>
      <c r="H845" s="768"/>
      <c r="I845" s="149" t="s">
        <v>3091</v>
      </c>
      <c r="J845" s="768"/>
      <c r="K845" s="768"/>
      <c r="L845" s="766"/>
      <c r="M845" s="791"/>
      <c r="N845" s="766"/>
    </row>
    <row r="846" spans="1:14">
      <c r="A846" s="123">
        <v>29</v>
      </c>
      <c r="B846" s="762"/>
      <c r="C846" s="111" t="s">
        <v>3079</v>
      </c>
      <c r="D846" s="765" t="s">
        <v>311</v>
      </c>
      <c r="E846" s="765" t="s">
        <v>320</v>
      </c>
      <c r="F846" s="767" t="s">
        <v>2601</v>
      </c>
      <c r="G846" s="767" t="s">
        <v>3059</v>
      </c>
      <c r="H846" s="767" t="s">
        <v>3060</v>
      </c>
      <c r="I846" s="767" t="s">
        <v>3071</v>
      </c>
      <c r="J846" s="767" t="s">
        <v>702</v>
      </c>
      <c r="K846" s="767" t="s">
        <v>1054</v>
      </c>
      <c r="L846" s="765" t="s">
        <v>309</v>
      </c>
      <c r="M846" s="784" t="s">
        <v>3094</v>
      </c>
      <c r="N846" s="765" t="s">
        <v>3095</v>
      </c>
    </row>
    <row r="847" spans="1:14">
      <c r="A847" s="123">
        <v>29</v>
      </c>
      <c r="B847" s="762"/>
      <c r="C847" s="111"/>
      <c r="D847" s="782"/>
      <c r="E847" s="782"/>
      <c r="F847" s="783"/>
      <c r="G847" s="783"/>
      <c r="H847" s="783"/>
      <c r="I847" s="783"/>
      <c r="J847" s="783"/>
      <c r="K847" s="783"/>
      <c r="L847" s="782"/>
      <c r="M847" s="785"/>
      <c r="N847" s="782"/>
    </row>
    <row r="848" spans="1:14">
      <c r="A848" s="123">
        <v>29</v>
      </c>
      <c r="B848" s="762"/>
      <c r="C848" s="111" t="s">
        <v>3093</v>
      </c>
      <c r="D848" s="766"/>
      <c r="E848" s="766"/>
      <c r="F848" s="768"/>
      <c r="G848" s="768"/>
      <c r="H848" s="768"/>
      <c r="I848" s="768"/>
      <c r="J848" s="768"/>
      <c r="K848" s="768"/>
      <c r="L848" s="766"/>
      <c r="M848" s="786"/>
      <c r="N848" s="766"/>
    </row>
    <row r="849" spans="1:14">
      <c r="A849" s="123">
        <v>29</v>
      </c>
      <c r="B849" s="762"/>
      <c r="C849" s="111" t="s">
        <v>3096</v>
      </c>
      <c r="D849" s="765" t="s">
        <v>311</v>
      </c>
      <c r="E849" s="765" t="s">
        <v>320</v>
      </c>
      <c r="F849" s="767" t="s">
        <v>337</v>
      </c>
      <c r="G849" s="767" t="s">
        <v>3072</v>
      </c>
      <c r="H849" s="767" t="s">
        <v>354</v>
      </c>
      <c r="I849" s="767" t="s">
        <v>310</v>
      </c>
      <c r="J849" s="767" t="s">
        <v>638</v>
      </c>
      <c r="K849" s="767" t="s">
        <v>3073</v>
      </c>
      <c r="L849" s="765" t="s">
        <v>309</v>
      </c>
      <c r="M849" s="784" t="s">
        <v>1816</v>
      </c>
      <c r="N849" s="765" t="s">
        <v>3095</v>
      </c>
    </row>
    <row r="850" spans="1:14">
      <c r="A850" s="123">
        <v>29</v>
      </c>
      <c r="B850" s="763"/>
      <c r="C850" s="111" t="s">
        <v>3089</v>
      </c>
      <c r="D850" s="766"/>
      <c r="E850" s="766"/>
      <c r="F850" s="768"/>
      <c r="G850" s="768"/>
      <c r="H850" s="768"/>
      <c r="I850" s="768"/>
      <c r="J850" s="768"/>
      <c r="K850" s="768"/>
      <c r="L850" s="766"/>
      <c r="M850" s="786"/>
      <c r="N850" s="766"/>
    </row>
    <row r="851" spans="1:14">
      <c r="A851" s="123">
        <v>30</v>
      </c>
      <c r="B851" s="77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77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778"/>
      <c r="C853" s="148" t="s">
        <v>3106</v>
      </c>
      <c r="D853" s="765" t="s">
        <v>306</v>
      </c>
      <c r="E853" s="765" t="s">
        <v>322</v>
      </c>
      <c r="F853" s="765" t="s">
        <v>307</v>
      </c>
      <c r="G853" s="767" t="s">
        <v>3051</v>
      </c>
      <c r="H853" s="765" t="s">
        <v>1993</v>
      </c>
      <c r="I853" s="767" t="s">
        <v>3108</v>
      </c>
      <c r="J853" s="765" t="s">
        <v>664</v>
      </c>
      <c r="K853" s="148" t="s">
        <v>3109</v>
      </c>
      <c r="L853" s="765"/>
      <c r="M853" s="775" t="s">
        <v>3110</v>
      </c>
      <c r="N853" s="765" t="s">
        <v>665</v>
      </c>
    </row>
    <row r="854" spans="1:14">
      <c r="A854" s="123">
        <v>30</v>
      </c>
      <c r="B854" s="778"/>
      <c r="C854" s="148" t="s">
        <v>3107</v>
      </c>
      <c r="D854" s="766"/>
      <c r="E854" s="766"/>
      <c r="F854" s="766"/>
      <c r="G854" s="768"/>
      <c r="H854" s="766"/>
      <c r="I854" s="768"/>
      <c r="J854" s="766"/>
      <c r="K854" s="148" t="s">
        <v>655</v>
      </c>
      <c r="L854" s="766"/>
      <c r="M854" s="776"/>
      <c r="N854" s="766"/>
    </row>
    <row r="855" spans="1:14">
      <c r="A855" s="123">
        <v>30</v>
      </c>
      <c r="B855" s="77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61" t="s">
        <v>3116</v>
      </c>
      <c r="C856" s="780" t="s">
        <v>3117</v>
      </c>
      <c r="D856" s="765" t="s">
        <v>311</v>
      </c>
      <c r="E856" s="765" t="s">
        <v>320</v>
      </c>
      <c r="F856" s="767" t="s">
        <v>2601</v>
      </c>
      <c r="G856" s="767" t="s">
        <v>2749</v>
      </c>
      <c r="H856" s="767" t="s">
        <v>347</v>
      </c>
      <c r="I856" s="767" t="s">
        <v>3118</v>
      </c>
      <c r="J856" s="767" t="s">
        <v>638</v>
      </c>
      <c r="K856" s="767" t="s">
        <v>698</v>
      </c>
      <c r="L856" s="765" t="s">
        <v>309</v>
      </c>
      <c r="M856" s="775" t="s">
        <v>1810</v>
      </c>
      <c r="N856" s="148" t="s">
        <v>3119</v>
      </c>
    </row>
    <row r="857" spans="1:14">
      <c r="A857" s="123">
        <v>30</v>
      </c>
      <c r="B857" s="762"/>
      <c r="C857" s="781"/>
      <c r="D857" s="766"/>
      <c r="E857" s="766"/>
      <c r="F857" s="768"/>
      <c r="G857" s="768"/>
      <c r="H857" s="768"/>
      <c r="I857" s="768"/>
      <c r="J857" s="768"/>
      <c r="K857" s="768"/>
      <c r="L857" s="766"/>
      <c r="M857" s="776"/>
      <c r="N857" s="148" t="s">
        <v>3120</v>
      </c>
    </row>
    <row r="858" spans="1:14" ht="16.5" customHeight="1">
      <c r="A858" s="123">
        <v>30</v>
      </c>
      <c r="B858" s="762"/>
      <c r="C858" s="780" t="s">
        <v>3117</v>
      </c>
      <c r="D858" s="765" t="s">
        <v>311</v>
      </c>
      <c r="E858" s="765" t="s">
        <v>320</v>
      </c>
      <c r="F858" s="767" t="s">
        <v>709</v>
      </c>
      <c r="G858" s="149" t="s">
        <v>3121</v>
      </c>
      <c r="H858" s="767" t="s">
        <v>640</v>
      </c>
      <c r="I858" s="767" t="s">
        <v>3122</v>
      </c>
      <c r="J858" s="767"/>
      <c r="K858" s="767" t="s">
        <v>692</v>
      </c>
      <c r="L858" s="765" t="s">
        <v>309</v>
      </c>
      <c r="M858" s="775" t="s">
        <v>1535</v>
      </c>
      <c r="N858" s="765" t="s">
        <v>1772</v>
      </c>
    </row>
    <row r="859" spans="1:14">
      <c r="A859" s="123">
        <v>30</v>
      </c>
      <c r="B859" s="762"/>
      <c r="C859" s="781"/>
      <c r="D859" s="766"/>
      <c r="E859" s="766"/>
      <c r="F859" s="768"/>
      <c r="G859" s="149">
        <v>2651</v>
      </c>
      <c r="H859" s="768"/>
      <c r="I859" s="768"/>
      <c r="J859" s="768"/>
      <c r="K859" s="768"/>
      <c r="L859" s="766"/>
      <c r="M859" s="776"/>
      <c r="N859" s="766"/>
    </row>
    <row r="860" spans="1:14">
      <c r="A860" s="123">
        <v>30</v>
      </c>
      <c r="B860" s="762"/>
      <c r="C860" s="780" t="s">
        <v>3123</v>
      </c>
      <c r="D860" s="765" t="s">
        <v>311</v>
      </c>
      <c r="E860" s="765" t="s">
        <v>320</v>
      </c>
      <c r="F860" s="767" t="s">
        <v>720</v>
      </c>
      <c r="G860" s="767" t="s">
        <v>1756</v>
      </c>
      <c r="H860" s="767" t="s">
        <v>347</v>
      </c>
      <c r="I860" s="149" t="s">
        <v>3124</v>
      </c>
      <c r="J860" s="767"/>
      <c r="K860" s="767" t="s">
        <v>3126</v>
      </c>
      <c r="L860" s="765" t="s">
        <v>309</v>
      </c>
      <c r="M860" s="775" t="s">
        <v>1933</v>
      </c>
      <c r="N860" s="765" t="s">
        <v>1206</v>
      </c>
    </row>
    <row r="861" spans="1:14">
      <c r="A861" s="123">
        <v>30</v>
      </c>
      <c r="B861" s="762"/>
      <c r="C861" s="781"/>
      <c r="D861" s="766"/>
      <c r="E861" s="766"/>
      <c r="F861" s="768"/>
      <c r="G861" s="768"/>
      <c r="H861" s="768"/>
      <c r="I861" s="149" t="s">
        <v>3125</v>
      </c>
      <c r="J861" s="768"/>
      <c r="K861" s="768"/>
      <c r="L861" s="766"/>
      <c r="M861" s="776"/>
      <c r="N861" s="766"/>
    </row>
    <row r="862" spans="1:14">
      <c r="A862" s="123">
        <v>30</v>
      </c>
      <c r="B862" s="762"/>
      <c r="C862" s="111" t="s">
        <v>3127</v>
      </c>
      <c r="D862" s="765" t="s">
        <v>311</v>
      </c>
      <c r="E862" s="765" t="s">
        <v>320</v>
      </c>
      <c r="F862" s="767" t="s">
        <v>690</v>
      </c>
      <c r="G862" s="767" t="s">
        <v>3066</v>
      </c>
      <c r="H862" s="767" t="s">
        <v>354</v>
      </c>
      <c r="I862" s="767" t="s">
        <v>3129</v>
      </c>
      <c r="J862" s="767" t="s">
        <v>638</v>
      </c>
      <c r="K862" s="767" t="s">
        <v>655</v>
      </c>
      <c r="L862" s="765" t="s">
        <v>309</v>
      </c>
      <c r="M862" s="775" t="s">
        <v>1535</v>
      </c>
      <c r="N862" s="765" t="s">
        <v>1206</v>
      </c>
    </row>
    <row r="863" spans="1:14">
      <c r="A863" s="123">
        <v>30</v>
      </c>
      <c r="B863" s="762"/>
      <c r="C863" s="111" t="s">
        <v>3128</v>
      </c>
      <c r="D863" s="766"/>
      <c r="E863" s="766"/>
      <c r="F863" s="768"/>
      <c r="G863" s="768"/>
      <c r="H863" s="768"/>
      <c r="I863" s="768"/>
      <c r="J863" s="768"/>
      <c r="K863" s="768"/>
      <c r="L863" s="766"/>
      <c r="M863" s="776"/>
      <c r="N863" s="766"/>
    </row>
    <row r="864" spans="1:14">
      <c r="A864" s="123">
        <v>30</v>
      </c>
      <c r="B864" s="762"/>
      <c r="C864" s="111" t="s">
        <v>3130</v>
      </c>
      <c r="D864" s="765" t="s">
        <v>311</v>
      </c>
      <c r="E864" s="765" t="s">
        <v>320</v>
      </c>
      <c r="F864" s="767" t="s">
        <v>337</v>
      </c>
      <c r="G864" s="767" t="s">
        <v>3072</v>
      </c>
      <c r="H864" s="767" t="s">
        <v>354</v>
      </c>
      <c r="I864" s="767" t="s">
        <v>3131</v>
      </c>
      <c r="J864" s="767" t="s">
        <v>638</v>
      </c>
      <c r="K864" s="767" t="s">
        <v>713</v>
      </c>
      <c r="L864" s="765" t="s">
        <v>309</v>
      </c>
      <c r="M864" s="775" t="s">
        <v>1810</v>
      </c>
      <c r="N864" s="765" t="s">
        <v>1206</v>
      </c>
    </row>
    <row r="865" spans="1:14">
      <c r="A865" s="123">
        <v>30</v>
      </c>
      <c r="B865" s="762"/>
      <c r="C865" s="111" t="s">
        <v>3107</v>
      </c>
      <c r="D865" s="766"/>
      <c r="E865" s="766"/>
      <c r="F865" s="768"/>
      <c r="G865" s="768"/>
      <c r="H865" s="768"/>
      <c r="I865" s="768"/>
      <c r="J865" s="768"/>
      <c r="K865" s="768"/>
      <c r="L865" s="766"/>
      <c r="M865" s="776"/>
      <c r="N865" s="766"/>
    </row>
    <row r="866" spans="1:14" ht="25.5">
      <c r="A866" s="123">
        <v>30</v>
      </c>
      <c r="B866" s="76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62"/>
      <c r="C867" s="780" t="s">
        <v>3111</v>
      </c>
      <c r="D867" s="765" t="s">
        <v>311</v>
      </c>
      <c r="E867" s="765" t="s">
        <v>675</v>
      </c>
      <c r="F867" s="767" t="s">
        <v>660</v>
      </c>
      <c r="G867" s="767" t="s">
        <v>661</v>
      </c>
      <c r="H867" s="767" t="s">
        <v>662</v>
      </c>
      <c r="I867" s="149" t="s">
        <v>3134</v>
      </c>
      <c r="J867" s="767" t="s">
        <v>638</v>
      </c>
      <c r="K867" s="767" t="s">
        <v>731</v>
      </c>
      <c r="L867" s="765" t="s">
        <v>309</v>
      </c>
      <c r="M867" s="775" t="s">
        <v>1828</v>
      </c>
      <c r="N867" s="765" t="s">
        <v>3136</v>
      </c>
    </row>
    <row r="868" spans="1:14">
      <c r="A868" s="123">
        <v>30</v>
      </c>
      <c r="B868" s="763"/>
      <c r="C868" s="781"/>
      <c r="D868" s="766"/>
      <c r="E868" s="766"/>
      <c r="F868" s="768"/>
      <c r="G868" s="768"/>
      <c r="H868" s="768"/>
      <c r="I868" s="149" t="s">
        <v>3135</v>
      </c>
      <c r="J868" s="768"/>
      <c r="K868" s="768"/>
      <c r="L868" s="766"/>
      <c r="M868" s="776"/>
      <c r="N868" s="766"/>
    </row>
    <row r="869" spans="1:14">
      <c r="A869" s="123">
        <v>31</v>
      </c>
      <c r="B869" s="76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62"/>
      <c r="C870" s="148" t="s">
        <v>3140</v>
      </c>
      <c r="D870" s="765" t="s">
        <v>306</v>
      </c>
      <c r="E870" s="765" t="s">
        <v>322</v>
      </c>
      <c r="F870" s="765" t="s">
        <v>307</v>
      </c>
      <c r="G870" s="767">
        <v>1566</v>
      </c>
      <c r="H870" s="765" t="s">
        <v>1911</v>
      </c>
      <c r="I870" s="767" t="s">
        <v>3142</v>
      </c>
      <c r="J870" s="765" t="s">
        <v>664</v>
      </c>
      <c r="K870" s="765" t="s">
        <v>3143</v>
      </c>
      <c r="L870" s="765"/>
      <c r="M870" s="775" t="s">
        <v>3144</v>
      </c>
      <c r="N870" s="765" t="s">
        <v>665</v>
      </c>
    </row>
    <row r="871" spans="1:14">
      <c r="A871" s="123">
        <v>31</v>
      </c>
      <c r="B871" s="762"/>
      <c r="C871" s="148" t="s">
        <v>3141</v>
      </c>
      <c r="D871" s="766"/>
      <c r="E871" s="766"/>
      <c r="F871" s="766"/>
      <c r="G871" s="768"/>
      <c r="H871" s="766"/>
      <c r="I871" s="768"/>
      <c r="J871" s="766"/>
      <c r="K871" s="766"/>
      <c r="L871" s="766"/>
      <c r="M871" s="776"/>
      <c r="N871" s="766"/>
    </row>
    <row r="872" spans="1:14">
      <c r="A872" s="123">
        <v>31</v>
      </c>
      <c r="B872" s="76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62"/>
      <c r="C873" s="392" t="s">
        <v>3140</v>
      </c>
      <c r="D873" s="765" t="s">
        <v>306</v>
      </c>
      <c r="E873" s="765" t="s">
        <v>322</v>
      </c>
      <c r="F873" s="765" t="s">
        <v>307</v>
      </c>
      <c r="G873" s="767" t="s">
        <v>3147</v>
      </c>
      <c r="H873" s="765" t="s">
        <v>3148</v>
      </c>
      <c r="I873" s="767" t="s">
        <v>332</v>
      </c>
      <c r="J873" s="765" t="s">
        <v>1534</v>
      </c>
      <c r="K873" s="765" t="s">
        <v>1157</v>
      </c>
      <c r="L873" s="765"/>
      <c r="M873" s="775" t="s">
        <v>3149</v>
      </c>
      <c r="N873" s="765" t="s">
        <v>425</v>
      </c>
    </row>
    <row r="874" spans="1:14">
      <c r="A874" s="123">
        <v>31</v>
      </c>
      <c r="B874" s="763"/>
      <c r="C874" s="392" t="s">
        <v>3146</v>
      </c>
      <c r="D874" s="766"/>
      <c r="E874" s="766"/>
      <c r="F874" s="766"/>
      <c r="G874" s="768"/>
      <c r="H874" s="766"/>
      <c r="I874" s="768"/>
      <c r="J874" s="766"/>
      <c r="K874" s="766"/>
      <c r="L874" s="766"/>
      <c r="M874" s="776"/>
      <c r="N874" s="766"/>
    </row>
    <row r="875" spans="1:14">
      <c r="A875" s="123">
        <v>31</v>
      </c>
      <c r="B875" s="76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62"/>
      <c r="C876" s="765" t="s">
        <v>3128</v>
      </c>
      <c r="D876" s="765" t="s">
        <v>311</v>
      </c>
      <c r="E876" s="765" t="s">
        <v>675</v>
      </c>
      <c r="F876" s="767" t="s">
        <v>660</v>
      </c>
      <c r="G876" s="767" t="s">
        <v>661</v>
      </c>
      <c r="H876" s="767" t="s">
        <v>662</v>
      </c>
      <c r="I876" s="149" t="s">
        <v>3134</v>
      </c>
      <c r="J876" s="767"/>
      <c r="K876" s="767" t="s">
        <v>698</v>
      </c>
      <c r="L876" s="765" t="s">
        <v>309</v>
      </c>
      <c r="M876" s="775" t="s">
        <v>3139</v>
      </c>
      <c r="N876" s="765" t="s">
        <v>3152</v>
      </c>
    </row>
    <row r="877" spans="1:14">
      <c r="A877" s="123">
        <v>31</v>
      </c>
      <c r="B877" s="762"/>
      <c r="C877" s="766"/>
      <c r="D877" s="766"/>
      <c r="E877" s="766"/>
      <c r="F877" s="768"/>
      <c r="G877" s="768"/>
      <c r="H877" s="768"/>
      <c r="I877" s="149" t="s">
        <v>3135</v>
      </c>
      <c r="J877" s="768"/>
      <c r="K877" s="768"/>
      <c r="L877" s="766"/>
      <c r="M877" s="776"/>
      <c r="N877" s="766"/>
    </row>
    <row r="878" spans="1:14" ht="16.5" customHeight="1">
      <c r="A878" s="123">
        <v>31</v>
      </c>
      <c r="B878" s="762"/>
      <c r="C878" s="148" t="s">
        <v>3153</v>
      </c>
      <c r="D878" s="765" t="s">
        <v>311</v>
      </c>
      <c r="E878" s="765" t="s">
        <v>320</v>
      </c>
      <c r="F878" s="767" t="s">
        <v>3068</v>
      </c>
      <c r="G878" s="767" t="s">
        <v>1919</v>
      </c>
      <c r="H878" s="767" t="s">
        <v>3069</v>
      </c>
      <c r="I878" s="767" t="s">
        <v>3154</v>
      </c>
      <c r="J878" s="767"/>
      <c r="K878" s="767" t="s">
        <v>3155</v>
      </c>
      <c r="L878" s="765" t="s">
        <v>309</v>
      </c>
      <c r="M878" s="775" t="s">
        <v>3156</v>
      </c>
      <c r="N878" s="765" t="s">
        <v>3151</v>
      </c>
    </row>
    <row r="879" spans="1:14">
      <c r="A879" s="123">
        <v>31</v>
      </c>
      <c r="B879" s="762"/>
      <c r="C879" s="148" t="s">
        <v>3111</v>
      </c>
      <c r="D879" s="766"/>
      <c r="E879" s="766"/>
      <c r="F879" s="768"/>
      <c r="G879" s="768"/>
      <c r="H879" s="768"/>
      <c r="I879" s="768"/>
      <c r="J879" s="768"/>
      <c r="K879" s="768"/>
      <c r="L879" s="766"/>
      <c r="M879" s="776"/>
      <c r="N879" s="766"/>
    </row>
    <row r="880" spans="1:14">
      <c r="A880" s="123">
        <v>31</v>
      </c>
      <c r="B880" s="76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62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6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62"/>
      <c r="C883" s="111" t="s">
        <v>3166</v>
      </c>
      <c r="D883" s="765" t="s">
        <v>311</v>
      </c>
      <c r="E883" s="765" t="s">
        <v>320</v>
      </c>
      <c r="F883" s="767" t="s">
        <v>337</v>
      </c>
      <c r="G883" s="767" t="s">
        <v>3168</v>
      </c>
      <c r="H883" s="767" t="s">
        <v>3169</v>
      </c>
      <c r="I883" s="767" t="s">
        <v>3170</v>
      </c>
      <c r="J883" s="767" t="s">
        <v>3171</v>
      </c>
      <c r="K883" s="767" t="s">
        <v>3172</v>
      </c>
      <c r="L883" s="765" t="s">
        <v>309</v>
      </c>
      <c r="M883" s="775" t="s">
        <v>3173</v>
      </c>
      <c r="N883" s="765" t="s">
        <v>3136</v>
      </c>
    </row>
    <row r="884" spans="1:14">
      <c r="A884" s="123">
        <v>31</v>
      </c>
      <c r="B884" s="763"/>
      <c r="C884" s="111" t="s">
        <v>3167</v>
      </c>
      <c r="D884" s="766"/>
      <c r="E884" s="766"/>
      <c r="F884" s="768"/>
      <c r="G884" s="768"/>
      <c r="H884" s="768"/>
      <c r="I884" s="768"/>
      <c r="J884" s="768"/>
      <c r="K884" s="768"/>
      <c r="L884" s="766"/>
      <c r="M884" s="776"/>
      <c r="N884" s="766"/>
    </row>
    <row r="885" spans="1:14" ht="27">
      <c r="A885" s="123">
        <v>32</v>
      </c>
      <c r="B885" s="77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77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77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77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77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773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773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77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77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77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77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772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773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774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76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70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7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7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6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77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77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77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77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77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77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77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76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7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7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7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7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7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69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77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770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770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77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77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77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770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77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771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6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6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6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6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6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64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64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64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64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64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64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6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6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6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6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6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64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64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64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64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64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64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64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64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64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64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64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64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6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64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64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64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64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64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64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64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64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64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64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64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64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64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64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64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64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64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64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64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64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6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6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6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64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64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64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64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64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64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64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6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64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64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6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6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6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6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64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64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64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6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6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64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64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64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64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64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64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64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64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6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6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6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6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6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64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64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64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64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64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64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64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64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64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64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64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6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64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6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64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6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6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64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64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64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64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64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64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64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64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64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6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64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6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64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64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64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64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64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64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64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64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64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64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64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64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64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6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64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64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64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64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64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64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64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64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64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64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64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64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64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64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64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64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64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64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64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64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64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64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64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64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64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64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64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64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64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64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64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64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64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64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64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64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64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64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64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64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64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64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64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64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64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64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64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64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64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64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64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64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64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64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64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64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64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64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64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64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64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64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64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64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64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64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64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64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64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64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64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64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64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64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64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64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64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64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64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64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64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64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64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64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64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64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64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64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64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64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64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64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64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64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64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64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64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64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64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64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64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64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64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64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64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64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64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64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64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64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64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64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64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64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64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64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64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64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64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64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64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64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64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64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64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64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64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64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64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64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64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64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64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64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64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60" t="s">
        <v>4976</v>
      </c>
      <c r="C1189" s="149" t="s">
        <v>4957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4958</v>
      </c>
    </row>
    <row r="1190" spans="1:14">
      <c r="A1190" s="123">
        <v>2</v>
      </c>
      <c r="B1190" s="760"/>
      <c r="C1190" s="149" t="s">
        <v>4959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4958</v>
      </c>
    </row>
    <row r="1191" spans="1:14">
      <c r="A1191" s="123">
        <v>2</v>
      </c>
      <c r="B1191" s="760"/>
      <c r="C1191" s="149" t="s">
        <v>4960</v>
      </c>
      <c r="D1191" s="148" t="s">
        <v>306</v>
      </c>
      <c r="E1191" s="148" t="s">
        <v>322</v>
      </c>
      <c r="F1191" s="148" t="s">
        <v>307</v>
      </c>
      <c r="G1191" s="149" t="s">
        <v>4939</v>
      </c>
      <c r="H1191" s="148" t="s">
        <v>3113</v>
      </c>
      <c r="I1191" s="149" t="s">
        <v>4961</v>
      </c>
      <c r="J1191" s="148" t="s">
        <v>664</v>
      </c>
      <c r="K1191" s="148" t="s">
        <v>4962</v>
      </c>
      <c r="L1191" s="148"/>
      <c r="M1191" s="499">
        <v>1000000</v>
      </c>
      <c r="N1191" s="148"/>
    </row>
    <row r="1192" spans="1:14">
      <c r="A1192" s="123">
        <v>2</v>
      </c>
      <c r="B1192" s="760"/>
      <c r="C1192" s="149" t="s">
        <v>4963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4916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60"/>
      <c r="C1193" s="149" t="s">
        <v>4964</v>
      </c>
      <c r="D1193" s="148" t="s">
        <v>306</v>
      </c>
      <c r="E1193" s="148" t="s">
        <v>322</v>
      </c>
      <c r="F1193" s="148" t="s">
        <v>307</v>
      </c>
      <c r="G1193" s="149" t="s">
        <v>4965</v>
      </c>
      <c r="H1193" s="148" t="s">
        <v>347</v>
      </c>
      <c r="I1193" s="149" t="s">
        <v>4966</v>
      </c>
      <c r="J1193" s="148" t="s">
        <v>664</v>
      </c>
      <c r="K1193" s="148" t="s">
        <v>4944</v>
      </c>
      <c r="L1193" s="148"/>
      <c r="M1193" s="499">
        <v>750000</v>
      </c>
      <c r="N1193" s="148"/>
    </row>
    <row r="1194" spans="1:14">
      <c r="A1194" s="123">
        <v>2</v>
      </c>
      <c r="B1194" s="760"/>
      <c r="C1194" s="149" t="s">
        <v>4960</v>
      </c>
      <c r="D1194" s="148" t="s">
        <v>306</v>
      </c>
      <c r="E1194" s="148" t="s">
        <v>322</v>
      </c>
      <c r="F1194" s="148" t="s">
        <v>307</v>
      </c>
      <c r="G1194" s="149" t="s">
        <v>4967</v>
      </c>
      <c r="H1194" s="148" t="s">
        <v>4968</v>
      </c>
      <c r="I1194" s="149" t="s">
        <v>4969</v>
      </c>
      <c r="J1194" s="148" t="s">
        <v>664</v>
      </c>
      <c r="K1194" s="148" t="s">
        <v>4970</v>
      </c>
      <c r="L1194" s="148"/>
      <c r="M1194" s="499">
        <v>750000</v>
      </c>
      <c r="N1194" s="148"/>
    </row>
    <row r="1195" spans="1:14">
      <c r="A1195" s="123">
        <v>2</v>
      </c>
      <c r="B1195" s="760"/>
      <c r="C1195" s="149" t="s">
        <v>4963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4971</v>
      </c>
      <c r="J1195" s="148" t="s">
        <v>664</v>
      </c>
      <c r="K1195" s="148" t="s">
        <v>4972</v>
      </c>
      <c r="L1195" s="148"/>
      <c r="M1195" s="499">
        <v>500000</v>
      </c>
      <c r="N1195" s="148"/>
    </row>
    <row r="1196" spans="1:14">
      <c r="A1196" s="123">
        <v>2</v>
      </c>
      <c r="B1196" s="760"/>
      <c r="C1196" s="149" t="s">
        <v>4973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4974</v>
      </c>
      <c r="J1196" s="148" t="s">
        <v>664</v>
      </c>
      <c r="K1196" s="148" t="s">
        <v>4975</v>
      </c>
      <c r="L1196" s="148"/>
      <c r="M1196" s="499">
        <v>1000000</v>
      </c>
      <c r="N1196" s="148"/>
    </row>
    <row r="1197" spans="1:14">
      <c r="A1197" s="123">
        <v>2</v>
      </c>
      <c r="B1197" s="760" t="s">
        <v>21</v>
      </c>
      <c r="C1197" s="149" t="s">
        <v>4977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4978</v>
      </c>
      <c r="J1197" s="149"/>
      <c r="K1197" s="149" t="s">
        <v>4979</v>
      </c>
      <c r="L1197" s="148" t="s">
        <v>309</v>
      </c>
      <c r="M1197" s="505">
        <v>900000</v>
      </c>
      <c r="N1197" s="148" t="s">
        <v>4980</v>
      </c>
    </row>
    <row r="1198" spans="1:14">
      <c r="A1198" s="123">
        <v>2</v>
      </c>
      <c r="B1198" s="760"/>
      <c r="C1198" s="149" t="s">
        <v>4977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4981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4980</v>
      </c>
    </row>
    <row r="1199" spans="1:14">
      <c r="A1199" s="123">
        <v>2</v>
      </c>
      <c r="B1199" s="760"/>
      <c r="C1199" s="149" t="s">
        <v>4982</v>
      </c>
      <c r="D1199" s="148" t="s">
        <v>311</v>
      </c>
      <c r="E1199" s="148" t="s">
        <v>320</v>
      </c>
      <c r="F1199" s="149" t="s">
        <v>4983</v>
      </c>
      <c r="G1199" s="149">
        <v>7064</v>
      </c>
      <c r="H1199" s="149" t="s">
        <v>1238</v>
      </c>
      <c r="I1199" s="149" t="s">
        <v>4984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4980</v>
      </c>
    </row>
    <row r="1200" spans="1:14">
      <c r="A1200" s="123">
        <v>2</v>
      </c>
      <c r="B1200" s="760"/>
      <c r="C1200" s="149" t="s">
        <v>4982</v>
      </c>
      <c r="D1200" s="148" t="s">
        <v>311</v>
      </c>
      <c r="E1200" s="148" t="s">
        <v>320</v>
      </c>
      <c r="F1200" s="149" t="s">
        <v>4983</v>
      </c>
      <c r="G1200" s="149">
        <v>7064</v>
      </c>
      <c r="H1200" s="149" t="s">
        <v>1238</v>
      </c>
      <c r="I1200" s="149" t="s">
        <v>4985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4980</v>
      </c>
    </row>
    <row r="1201" spans="1:14">
      <c r="A1201" s="123">
        <v>2</v>
      </c>
      <c r="B1201" s="760"/>
      <c r="C1201" s="149" t="s">
        <v>4986</v>
      </c>
      <c r="D1201" s="148" t="s">
        <v>311</v>
      </c>
      <c r="E1201" s="148" t="s">
        <v>320</v>
      </c>
      <c r="F1201" s="149" t="s">
        <v>4987</v>
      </c>
      <c r="G1201" s="149">
        <v>1017</v>
      </c>
      <c r="H1201" s="149" t="s">
        <v>347</v>
      </c>
      <c r="I1201" s="149" t="s">
        <v>4988</v>
      </c>
      <c r="J1201" s="149"/>
      <c r="K1201" s="149" t="s">
        <v>4937</v>
      </c>
      <c r="L1201" s="148" t="s">
        <v>309</v>
      </c>
      <c r="M1201" s="505">
        <v>600000</v>
      </c>
      <c r="N1201" s="148" t="s">
        <v>4980</v>
      </c>
    </row>
    <row r="1202" spans="1:14">
      <c r="A1202" s="123">
        <v>2</v>
      </c>
      <c r="B1202" s="760"/>
      <c r="C1202" s="149" t="s">
        <v>4989</v>
      </c>
      <c r="D1202" s="148" t="s">
        <v>311</v>
      </c>
      <c r="E1202" s="148" t="s">
        <v>675</v>
      </c>
      <c r="F1202" s="149" t="s">
        <v>2601</v>
      </c>
      <c r="G1202" s="149" t="s">
        <v>4990</v>
      </c>
      <c r="H1202" s="149" t="s">
        <v>3060</v>
      </c>
      <c r="I1202" s="149" t="s">
        <v>4991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4991</v>
      </c>
    </row>
    <row r="1203" spans="1:14" ht="22.5">
      <c r="A1203" s="123">
        <v>2</v>
      </c>
      <c r="B1203" s="760"/>
      <c r="C1203" s="149" t="s">
        <v>4992</v>
      </c>
      <c r="D1203" s="148" t="s">
        <v>311</v>
      </c>
      <c r="E1203" s="148" t="s">
        <v>675</v>
      </c>
      <c r="F1203" s="489" t="s">
        <v>4993</v>
      </c>
      <c r="G1203" s="149" t="s">
        <v>4994</v>
      </c>
      <c r="H1203" s="149" t="s">
        <v>4995</v>
      </c>
      <c r="I1203" s="149" t="s">
        <v>4996</v>
      </c>
      <c r="J1203" s="149"/>
      <c r="K1203" s="149" t="s">
        <v>4997</v>
      </c>
      <c r="L1203" s="148" t="s">
        <v>309</v>
      </c>
      <c r="M1203" s="505">
        <v>1000000</v>
      </c>
      <c r="N1203" s="154" t="s">
        <v>4998</v>
      </c>
    </row>
    <row r="1204" spans="1:14">
      <c r="A1204" s="123">
        <v>2</v>
      </c>
      <c r="B1204" s="760"/>
      <c r="C1204" s="149" t="s">
        <v>4999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5000</v>
      </c>
      <c r="J1204" s="149"/>
      <c r="K1204" s="149" t="s">
        <v>5001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60"/>
      <c r="C1205" s="149" t="s">
        <v>5002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5003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60"/>
      <c r="C1206" s="149" t="s">
        <v>5004</v>
      </c>
      <c r="D1206" s="148" t="s">
        <v>311</v>
      </c>
      <c r="E1206" s="148" t="s">
        <v>320</v>
      </c>
      <c r="F1206" s="149" t="s">
        <v>690</v>
      </c>
      <c r="G1206" s="149" t="s">
        <v>5005</v>
      </c>
      <c r="H1206" s="149" t="s">
        <v>3169</v>
      </c>
      <c r="I1206" s="149" t="s">
        <v>5006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60"/>
      <c r="C1207" s="149" t="s">
        <v>5004</v>
      </c>
      <c r="D1207" s="148" t="s">
        <v>311</v>
      </c>
      <c r="E1207" s="148" t="s">
        <v>320</v>
      </c>
      <c r="F1207" s="149" t="s">
        <v>690</v>
      </c>
      <c r="G1207" s="149" t="s">
        <v>5005</v>
      </c>
      <c r="H1207" s="149" t="s">
        <v>1198</v>
      </c>
      <c r="I1207" s="149" t="s">
        <v>5007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60"/>
      <c r="C1208" s="907" t="s">
        <v>5008</v>
      </c>
      <c r="D1208" s="905" t="s">
        <v>311</v>
      </c>
      <c r="E1208" s="905" t="s">
        <v>675</v>
      </c>
      <c r="F1208" s="907" t="s">
        <v>337</v>
      </c>
      <c r="G1208" s="907" t="s">
        <v>353</v>
      </c>
      <c r="H1208" s="907" t="s">
        <v>5009</v>
      </c>
      <c r="I1208" s="490" t="s">
        <v>5010</v>
      </c>
      <c r="J1208" s="907" t="s">
        <v>638</v>
      </c>
      <c r="K1208" s="907" t="s">
        <v>713</v>
      </c>
      <c r="L1208" s="905" t="s">
        <v>309</v>
      </c>
      <c r="M1208" s="906">
        <v>250000</v>
      </c>
      <c r="N1208" s="905" t="s">
        <v>4991</v>
      </c>
    </row>
    <row r="1209" spans="1:14">
      <c r="A1209" s="123">
        <v>2</v>
      </c>
      <c r="B1209" s="760"/>
      <c r="C1209" s="907"/>
      <c r="D1209" s="905"/>
      <c r="E1209" s="905"/>
      <c r="F1209" s="907"/>
      <c r="G1209" s="907"/>
      <c r="H1209" s="907"/>
      <c r="I1209" s="490" t="s">
        <v>5011</v>
      </c>
      <c r="J1209" s="907"/>
      <c r="K1209" s="907"/>
      <c r="L1209" s="905"/>
      <c r="M1209" s="906"/>
      <c r="N1209" s="905"/>
    </row>
    <row r="1210" spans="1:14">
      <c r="A1210" s="123">
        <v>2</v>
      </c>
      <c r="B1210" s="760"/>
      <c r="C1210" s="149" t="s">
        <v>5008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5012</v>
      </c>
      <c r="J1210" s="149"/>
      <c r="K1210" s="149" t="s">
        <v>5013</v>
      </c>
      <c r="L1210" s="148" t="s">
        <v>309</v>
      </c>
      <c r="M1210" s="499">
        <v>250000</v>
      </c>
      <c r="N1210" s="148" t="s">
        <v>4991</v>
      </c>
    </row>
    <row r="1211" spans="1:14">
      <c r="A1211" s="123">
        <v>3</v>
      </c>
      <c r="B1211" s="760" t="s">
        <v>20</v>
      </c>
      <c r="C1211" s="149" t="s">
        <v>5002</v>
      </c>
      <c r="D1211" s="148" t="s">
        <v>306</v>
      </c>
      <c r="E1211" s="148" t="s">
        <v>322</v>
      </c>
      <c r="F1211" s="148" t="s">
        <v>307</v>
      </c>
      <c r="G1211" s="149" t="s">
        <v>5014</v>
      </c>
      <c r="H1211" s="149" t="s">
        <v>3169</v>
      </c>
      <c r="I1211" s="149" t="s">
        <v>5015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5016</v>
      </c>
    </row>
    <row r="1212" spans="1:14">
      <c r="A1212" s="123">
        <v>3</v>
      </c>
      <c r="B1212" s="760"/>
      <c r="C1212" s="149" t="s">
        <v>5008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5017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5016</v>
      </c>
    </row>
    <row r="1213" spans="1:14">
      <c r="A1213" s="123">
        <v>3</v>
      </c>
      <c r="B1213" s="760"/>
      <c r="C1213" s="149" t="s">
        <v>5018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5019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60"/>
      <c r="C1214" s="149" t="s">
        <v>5020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4916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60"/>
      <c r="C1215" s="149" t="s">
        <v>5021</v>
      </c>
      <c r="D1215" s="148" t="s">
        <v>306</v>
      </c>
      <c r="E1215" s="148" t="s">
        <v>322</v>
      </c>
      <c r="F1215" s="148" t="s">
        <v>307</v>
      </c>
      <c r="G1215" s="149" t="s">
        <v>4804</v>
      </c>
      <c r="H1215" s="149" t="s">
        <v>662</v>
      </c>
      <c r="I1215" s="149" t="s">
        <v>4916</v>
      </c>
      <c r="J1215" s="148" t="s">
        <v>664</v>
      </c>
      <c r="K1215" s="148" t="s">
        <v>4944</v>
      </c>
      <c r="L1215" s="148"/>
      <c r="M1215" s="499">
        <v>750000</v>
      </c>
      <c r="N1215" s="148"/>
    </row>
    <row r="1216" spans="1:14">
      <c r="A1216" s="123">
        <v>3</v>
      </c>
      <c r="B1216" s="760"/>
      <c r="C1216" s="149" t="s">
        <v>5022</v>
      </c>
      <c r="D1216" s="148" t="s">
        <v>306</v>
      </c>
      <c r="E1216" s="148" t="s">
        <v>322</v>
      </c>
      <c r="F1216" s="148" t="s">
        <v>307</v>
      </c>
      <c r="G1216" s="149" t="s">
        <v>4965</v>
      </c>
      <c r="H1216" s="148" t="s">
        <v>347</v>
      </c>
      <c r="I1216" s="149" t="s">
        <v>5019</v>
      </c>
      <c r="J1216" s="148" t="s">
        <v>664</v>
      </c>
      <c r="K1216" s="148" t="s">
        <v>4970</v>
      </c>
      <c r="L1216" s="148"/>
      <c r="M1216" s="499">
        <v>750000</v>
      </c>
      <c r="N1216" s="148"/>
    </row>
    <row r="1217" spans="1:14">
      <c r="A1217" s="123">
        <v>3</v>
      </c>
      <c r="B1217" s="760"/>
      <c r="C1217" s="149" t="s">
        <v>5023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5024</v>
      </c>
      <c r="J1217" s="148" t="s">
        <v>664</v>
      </c>
      <c r="K1217" s="148" t="s">
        <v>4972</v>
      </c>
      <c r="L1217" s="148"/>
      <c r="M1217" s="499">
        <v>500000</v>
      </c>
      <c r="N1217" s="148"/>
    </row>
    <row r="1218" spans="1:14">
      <c r="A1218" s="123">
        <v>3</v>
      </c>
      <c r="B1218" s="760" t="s">
        <v>5048</v>
      </c>
      <c r="C1218" s="149" t="s">
        <v>5002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5025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5026</v>
      </c>
    </row>
    <row r="1219" spans="1:14">
      <c r="A1219" s="123">
        <v>3</v>
      </c>
      <c r="B1219" s="760"/>
      <c r="C1219" s="149" t="s">
        <v>4963</v>
      </c>
      <c r="D1219" s="148" t="s">
        <v>311</v>
      </c>
      <c r="E1219" s="148" t="s">
        <v>320</v>
      </c>
      <c r="F1219" s="148" t="s">
        <v>4987</v>
      </c>
      <c r="G1219" s="148">
        <v>1017</v>
      </c>
      <c r="H1219" s="148" t="s">
        <v>347</v>
      </c>
      <c r="I1219" s="149" t="s">
        <v>5027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5026</v>
      </c>
    </row>
    <row r="1220" spans="1:14">
      <c r="A1220" s="123">
        <v>3</v>
      </c>
      <c r="B1220" s="760"/>
      <c r="C1220" s="149" t="s">
        <v>5028</v>
      </c>
      <c r="D1220" s="148" t="s">
        <v>311</v>
      </c>
      <c r="E1220" s="148" t="s">
        <v>675</v>
      </c>
      <c r="F1220" s="149" t="s">
        <v>5029</v>
      </c>
      <c r="G1220" s="149" t="s">
        <v>403</v>
      </c>
      <c r="H1220" s="149" t="s">
        <v>5030</v>
      </c>
      <c r="I1220" s="149" t="s">
        <v>5031</v>
      </c>
      <c r="J1220" s="149"/>
      <c r="K1220" s="149" t="s">
        <v>4937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60"/>
      <c r="C1221" s="149" t="s">
        <v>5028</v>
      </c>
      <c r="D1221" s="148" t="s">
        <v>311</v>
      </c>
      <c r="E1221" s="148" t="s">
        <v>320</v>
      </c>
      <c r="F1221" s="490" t="s">
        <v>2601</v>
      </c>
      <c r="G1221" s="149" t="s">
        <v>4990</v>
      </c>
      <c r="H1221" s="149" t="s">
        <v>3060</v>
      </c>
      <c r="I1221" s="149" t="s">
        <v>5032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5033</v>
      </c>
    </row>
    <row r="1222" spans="1:14">
      <c r="A1222" s="123">
        <v>3</v>
      </c>
      <c r="B1222" s="760"/>
      <c r="C1222" s="907" t="s">
        <v>5034</v>
      </c>
      <c r="D1222" s="905" t="s">
        <v>311</v>
      </c>
      <c r="E1222" s="905" t="s">
        <v>675</v>
      </c>
      <c r="F1222" s="149" t="s">
        <v>5035</v>
      </c>
      <c r="G1222" s="149" t="s">
        <v>5037</v>
      </c>
      <c r="H1222" s="907" t="s">
        <v>347</v>
      </c>
      <c r="I1222" s="149" t="s">
        <v>5039</v>
      </c>
      <c r="J1222" s="907"/>
      <c r="K1222" s="907" t="s">
        <v>705</v>
      </c>
      <c r="L1222" s="905" t="s">
        <v>309</v>
      </c>
      <c r="M1222" s="906">
        <v>500000</v>
      </c>
      <c r="N1222" s="905" t="s">
        <v>5033</v>
      </c>
    </row>
    <row r="1223" spans="1:14">
      <c r="A1223" s="123">
        <v>3</v>
      </c>
      <c r="B1223" s="760"/>
      <c r="C1223" s="907"/>
      <c r="D1223" s="905"/>
      <c r="E1223" s="905"/>
      <c r="F1223" s="149" t="s">
        <v>5036</v>
      </c>
      <c r="G1223" s="149" t="s">
        <v>5038</v>
      </c>
      <c r="H1223" s="907"/>
      <c r="I1223" s="149" t="s">
        <v>5040</v>
      </c>
      <c r="J1223" s="907"/>
      <c r="K1223" s="907"/>
      <c r="L1223" s="905"/>
      <c r="M1223" s="906"/>
      <c r="N1223" s="905"/>
    </row>
    <row r="1224" spans="1:14">
      <c r="A1224" s="123">
        <v>3</v>
      </c>
      <c r="B1224" s="760"/>
      <c r="C1224" s="149" t="s">
        <v>5034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5012</v>
      </c>
      <c r="J1224" s="149"/>
      <c r="K1224" s="149" t="s">
        <v>5013</v>
      </c>
      <c r="L1224" s="148" t="s">
        <v>309</v>
      </c>
      <c r="M1224" s="505">
        <v>300000</v>
      </c>
      <c r="N1224" s="148" t="s">
        <v>5033</v>
      </c>
    </row>
    <row r="1225" spans="1:14">
      <c r="A1225" s="123">
        <v>3</v>
      </c>
      <c r="B1225" s="760"/>
      <c r="C1225" s="149" t="s">
        <v>5034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5041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60"/>
      <c r="C1226" s="149" t="s">
        <v>5042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5043</v>
      </c>
      <c r="I1226" s="490" t="s">
        <v>5044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60"/>
      <c r="C1227" s="149" t="s">
        <v>5042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5045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60"/>
      <c r="C1228" s="149" t="s">
        <v>5046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5047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5033</v>
      </c>
    </row>
    <row r="1229" spans="1:14">
      <c r="A1229" s="123">
        <v>4</v>
      </c>
      <c r="B1229" s="760" t="s">
        <v>20</v>
      </c>
      <c r="C1229" s="149" t="s">
        <v>5063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5017</v>
      </c>
      <c r="J1229" s="148" t="s">
        <v>664</v>
      </c>
      <c r="K1229" s="148" t="s">
        <v>5049</v>
      </c>
      <c r="L1229" s="148"/>
      <c r="M1229" s="499">
        <v>1250000</v>
      </c>
      <c r="N1229" s="148" t="s">
        <v>5050</v>
      </c>
    </row>
    <row r="1230" spans="1:14">
      <c r="A1230" s="123">
        <v>4</v>
      </c>
      <c r="B1230" s="760"/>
      <c r="C1230" s="149" t="s">
        <v>5051</v>
      </c>
      <c r="D1230" s="148" t="s">
        <v>306</v>
      </c>
      <c r="E1230" s="148" t="s">
        <v>322</v>
      </c>
      <c r="F1230" s="148" t="s">
        <v>307</v>
      </c>
      <c r="G1230" s="149" t="s">
        <v>5052</v>
      </c>
      <c r="H1230" s="149" t="s">
        <v>4968</v>
      </c>
      <c r="I1230" s="149" t="s">
        <v>5053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60"/>
      <c r="C1231" s="149" t="s">
        <v>5054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5055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60"/>
      <c r="C1232" s="149" t="s">
        <v>5056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5057</v>
      </c>
      <c r="J1232" s="148" t="s">
        <v>664</v>
      </c>
      <c r="K1232" s="148" t="s">
        <v>4944</v>
      </c>
      <c r="L1232" s="148"/>
      <c r="M1232" s="499">
        <v>750000</v>
      </c>
      <c r="N1232" s="148"/>
    </row>
    <row r="1233" spans="1:14">
      <c r="A1233" s="123">
        <v>4</v>
      </c>
      <c r="B1233" s="760"/>
      <c r="C1233" s="149" t="s">
        <v>5058</v>
      </c>
      <c r="D1233" s="148" t="s">
        <v>306</v>
      </c>
      <c r="E1233" s="148" t="s">
        <v>322</v>
      </c>
      <c r="F1233" s="148" t="s">
        <v>307</v>
      </c>
      <c r="G1233" s="149" t="s">
        <v>5059</v>
      </c>
      <c r="H1233" s="148" t="s">
        <v>1047</v>
      </c>
      <c r="I1233" s="149" t="s">
        <v>5060</v>
      </c>
      <c r="J1233" s="148" t="s">
        <v>664</v>
      </c>
      <c r="K1233" s="148" t="s">
        <v>4972</v>
      </c>
      <c r="L1233" s="148"/>
      <c r="M1233" s="499">
        <v>750000</v>
      </c>
      <c r="N1233" s="148"/>
    </row>
    <row r="1234" spans="1:14">
      <c r="A1234" s="123">
        <v>4</v>
      </c>
      <c r="B1234" s="760"/>
      <c r="C1234" s="149" t="s">
        <v>5056</v>
      </c>
      <c r="D1234" s="148" t="s">
        <v>306</v>
      </c>
      <c r="E1234" s="148" t="s">
        <v>322</v>
      </c>
      <c r="F1234" s="148" t="s">
        <v>307</v>
      </c>
      <c r="G1234" s="149" t="s">
        <v>5061</v>
      </c>
      <c r="H1234" s="148" t="s">
        <v>354</v>
      </c>
      <c r="I1234" s="149" t="s">
        <v>5062</v>
      </c>
      <c r="J1234" s="148" t="s">
        <v>664</v>
      </c>
      <c r="K1234" s="148" t="s">
        <v>4970</v>
      </c>
      <c r="L1234" s="148"/>
      <c r="M1234" s="499">
        <v>500000</v>
      </c>
      <c r="N1234" s="148"/>
    </row>
    <row r="1235" spans="1:14">
      <c r="A1235" s="123">
        <v>4</v>
      </c>
      <c r="B1235" s="760" t="s">
        <v>5048</v>
      </c>
      <c r="C1235" s="149" t="s">
        <v>5064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5065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5066</v>
      </c>
    </row>
    <row r="1236" spans="1:14">
      <c r="A1236" s="123">
        <v>4</v>
      </c>
      <c r="B1236" s="760"/>
      <c r="C1236" s="149" t="s">
        <v>5064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5067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5066</v>
      </c>
    </row>
    <row r="1237" spans="1:14">
      <c r="A1237" s="123">
        <v>4</v>
      </c>
      <c r="B1237" s="760"/>
      <c r="C1237" s="149" t="s">
        <v>5046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5068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5069</v>
      </c>
    </row>
    <row r="1238" spans="1:14">
      <c r="A1238" s="123">
        <v>4</v>
      </c>
      <c r="B1238" s="760"/>
      <c r="C1238" s="149" t="s">
        <v>5070</v>
      </c>
      <c r="D1238" s="148" t="s">
        <v>311</v>
      </c>
      <c r="E1238" s="148" t="s">
        <v>675</v>
      </c>
      <c r="F1238" s="149" t="s">
        <v>5071</v>
      </c>
      <c r="G1238" s="149">
        <v>3006</v>
      </c>
      <c r="H1238" s="149" t="s">
        <v>347</v>
      </c>
      <c r="I1238" s="490" t="s">
        <v>5072</v>
      </c>
      <c r="J1238" s="149"/>
      <c r="K1238" s="149" t="s">
        <v>4997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60"/>
      <c r="C1239" s="149" t="s">
        <v>5054</v>
      </c>
      <c r="D1239" s="148" t="s">
        <v>311</v>
      </c>
      <c r="E1239" s="148" t="s">
        <v>675</v>
      </c>
      <c r="F1239" s="149" t="s">
        <v>5073</v>
      </c>
      <c r="G1239" s="149">
        <v>222003</v>
      </c>
      <c r="H1239" s="149" t="s">
        <v>3069</v>
      </c>
      <c r="I1239" s="490" t="s">
        <v>5074</v>
      </c>
      <c r="J1239" s="149" t="s">
        <v>5075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60"/>
      <c r="C1240" s="149" t="s">
        <v>5076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5077</v>
      </c>
      <c r="J1240" s="149" t="s">
        <v>5078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60"/>
      <c r="C1241" s="149" t="s">
        <v>5079</v>
      </c>
      <c r="D1241" s="148" t="s">
        <v>311</v>
      </c>
      <c r="E1241" s="148" t="s">
        <v>320</v>
      </c>
      <c r="F1241" s="149" t="s">
        <v>2601</v>
      </c>
      <c r="G1241" s="149" t="s">
        <v>4925</v>
      </c>
      <c r="H1241" s="149"/>
      <c r="I1241" s="149" t="s">
        <v>5080</v>
      </c>
      <c r="J1241" s="149"/>
      <c r="K1241" s="149" t="s">
        <v>5081</v>
      </c>
      <c r="L1241" s="148" t="s">
        <v>5082</v>
      </c>
      <c r="M1241" s="505">
        <v>1500000</v>
      </c>
      <c r="N1241" s="148" t="s">
        <v>3212</v>
      </c>
    </row>
    <row r="1242" spans="1:14" ht="22.5">
      <c r="A1242" s="123">
        <v>4</v>
      </c>
      <c r="B1242" s="760"/>
      <c r="C1242" s="149" t="s">
        <v>5083</v>
      </c>
      <c r="D1242" s="148" t="s">
        <v>311</v>
      </c>
      <c r="E1242" s="148" t="s">
        <v>320</v>
      </c>
      <c r="F1242" s="149" t="s">
        <v>690</v>
      </c>
      <c r="G1242" s="149" t="s">
        <v>5005</v>
      </c>
      <c r="H1242" s="149" t="s">
        <v>5084</v>
      </c>
      <c r="I1242" s="489" t="s">
        <v>5085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60" t="s">
        <v>5108</v>
      </c>
      <c r="C1243" s="149" t="s">
        <v>5086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5087</v>
      </c>
      <c r="J1243" s="148" t="s">
        <v>664</v>
      </c>
      <c r="K1243" s="148" t="s">
        <v>4997</v>
      </c>
      <c r="L1243" s="148"/>
      <c r="M1243" s="499">
        <v>1000000</v>
      </c>
      <c r="N1243" s="148" t="s">
        <v>5088</v>
      </c>
    </row>
    <row r="1244" spans="1:14">
      <c r="A1244" s="123">
        <v>5</v>
      </c>
      <c r="B1244" s="760"/>
      <c r="C1244" s="149" t="s">
        <v>5089</v>
      </c>
      <c r="D1244" s="148" t="s">
        <v>306</v>
      </c>
      <c r="E1244" s="148" t="s">
        <v>322</v>
      </c>
      <c r="F1244" s="148" t="s">
        <v>307</v>
      </c>
      <c r="G1244" s="149" t="s">
        <v>5090</v>
      </c>
      <c r="H1244" s="149" t="s">
        <v>1047</v>
      </c>
      <c r="I1244" s="149" t="s">
        <v>5091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60"/>
      <c r="C1245" s="149" t="s">
        <v>5092</v>
      </c>
      <c r="D1245" s="148" t="s">
        <v>306</v>
      </c>
      <c r="E1245" s="148" t="s">
        <v>322</v>
      </c>
      <c r="F1245" s="148" t="s">
        <v>307</v>
      </c>
      <c r="G1245" s="149" t="s">
        <v>5093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60"/>
      <c r="C1246" s="149" t="s">
        <v>5094</v>
      </c>
      <c r="D1246" s="148" t="s">
        <v>306</v>
      </c>
      <c r="E1246" s="148" t="s">
        <v>322</v>
      </c>
      <c r="F1246" s="148" t="s">
        <v>307</v>
      </c>
      <c r="G1246" s="149" t="s">
        <v>5095</v>
      </c>
      <c r="H1246" s="149" t="s">
        <v>5096</v>
      </c>
      <c r="I1246" s="149" t="s">
        <v>5097</v>
      </c>
      <c r="J1246" s="148" t="s">
        <v>664</v>
      </c>
      <c r="K1246" s="148" t="s">
        <v>4944</v>
      </c>
      <c r="L1246" s="148"/>
      <c r="M1246" s="499">
        <v>750000</v>
      </c>
      <c r="N1246" s="148"/>
    </row>
    <row r="1247" spans="1:14">
      <c r="A1247" s="123">
        <v>5</v>
      </c>
      <c r="B1247" s="760"/>
      <c r="C1247" s="149" t="s">
        <v>5092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4972</v>
      </c>
      <c r="L1247" s="148"/>
      <c r="M1247" s="499">
        <v>500000</v>
      </c>
      <c r="N1247" s="148"/>
    </row>
    <row r="1248" spans="1:14">
      <c r="A1248" s="123">
        <v>5</v>
      </c>
      <c r="B1248" s="760"/>
      <c r="C1248" s="149" t="s">
        <v>5094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4970</v>
      </c>
      <c r="L1248" s="148"/>
      <c r="M1248" s="499">
        <v>750000</v>
      </c>
      <c r="N1248" s="148"/>
    </row>
    <row r="1249" spans="1:14">
      <c r="A1249" s="123">
        <v>5</v>
      </c>
      <c r="B1249" s="760" t="s">
        <v>5048</v>
      </c>
      <c r="C1249" s="149" t="s">
        <v>5098</v>
      </c>
      <c r="D1249" s="148" t="s">
        <v>311</v>
      </c>
      <c r="E1249" s="148" t="s">
        <v>675</v>
      </c>
      <c r="F1249" s="148" t="s">
        <v>4987</v>
      </c>
      <c r="G1249" s="148">
        <v>1017</v>
      </c>
      <c r="H1249" s="148" t="s">
        <v>347</v>
      </c>
      <c r="I1249" s="149" t="s">
        <v>5060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60"/>
      <c r="C1250" s="907" t="s">
        <v>5099</v>
      </c>
      <c r="D1250" s="905" t="s">
        <v>311</v>
      </c>
      <c r="E1250" s="905" t="s">
        <v>675</v>
      </c>
      <c r="F1250" s="905" t="s">
        <v>4987</v>
      </c>
      <c r="G1250" s="905">
        <v>1017</v>
      </c>
      <c r="H1250" s="905" t="s">
        <v>347</v>
      </c>
      <c r="I1250" s="149" t="s">
        <v>5100</v>
      </c>
      <c r="J1250" s="907"/>
      <c r="K1250" s="907" t="s">
        <v>692</v>
      </c>
      <c r="L1250" s="905" t="s">
        <v>309</v>
      </c>
      <c r="M1250" s="906">
        <v>500000</v>
      </c>
      <c r="N1250" s="905" t="s">
        <v>5033</v>
      </c>
    </row>
    <row r="1251" spans="1:14">
      <c r="A1251" s="123">
        <v>5</v>
      </c>
      <c r="B1251" s="760"/>
      <c r="C1251" s="907"/>
      <c r="D1251" s="905"/>
      <c r="E1251" s="905"/>
      <c r="F1251" s="905"/>
      <c r="G1251" s="905"/>
      <c r="H1251" s="905"/>
      <c r="I1251" s="149" t="s">
        <v>5101</v>
      </c>
      <c r="J1251" s="907"/>
      <c r="K1251" s="907"/>
      <c r="L1251" s="905"/>
      <c r="M1251" s="906"/>
      <c r="N1251" s="905"/>
    </row>
    <row r="1252" spans="1:14">
      <c r="A1252" s="123">
        <v>5</v>
      </c>
      <c r="B1252" s="760"/>
      <c r="C1252" s="149" t="s">
        <v>5102</v>
      </c>
      <c r="D1252" s="148" t="s">
        <v>311</v>
      </c>
      <c r="E1252" s="148" t="s">
        <v>320</v>
      </c>
      <c r="F1252" s="149" t="s">
        <v>5103</v>
      </c>
      <c r="G1252" s="149" t="s">
        <v>5005</v>
      </c>
      <c r="H1252" s="149" t="s">
        <v>5084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60"/>
      <c r="C1253" s="149" t="s">
        <v>5102</v>
      </c>
      <c r="D1253" s="148" t="s">
        <v>311</v>
      </c>
      <c r="E1253" s="148" t="s">
        <v>320</v>
      </c>
      <c r="F1253" s="149" t="s">
        <v>5103</v>
      </c>
      <c r="G1253" s="149" t="s">
        <v>5005</v>
      </c>
      <c r="H1253" s="149" t="s">
        <v>5084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60"/>
      <c r="C1254" s="907" t="s">
        <v>5104</v>
      </c>
      <c r="D1254" s="905" t="s">
        <v>311</v>
      </c>
      <c r="E1254" s="905" t="s">
        <v>675</v>
      </c>
      <c r="F1254" s="907" t="s">
        <v>5071</v>
      </c>
      <c r="G1254" s="907">
        <v>3006</v>
      </c>
      <c r="H1254" s="907" t="s">
        <v>347</v>
      </c>
      <c r="I1254" s="490" t="s">
        <v>5105</v>
      </c>
      <c r="J1254" s="907"/>
      <c r="K1254" s="907" t="s">
        <v>705</v>
      </c>
      <c r="L1254" s="905" t="s">
        <v>309</v>
      </c>
      <c r="M1254" s="906">
        <v>500000</v>
      </c>
      <c r="N1254" s="905" t="s">
        <v>5033</v>
      </c>
    </row>
    <row r="1255" spans="1:14">
      <c r="A1255" s="123">
        <v>5</v>
      </c>
      <c r="B1255" s="760"/>
      <c r="C1255" s="907"/>
      <c r="D1255" s="905"/>
      <c r="E1255" s="905"/>
      <c r="F1255" s="907"/>
      <c r="G1255" s="907"/>
      <c r="H1255" s="907"/>
      <c r="I1255" s="490" t="s">
        <v>5106</v>
      </c>
      <c r="J1255" s="907"/>
      <c r="K1255" s="907"/>
      <c r="L1255" s="905"/>
      <c r="M1255" s="906"/>
      <c r="N1255" s="905"/>
    </row>
    <row r="1256" spans="1:14">
      <c r="A1256" s="123">
        <v>5</v>
      </c>
      <c r="B1256" s="760"/>
      <c r="C1256" s="907" t="s">
        <v>5104</v>
      </c>
      <c r="D1256" s="905" t="s">
        <v>311</v>
      </c>
      <c r="E1256" s="905" t="s">
        <v>675</v>
      </c>
      <c r="F1256" s="907" t="s">
        <v>5071</v>
      </c>
      <c r="G1256" s="907">
        <v>3006</v>
      </c>
      <c r="H1256" s="907" t="s">
        <v>347</v>
      </c>
      <c r="I1256" s="490" t="s">
        <v>5105</v>
      </c>
      <c r="J1256" s="907"/>
      <c r="K1256" s="907" t="s">
        <v>4937</v>
      </c>
      <c r="L1256" s="905" t="s">
        <v>309</v>
      </c>
      <c r="M1256" s="906">
        <v>600000</v>
      </c>
      <c r="N1256" s="905" t="s">
        <v>5033</v>
      </c>
    </row>
    <row r="1257" spans="1:14">
      <c r="A1257" s="123">
        <v>5</v>
      </c>
      <c r="B1257" s="760"/>
      <c r="C1257" s="907"/>
      <c r="D1257" s="905"/>
      <c r="E1257" s="905"/>
      <c r="F1257" s="907"/>
      <c r="G1257" s="907"/>
      <c r="H1257" s="907"/>
      <c r="I1257" s="490" t="s">
        <v>5106</v>
      </c>
      <c r="J1257" s="907"/>
      <c r="K1257" s="907"/>
      <c r="L1257" s="905"/>
      <c r="M1257" s="906"/>
      <c r="N1257" s="905"/>
    </row>
    <row r="1258" spans="1:14">
      <c r="A1258" s="123">
        <v>5</v>
      </c>
      <c r="B1258" s="760"/>
      <c r="C1258" s="149" t="s">
        <v>5104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5107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5033</v>
      </c>
    </row>
    <row r="1259" spans="1:14">
      <c r="A1259" s="123">
        <v>6</v>
      </c>
      <c r="B1259" s="760" t="s">
        <v>4976</v>
      </c>
      <c r="C1259" s="149" t="s">
        <v>5109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5019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60"/>
      <c r="C1260" s="149" t="s">
        <v>5110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4944</v>
      </c>
      <c r="L1260" s="148"/>
      <c r="M1260" s="499">
        <v>750000</v>
      </c>
      <c r="N1260" s="148"/>
    </row>
    <row r="1261" spans="1:14">
      <c r="A1261" s="123">
        <v>6</v>
      </c>
      <c r="B1261" s="760"/>
      <c r="C1261" s="149" t="s">
        <v>5109</v>
      </c>
      <c r="D1261" s="148" t="s">
        <v>306</v>
      </c>
      <c r="E1261" s="148" t="s">
        <v>322</v>
      </c>
      <c r="F1261" s="148" t="s">
        <v>307</v>
      </c>
      <c r="G1261" s="149" t="s">
        <v>5061</v>
      </c>
      <c r="H1261" s="149" t="s">
        <v>354</v>
      </c>
      <c r="I1261" s="149" t="s">
        <v>4916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60"/>
      <c r="C1262" s="149" t="s">
        <v>5110</v>
      </c>
      <c r="D1262" s="148" t="s">
        <v>306</v>
      </c>
      <c r="E1262" s="148" t="s">
        <v>322</v>
      </c>
      <c r="F1262" s="148" t="s">
        <v>307</v>
      </c>
      <c r="G1262" s="149" t="s">
        <v>5090</v>
      </c>
      <c r="H1262" s="149" t="s">
        <v>1047</v>
      </c>
      <c r="I1262" s="149" t="s">
        <v>4916</v>
      </c>
      <c r="J1262" s="148" t="s">
        <v>664</v>
      </c>
      <c r="K1262" s="148" t="s">
        <v>4944</v>
      </c>
      <c r="L1262" s="148"/>
      <c r="M1262" s="499">
        <v>750000</v>
      </c>
      <c r="N1262" s="148"/>
    </row>
    <row r="1263" spans="1:14">
      <c r="A1263" s="123">
        <v>6</v>
      </c>
      <c r="B1263" s="760"/>
      <c r="C1263" s="149" t="s">
        <v>5111</v>
      </c>
      <c r="D1263" s="148" t="s">
        <v>306</v>
      </c>
      <c r="E1263" s="148" t="s">
        <v>322</v>
      </c>
      <c r="F1263" s="148" t="s">
        <v>307</v>
      </c>
      <c r="G1263" s="149" t="s">
        <v>4967</v>
      </c>
      <c r="H1263" s="149" t="s">
        <v>4968</v>
      </c>
      <c r="I1263" s="149" t="s">
        <v>5062</v>
      </c>
      <c r="J1263" s="148" t="s">
        <v>664</v>
      </c>
      <c r="K1263" s="148" t="s">
        <v>5112</v>
      </c>
      <c r="L1263" s="148"/>
      <c r="M1263" s="499">
        <v>1250000</v>
      </c>
      <c r="N1263" s="148"/>
    </row>
    <row r="1264" spans="1:14">
      <c r="A1264" s="123">
        <v>6</v>
      </c>
      <c r="B1264" s="760" t="s">
        <v>21</v>
      </c>
      <c r="C1264" s="149" t="s">
        <v>5102</v>
      </c>
      <c r="D1264" s="148" t="s">
        <v>311</v>
      </c>
      <c r="E1264" s="148" t="s">
        <v>675</v>
      </c>
      <c r="F1264" s="149" t="s">
        <v>5073</v>
      </c>
      <c r="G1264" s="149">
        <v>222003</v>
      </c>
      <c r="H1264" s="149" t="s">
        <v>347</v>
      </c>
      <c r="I1264" s="490" t="s">
        <v>5113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5114</v>
      </c>
    </row>
    <row r="1265" spans="1:14">
      <c r="A1265" s="123">
        <v>6</v>
      </c>
      <c r="B1265" s="760"/>
      <c r="C1265" s="149" t="s">
        <v>5115</v>
      </c>
      <c r="D1265" s="148" t="s">
        <v>311</v>
      </c>
      <c r="E1265" s="148" t="s">
        <v>320</v>
      </c>
      <c r="F1265" s="149" t="s">
        <v>5103</v>
      </c>
      <c r="G1265" s="149" t="s">
        <v>5005</v>
      </c>
      <c r="H1265" s="149" t="s">
        <v>1198</v>
      </c>
      <c r="I1265" s="149" t="s">
        <v>5116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5114</v>
      </c>
    </row>
    <row r="1266" spans="1:14">
      <c r="A1266" s="123">
        <v>6</v>
      </c>
      <c r="B1266" s="760"/>
      <c r="C1266" s="149" t="s">
        <v>5117</v>
      </c>
      <c r="D1266" s="148" t="s">
        <v>311</v>
      </c>
      <c r="E1266" s="148" t="s">
        <v>320</v>
      </c>
      <c r="F1266" s="149" t="s">
        <v>5103</v>
      </c>
      <c r="G1266" s="149" t="s">
        <v>5005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5118</v>
      </c>
    </row>
    <row r="1267" spans="1:14">
      <c r="A1267" s="123">
        <v>6</v>
      </c>
      <c r="B1267" s="760"/>
      <c r="C1267" s="149" t="s">
        <v>5119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5120</v>
      </c>
      <c r="I1267" s="490" t="s">
        <v>5121</v>
      </c>
      <c r="J1267" s="149" t="s">
        <v>638</v>
      </c>
      <c r="K1267" s="149" t="s">
        <v>5122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60"/>
      <c r="C1268" s="907" t="s">
        <v>5123</v>
      </c>
      <c r="D1268" s="905" t="s">
        <v>311</v>
      </c>
      <c r="E1268" s="905" t="s">
        <v>675</v>
      </c>
      <c r="F1268" s="149" t="s">
        <v>5124</v>
      </c>
      <c r="G1268" s="489" t="s">
        <v>5126</v>
      </c>
      <c r="H1268" s="393" t="s">
        <v>347</v>
      </c>
      <c r="I1268" s="907" t="s">
        <v>5129</v>
      </c>
      <c r="J1268" s="907" t="s">
        <v>638</v>
      </c>
      <c r="K1268" s="907" t="s">
        <v>692</v>
      </c>
      <c r="L1268" s="905" t="s">
        <v>309</v>
      </c>
      <c r="M1268" s="906">
        <v>500000</v>
      </c>
      <c r="N1268" s="905" t="s">
        <v>1772</v>
      </c>
    </row>
    <row r="1269" spans="1:14">
      <c r="A1269" s="123">
        <v>6</v>
      </c>
      <c r="B1269" s="760"/>
      <c r="C1269" s="907"/>
      <c r="D1269" s="905"/>
      <c r="E1269" s="905"/>
      <c r="F1269" s="149" t="s">
        <v>5125</v>
      </c>
      <c r="G1269" s="489" t="s">
        <v>5127</v>
      </c>
      <c r="H1269" s="393" t="s">
        <v>5128</v>
      </c>
      <c r="I1269" s="907"/>
      <c r="J1269" s="907"/>
      <c r="K1269" s="907"/>
      <c r="L1269" s="905"/>
      <c r="M1269" s="906"/>
      <c r="N1269" s="905"/>
    </row>
    <row r="1270" spans="1:14" ht="24">
      <c r="A1270" s="123">
        <v>6</v>
      </c>
      <c r="B1270" s="760"/>
      <c r="C1270" s="149" t="s">
        <v>5123</v>
      </c>
      <c r="D1270" s="148" t="s">
        <v>311</v>
      </c>
      <c r="E1270" s="148" t="s">
        <v>320</v>
      </c>
      <c r="F1270" s="490" t="s">
        <v>720</v>
      </c>
      <c r="G1270" s="149" t="s">
        <v>5130</v>
      </c>
      <c r="H1270" s="149" t="s">
        <v>3060</v>
      </c>
      <c r="I1270" s="490" t="s">
        <v>5131</v>
      </c>
      <c r="J1270" s="149" t="s">
        <v>702</v>
      </c>
      <c r="K1270" s="149" t="s">
        <v>5132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60"/>
      <c r="C1271" s="149" t="s">
        <v>5123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5133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60" t="s">
        <v>5108</v>
      </c>
      <c r="C1272" s="149" t="s">
        <v>5134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5135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5136</v>
      </c>
    </row>
    <row r="1273" spans="1:14">
      <c r="A1273" s="123">
        <v>7</v>
      </c>
      <c r="B1273" s="760"/>
      <c r="C1273" s="149" t="s">
        <v>5137</v>
      </c>
      <c r="D1273" s="148" t="s">
        <v>306</v>
      </c>
      <c r="E1273" s="148" t="s">
        <v>322</v>
      </c>
      <c r="F1273" s="148" t="s">
        <v>307</v>
      </c>
      <c r="G1273" s="149" t="s">
        <v>5138</v>
      </c>
      <c r="H1273" s="149" t="s">
        <v>347</v>
      </c>
      <c r="I1273" s="149" t="s">
        <v>4916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60"/>
      <c r="C1274" s="149" t="s">
        <v>5137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60"/>
      <c r="C1275" s="149" t="s">
        <v>5137</v>
      </c>
      <c r="D1275" s="148" t="s">
        <v>306</v>
      </c>
      <c r="E1275" s="148" t="s">
        <v>322</v>
      </c>
      <c r="F1275" s="148" t="s">
        <v>307</v>
      </c>
      <c r="G1275" s="149" t="s">
        <v>5052</v>
      </c>
      <c r="H1275" s="149" t="s">
        <v>4968</v>
      </c>
      <c r="I1275" s="149" t="s">
        <v>5060</v>
      </c>
      <c r="J1275" s="148" t="s">
        <v>664</v>
      </c>
      <c r="K1275" s="148" t="s">
        <v>4972</v>
      </c>
      <c r="L1275" s="148"/>
      <c r="M1275" s="499">
        <v>500000</v>
      </c>
      <c r="N1275" s="148"/>
    </row>
    <row r="1276" spans="1:14">
      <c r="A1276" s="123">
        <v>7</v>
      </c>
      <c r="B1276" s="760"/>
      <c r="C1276" s="149" t="s">
        <v>5139</v>
      </c>
      <c r="D1276" s="148" t="s">
        <v>306</v>
      </c>
      <c r="E1276" s="148" t="s">
        <v>322</v>
      </c>
      <c r="F1276" s="148" t="s">
        <v>307</v>
      </c>
      <c r="G1276" s="149" t="s">
        <v>5090</v>
      </c>
      <c r="H1276" s="149" t="s">
        <v>1047</v>
      </c>
      <c r="I1276" s="149" t="s">
        <v>5140</v>
      </c>
      <c r="J1276" s="148" t="s">
        <v>664</v>
      </c>
      <c r="K1276" s="148" t="s">
        <v>4975</v>
      </c>
      <c r="L1276" s="148"/>
      <c r="M1276" s="499">
        <v>1000000</v>
      </c>
      <c r="N1276" s="148"/>
    </row>
    <row r="1277" spans="1:14">
      <c r="A1277" s="123">
        <v>7</v>
      </c>
      <c r="B1277" s="760" t="s">
        <v>5151</v>
      </c>
      <c r="C1277" s="149" t="s">
        <v>5141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5047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60"/>
      <c r="C1278" s="149" t="s">
        <v>5141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5142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60"/>
      <c r="C1279" s="149" t="s">
        <v>5143</v>
      </c>
      <c r="D1279" s="148" t="s">
        <v>311</v>
      </c>
      <c r="E1279" s="148" t="s">
        <v>320</v>
      </c>
      <c r="F1279" s="149" t="s">
        <v>690</v>
      </c>
      <c r="G1279" s="149" t="s">
        <v>5005</v>
      </c>
      <c r="H1279" s="149" t="s">
        <v>1198</v>
      </c>
      <c r="I1279" s="149" t="s">
        <v>5144</v>
      </c>
      <c r="J1279" s="149"/>
      <c r="K1279" s="149" t="s">
        <v>5145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60"/>
      <c r="C1280" s="149" t="s">
        <v>5143</v>
      </c>
      <c r="D1280" s="148" t="s">
        <v>311</v>
      </c>
      <c r="E1280" s="148" t="s">
        <v>320</v>
      </c>
      <c r="F1280" s="149" t="s">
        <v>5073</v>
      </c>
      <c r="G1280" s="149">
        <v>222003</v>
      </c>
      <c r="H1280" s="149" t="s">
        <v>3069</v>
      </c>
      <c r="I1280" s="149" t="s">
        <v>5146</v>
      </c>
      <c r="J1280" s="149"/>
      <c r="K1280" s="149" t="s">
        <v>5122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60" t="s">
        <v>20</v>
      </c>
      <c r="C1281" s="545" t="s">
        <v>5147</v>
      </c>
      <c r="D1281" s="537" t="s">
        <v>306</v>
      </c>
      <c r="E1281" s="537" t="s">
        <v>322</v>
      </c>
      <c r="F1281" s="537" t="s">
        <v>307</v>
      </c>
      <c r="G1281" s="545" t="s">
        <v>5061</v>
      </c>
      <c r="H1281" s="545" t="s">
        <v>354</v>
      </c>
      <c r="I1281" s="545" t="s">
        <v>4916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60"/>
      <c r="C1282" s="149" t="s">
        <v>5147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5148</v>
      </c>
      <c r="J1282" s="148" t="s">
        <v>664</v>
      </c>
      <c r="K1282" s="148" t="s">
        <v>5112</v>
      </c>
      <c r="L1282" s="148"/>
      <c r="M1282" s="499">
        <v>1250000</v>
      </c>
      <c r="N1282" s="148"/>
    </row>
    <row r="1283" spans="1:14">
      <c r="A1283" s="123">
        <v>8</v>
      </c>
      <c r="B1283" s="760"/>
      <c r="C1283" s="545" t="s">
        <v>5149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4944</v>
      </c>
      <c r="L1283" s="537"/>
      <c r="M1283" s="538">
        <v>750000</v>
      </c>
      <c r="N1283" s="148"/>
    </row>
    <row r="1284" spans="1:14">
      <c r="A1284" s="123">
        <v>8</v>
      </c>
      <c r="B1284" s="760"/>
      <c r="C1284" s="545" t="s">
        <v>5150</v>
      </c>
      <c r="D1284" s="537" t="s">
        <v>306</v>
      </c>
      <c r="E1284" s="537" t="s">
        <v>322</v>
      </c>
      <c r="F1284" s="537" t="s">
        <v>307</v>
      </c>
      <c r="G1284" s="545" t="s">
        <v>4804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60" t="s">
        <v>5164</v>
      </c>
      <c r="C1285" s="149" t="s">
        <v>5143</v>
      </c>
      <c r="D1285" s="148" t="s">
        <v>311</v>
      </c>
      <c r="E1285" s="148" t="s">
        <v>320</v>
      </c>
      <c r="F1285" s="149" t="s">
        <v>5073</v>
      </c>
      <c r="G1285" s="149">
        <v>222003</v>
      </c>
      <c r="H1285" s="149" t="s">
        <v>3069</v>
      </c>
      <c r="I1285" s="149" t="s">
        <v>5152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5153</v>
      </c>
    </row>
    <row r="1286" spans="1:14">
      <c r="A1286" s="123">
        <v>8</v>
      </c>
      <c r="B1286" s="760"/>
      <c r="C1286" s="149" t="s">
        <v>5143</v>
      </c>
      <c r="D1286" s="148" t="s">
        <v>311</v>
      </c>
      <c r="E1286" s="148" t="s">
        <v>320</v>
      </c>
      <c r="F1286" s="149" t="s">
        <v>690</v>
      </c>
      <c r="G1286" s="149" t="s">
        <v>5154</v>
      </c>
      <c r="H1286" s="149" t="s">
        <v>5155</v>
      </c>
      <c r="I1286" s="149" t="s">
        <v>5156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5153</v>
      </c>
    </row>
    <row r="1287" spans="1:14">
      <c r="A1287" s="123">
        <v>8</v>
      </c>
      <c r="B1287" s="760"/>
      <c r="C1287" s="149" t="s">
        <v>5157</v>
      </c>
      <c r="D1287" s="148" t="s">
        <v>311</v>
      </c>
      <c r="E1287" s="148" t="s">
        <v>320</v>
      </c>
      <c r="F1287" s="149" t="s">
        <v>690</v>
      </c>
      <c r="G1287" s="149" t="s">
        <v>5005</v>
      </c>
      <c r="H1287" s="149" t="s">
        <v>1198</v>
      </c>
      <c r="I1287" s="149" t="s">
        <v>5158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60"/>
      <c r="C1288" s="149" t="s">
        <v>5159</v>
      </c>
      <c r="D1288" s="148" t="s">
        <v>311</v>
      </c>
      <c r="E1288" s="148" t="s">
        <v>320</v>
      </c>
      <c r="F1288" s="149" t="s">
        <v>690</v>
      </c>
      <c r="G1288" s="149" t="s">
        <v>5005</v>
      </c>
      <c r="H1288" s="149" t="s">
        <v>1198</v>
      </c>
      <c r="I1288" s="149" t="s">
        <v>5003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60"/>
      <c r="C1289" s="908" t="s">
        <v>5159</v>
      </c>
      <c r="D1289" s="909" t="s">
        <v>311</v>
      </c>
      <c r="E1289" s="909" t="s">
        <v>675</v>
      </c>
      <c r="F1289" s="520" t="s">
        <v>5124</v>
      </c>
      <c r="G1289" s="521" t="s">
        <v>5126</v>
      </c>
      <c r="H1289" s="521" t="s">
        <v>347</v>
      </c>
      <c r="I1289" s="908" t="s">
        <v>5129</v>
      </c>
      <c r="J1289" s="908"/>
      <c r="K1289" s="908" t="s">
        <v>692</v>
      </c>
      <c r="L1289" s="909" t="s">
        <v>309</v>
      </c>
      <c r="M1289" s="910">
        <v>500000</v>
      </c>
      <c r="N1289" s="905" t="s">
        <v>5033</v>
      </c>
    </row>
    <row r="1290" spans="1:14" ht="19.5">
      <c r="A1290" s="123">
        <v>8</v>
      </c>
      <c r="B1290" s="760"/>
      <c r="C1290" s="907"/>
      <c r="D1290" s="905"/>
      <c r="E1290" s="905"/>
      <c r="F1290" s="149" t="s">
        <v>5125</v>
      </c>
      <c r="G1290" s="489" t="s">
        <v>5127</v>
      </c>
      <c r="H1290" s="491" t="s">
        <v>5128</v>
      </c>
      <c r="I1290" s="907"/>
      <c r="J1290" s="907"/>
      <c r="K1290" s="907"/>
      <c r="L1290" s="905"/>
      <c r="M1290" s="906"/>
      <c r="N1290" s="905"/>
    </row>
    <row r="1291" spans="1:14">
      <c r="A1291" s="123">
        <v>8</v>
      </c>
      <c r="B1291" s="760"/>
      <c r="C1291" s="908" t="s">
        <v>5160</v>
      </c>
      <c r="D1291" s="909" t="s">
        <v>311</v>
      </c>
      <c r="E1291" s="909" t="s">
        <v>320</v>
      </c>
      <c r="F1291" s="911" t="s">
        <v>709</v>
      </c>
      <c r="G1291" s="908" t="s">
        <v>3098</v>
      </c>
      <c r="H1291" s="908" t="s">
        <v>3099</v>
      </c>
      <c r="I1291" s="520" t="s">
        <v>5318</v>
      </c>
      <c r="J1291" s="908" t="s">
        <v>638</v>
      </c>
      <c r="K1291" s="908" t="s">
        <v>713</v>
      </c>
      <c r="L1291" s="909" t="s">
        <v>309</v>
      </c>
      <c r="M1291" s="910">
        <v>250000</v>
      </c>
      <c r="N1291" s="905" t="s">
        <v>5033</v>
      </c>
    </row>
    <row r="1292" spans="1:14">
      <c r="A1292" s="123">
        <v>8</v>
      </c>
      <c r="B1292" s="760"/>
      <c r="C1292" s="907"/>
      <c r="D1292" s="905"/>
      <c r="E1292" s="905"/>
      <c r="F1292" s="912"/>
      <c r="G1292" s="907"/>
      <c r="H1292" s="907"/>
      <c r="I1292" s="149" t="s">
        <v>5161</v>
      </c>
      <c r="J1292" s="907"/>
      <c r="K1292" s="907"/>
      <c r="L1292" s="905"/>
      <c r="M1292" s="906"/>
      <c r="N1292" s="905"/>
    </row>
    <row r="1293" spans="1:14">
      <c r="A1293" s="123">
        <v>8</v>
      </c>
      <c r="B1293" s="760"/>
      <c r="C1293" s="908" t="s">
        <v>5162</v>
      </c>
      <c r="D1293" s="909" t="s">
        <v>311</v>
      </c>
      <c r="E1293" s="909" t="s">
        <v>320</v>
      </c>
      <c r="F1293" s="908" t="s">
        <v>337</v>
      </c>
      <c r="G1293" s="908" t="s">
        <v>3168</v>
      </c>
      <c r="H1293" s="908" t="s">
        <v>3057</v>
      </c>
      <c r="I1293" s="520" t="s">
        <v>5319</v>
      </c>
      <c r="J1293" s="908" t="s">
        <v>638</v>
      </c>
      <c r="K1293" s="908" t="s">
        <v>692</v>
      </c>
      <c r="L1293" s="909" t="s">
        <v>309</v>
      </c>
      <c r="M1293" s="910">
        <v>500000</v>
      </c>
      <c r="N1293" s="905" t="s">
        <v>1206</v>
      </c>
    </row>
    <row r="1294" spans="1:14">
      <c r="A1294" s="123">
        <v>8</v>
      </c>
      <c r="B1294" s="760"/>
      <c r="C1294" s="907"/>
      <c r="D1294" s="905"/>
      <c r="E1294" s="905"/>
      <c r="F1294" s="907"/>
      <c r="G1294" s="907"/>
      <c r="H1294" s="907"/>
      <c r="I1294" s="149" t="s">
        <v>5163</v>
      </c>
      <c r="J1294" s="907"/>
      <c r="K1294" s="907"/>
      <c r="L1294" s="905"/>
      <c r="M1294" s="906"/>
      <c r="N1294" s="905"/>
    </row>
    <row r="1295" spans="1:14">
      <c r="A1295" s="123">
        <v>9</v>
      </c>
      <c r="B1295" s="760" t="s">
        <v>5171</v>
      </c>
      <c r="C1295" s="149" t="s">
        <v>5165</v>
      </c>
      <c r="D1295" s="148" t="s">
        <v>306</v>
      </c>
      <c r="E1295" s="148" t="s">
        <v>322</v>
      </c>
      <c r="F1295" s="148" t="s">
        <v>307</v>
      </c>
      <c r="G1295" s="149" t="s">
        <v>5095</v>
      </c>
      <c r="H1295" s="149" t="s">
        <v>5096</v>
      </c>
      <c r="I1295" s="149" t="s">
        <v>5060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5136</v>
      </c>
    </row>
    <row r="1296" spans="1:14">
      <c r="A1296" s="123">
        <v>9</v>
      </c>
      <c r="B1296" s="760"/>
      <c r="C1296" s="149" t="s">
        <v>5160</v>
      </c>
      <c r="D1296" s="148" t="s">
        <v>306</v>
      </c>
      <c r="E1296" s="148" t="s">
        <v>322</v>
      </c>
      <c r="F1296" s="148" t="s">
        <v>307</v>
      </c>
      <c r="G1296" s="149" t="s">
        <v>5052</v>
      </c>
      <c r="H1296" s="149" t="s">
        <v>4968</v>
      </c>
      <c r="I1296" s="149" t="s">
        <v>5060</v>
      </c>
      <c r="J1296" s="148" t="s">
        <v>664</v>
      </c>
      <c r="K1296" s="148" t="s">
        <v>5122</v>
      </c>
      <c r="L1296" s="148"/>
      <c r="M1296" s="499">
        <v>300000</v>
      </c>
      <c r="N1296" s="148" t="s">
        <v>5166</v>
      </c>
    </row>
    <row r="1297" spans="1:14">
      <c r="A1297" s="123">
        <v>9</v>
      </c>
      <c r="B1297" s="760"/>
      <c r="C1297" s="507" t="s">
        <v>5167</v>
      </c>
      <c r="D1297" s="508" t="s">
        <v>306</v>
      </c>
      <c r="E1297" s="508" t="s">
        <v>322</v>
      </c>
      <c r="F1297" s="508" t="s">
        <v>307</v>
      </c>
      <c r="G1297" s="507" t="s">
        <v>5168</v>
      </c>
      <c r="H1297" s="507" t="s">
        <v>662</v>
      </c>
      <c r="I1297" s="507" t="s">
        <v>1096</v>
      </c>
      <c r="J1297" s="508" t="s">
        <v>664</v>
      </c>
      <c r="K1297" s="508" t="s">
        <v>4972</v>
      </c>
      <c r="L1297" s="508"/>
      <c r="M1297" s="509">
        <v>500000</v>
      </c>
      <c r="N1297" s="148"/>
    </row>
    <row r="1298" spans="1:14">
      <c r="A1298" s="123">
        <v>9</v>
      </c>
      <c r="B1298" s="760"/>
      <c r="C1298" s="507" t="s">
        <v>5169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5019</v>
      </c>
      <c r="J1298" s="508" t="s">
        <v>664</v>
      </c>
      <c r="K1298" s="508" t="s">
        <v>4972</v>
      </c>
      <c r="L1298" s="508"/>
      <c r="M1298" s="509">
        <v>500000</v>
      </c>
      <c r="N1298" s="148"/>
    </row>
    <row r="1299" spans="1:14">
      <c r="A1299" s="123">
        <v>9</v>
      </c>
      <c r="B1299" s="760"/>
      <c r="C1299" s="545" t="s">
        <v>5170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4962</v>
      </c>
      <c r="L1299" s="537"/>
      <c r="M1299" s="538">
        <v>1000000</v>
      </c>
      <c r="N1299" s="148"/>
    </row>
    <row r="1300" spans="1:14">
      <c r="A1300" s="123">
        <v>9</v>
      </c>
      <c r="B1300" s="760"/>
      <c r="C1300" s="545" t="s">
        <v>5167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4916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60"/>
      <c r="C1301" s="545" t="s">
        <v>5169</v>
      </c>
      <c r="D1301" s="537" t="s">
        <v>306</v>
      </c>
      <c r="E1301" s="537" t="s">
        <v>322</v>
      </c>
      <c r="F1301" s="537" t="s">
        <v>307</v>
      </c>
      <c r="G1301" s="545" t="s">
        <v>4939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60" t="s">
        <v>5197</v>
      </c>
      <c r="C1302" s="520" t="s">
        <v>5172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5320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5173</v>
      </c>
    </row>
    <row r="1303" spans="1:14">
      <c r="A1303" s="123">
        <v>9</v>
      </c>
      <c r="B1303" s="760"/>
      <c r="C1303" s="149" t="s">
        <v>5162</v>
      </c>
      <c r="D1303" s="148" t="s">
        <v>311</v>
      </c>
      <c r="E1303" s="148" t="s">
        <v>675</v>
      </c>
      <c r="F1303" s="149" t="s">
        <v>5174</v>
      </c>
      <c r="G1303" s="149" t="s">
        <v>403</v>
      </c>
      <c r="H1303" s="149" t="s">
        <v>5030</v>
      </c>
      <c r="I1303" s="149" t="s">
        <v>5175</v>
      </c>
      <c r="J1303" s="149"/>
      <c r="K1303" s="149" t="s">
        <v>4937</v>
      </c>
      <c r="L1303" s="148" t="s">
        <v>309</v>
      </c>
      <c r="M1303" s="505">
        <v>600000</v>
      </c>
      <c r="N1303" s="148" t="s">
        <v>5173</v>
      </c>
    </row>
    <row r="1304" spans="1:14">
      <c r="A1304" s="123">
        <v>9</v>
      </c>
      <c r="B1304" s="760"/>
      <c r="C1304" s="908" t="s">
        <v>5176</v>
      </c>
      <c r="D1304" s="909" t="s">
        <v>311</v>
      </c>
      <c r="E1304" s="909" t="s">
        <v>320</v>
      </c>
      <c r="F1304" s="908" t="s">
        <v>337</v>
      </c>
      <c r="G1304" s="908" t="s">
        <v>3168</v>
      </c>
      <c r="H1304" s="908" t="s">
        <v>3057</v>
      </c>
      <c r="I1304" s="524" t="s">
        <v>5177</v>
      </c>
      <c r="J1304" s="908" t="s">
        <v>638</v>
      </c>
      <c r="K1304" s="908" t="s">
        <v>713</v>
      </c>
      <c r="L1304" s="909" t="s">
        <v>309</v>
      </c>
      <c r="M1304" s="910">
        <v>250000</v>
      </c>
      <c r="N1304" s="905" t="s">
        <v>5033</v>
      </c>
    </row>
    <row r="1305" spans="1:14">
      <c r="A1305" s="123">
        <v>9</v>
      </c>
      <c r="B1305" s="760"/>
      <c r="C1305" s="907"/>
      <c r="D1305" s="905"/>
      <c r="E1305" s="905"/>
      <c r="F1305" s="907"/>
      <c r="G1305" s="907"/>
      <c r="H1305" s="907"/>
      <c r="I1305" s="490" t="s">
        <v>5178</v>
      </c>
      <c r="J1305" s="907"/>
      <c r="K1305" s="907"/>
      <c r="L1305" s="905"/>
      <c r="M1305" s="906"/>
      <c r="N1305" s="905"/>
    </row>
    <row r="1306" spans="1:14">
      <c r="A1306" s="123">
        <v>9</v>
      </c>
      <c r="B1306" s="760"/>
      <c r="C1306" s="908" t="s">
        <v>5176</v>
      </c>
      <c r="D1306" s="909" t="s">
        <v>311</v>
      </c>
      <c r="E1306" s="909" t="s">
        <v>320</v>
      </c>
      <c r="F1306" s="908" t="s">
        <v>5179</v>
      </c>
      <c r="G1306" s="520" t="s">
        <v>689</v>
      </c>
      <c r="H1306" s="908" t="s">
        <v>5181</v>
      </c>
      <c r="I1306" s="520" t="s">
        <v>5321</v>
      </c>
      <c r="J1306" s="908"/>
      <c r="K1306" s="908" t="s">
        <v>713</v>
      </c>
      <c r="L1306" s="909" t="s">
        <v>309</v>
      </c>
      <c r="M1306" s="910">
        <v>250000</v>
      </c>
      <c r="N1306" s="905" t="s">
        <v>5033</v>
      </c>
    </row>
    <row r="1307" spans="1:14">
      <c r="A1307" s="123">
        <v>9</v>
      </c>
      <c r="B1307" s="760"/>
      <c r="C1307" s="907"/>
      <c r="D1307" s="905"/>
      <c r="E1307" s="905"/>
      <c r="F1307" s="907"/>
      <c r="G1307" s="149" t="s">
        <v>5180</v>
      </c>
      <c r="H1307" s="907"/>
      <c r="I1307" s="149" t="s">
        <v>5182</v>
      </c>
      <c r="J1307" s="907"/>
      <c r="K1307" s="907"/>
      <c r="L1307" s="905"/>
      <c r="M1307" s="906"/>
      <c r="N1307" s="905"/>
    </row>
    <row r="1308" spans="1:14">
      <c r="A1308" s="123">
        <v>9</v>
      </c>
      <c r="B1308" s="760"/>
      <c r="C1308" s="149" t="s">
        <v>5176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5183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60"/>
      <c r="C1309" s="908" t="s">
        <v>5184</v>
      </c>
      <c r="D1309" s="909" t="s">
        <v>311</v>
      </c>
      <c r="E1309" s="909" t="s">
        <v>320</v>
      </c>
      <c r="F1309" s="908" t="s">
        <v>337</v>
      </c>
      <c r="G1309" s="520" t="s">
        <v>3401</v>
      </c>
      <c r="H1309" s="908" t="s">
        <v>5030</v>
      </c>
      <c r="I1309" s="908" t="s">
        <v>5322</v>
      </c>
      <c r="J1309" s="908"/>
      <c r="K1309" s="908" t="s">
        <v>692</v>
      </c>
      <c r="L1309" s="909" t="s">
        <v>309</v>
      </c>
      <c r="M1309" s="910">
        <v>500000</v>
      </c>
      <c r="N1309" s="905" t="s">
        <v>5033</v>
      </c>
    </row>
    <row r="1310" spans="1:14">
      <c r="A1310" s="123">
        <v>9</v>
      </c>
      <c r="B1310" s="760"/>
      <c r="C1310" s="907"/>
      <c r="D1310" s="905"/>
      <c r="E1310" s="905"/>
      <c r="F1310" s="907"/>
      <c r="G1310" s="149" t="s">
        <v>5185</v>
      </c>
      <c r="H1310" s="907"/>
      <c r="I1310" s="907"/>
      <c r="J1310" s="907"/>
      <c r="K1310" s="907"/>
      <c r="L1310" s="905"/>
      <c r="M1310" s="906"/>
      <c r="N1310" s="905"/>
    </row>
    <row r="1311" spans="1:14" ht="24">
      <c r="A1311" s="123">
        <v>9</v>
      </c>
      <c r="B1311" s="760"/>
      <c r="C1311" s="149" t="s">
        <v>5186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5187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5033</v>
      </c>
    </row>
    <row r="1312" spans="1:14">
      <c r="A1312" s="123">
        <v>9</v>
      </c>
      <c r="B1312" s="760"/>
      <c r="C1312" s="908" t="s">
        <v>5188</v>
      </c>
      <c r="D1312" s="909" t="s">
        <v>311</v>
      </c>
      <c r="E1312" s="909" t="s">
        <v>675</v>
      </c>
      <c r="F1312" s="908" t="s">
        <v>5189</v>
      </c>
      <c r="G1312" s="521" t="s">
        <v>1919</v>
      </c>
      <c r="H1312" s="908" t="s">
        <v>347</v>
      </c>
      <c r="I1312" s="908" t="s">
        <v>5325</v>
      </c>
      <c r="J1312" s="908"/>
      <c r="K1312" s="908" t="s">
        <v>692</v>
      </c>
      <c r="L1312" s="909" t="s">
        <v>309</v>
      </c>
      <c r="M1312" s="913">
        <v>500000</v>
      </c>
      <c r="N1312" s="905" t="s">
        <v>1925</v>
      </c>
    </row>
    <row r="1313" spans="1:14">
      <c r="A1313" s="123">
        <v>9</v>
      </c>
      <c r="B1313" s="760"/>
      <c r="C1313" s="907"/>
      <c r="D1313" s="905"/>
      <c r="E1313" s="905"/>
      <c r="F1313" s="907"/>
      <c r="G1313" s="489" t="s">
        <v>5190</v>
      </c>
      <c r="H1313" s="907"/>
      <c r="I1313" s="907"/>
      <c r="J1313" s="907"/>
      <c r="K1313" s="907"/>
      <c r="L1313" s="905"/>
      <c r="M1313" s="914"/>
      <c r="N1313" s="905"/>
    </row>
    <row r="1314" spans="1:14">
      <c r="A1314" s="123">
        <v>10</v>
      </c>
      <c r="B1314" s="760" t="s">
        <v>5171</v>
      </c>
      <c r="C1314" s="507" t="s">
        <v>5191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4970</v>
      </c>
      <c r="L1314" s="508"/>
      <c r="M1314" s="509">
        <v>750000</v>
      </c>
      <c r="N1314" s="148"/>
    </row>
    <row r="1315" spans="1:14">
      <c r="A1315" s="123">
        <v>10</v>
      </c>
      <c r="B1315" s="760"/>
      <c r="C1315" s="507" t="s">
        <v>5192</v>
      </c>
      <c r="D1315" s="508" t="s">
        <v>306</v>
      </c>
      <c r="E1315" s="508" t="s">
        <v>322</v>
      </c>
      <c r="F1315" s="508" t="s">
        <v>307</v>
      </c>
      <c r="G1315" s="507" t="s">
        <v>5193</v>
      </c>
      <c r="H1315" s="507" t="s">
        <v>5194</v>
      </c>
      <c r="I1315" s="507" t="s">
        <v>5195</v>
      </c>
      <c r="J1315" s="508" t="s">
        <v>664</v>
      </c>
      <c r="K1315" s="508" t="s">
        <v>4972</v>
      </c>
      <c r="L1315" s="508"/>
      <c r="M1315" s="509">
        <v>500000</v>
      </c>
      <c r="N1315" s="148"/>
    </row>
    <row r="1316" spans="1:14">
      <c r="A1316" s="123">
        <v>10</v>
      </c>
      <c r="B1316" s="760"/>
      <c r="C1316" s="545" t="s">
        <v>5196</v>
      </c>
      <c r="D1316" s="537" t="s">
        <v>306</v>
      </c>
      <c r="E1316" s="537" t="s">
        <v>322</v>
      </c>
      <c r="F1316" s="537" t="s">
        <v>307</v>
      </c>
      <c r="G1316" s="545" t="s">
        <v>4965</v>
      </c>
      <c r="H1316" s="545" t="s">
        <v>347</v>
      </c>
      <c r="I1316" s="545" t="s">
        <v>4916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60"/>
      <c r="C1317" s="545" t="s">
        <v>5196</v>
      </c>
      <c r="D1317" s="537" t="s">
        <v>306</v>
      </c>
      <c r="E1317" s="537" t="s">
        <v>322</v>
      </c>
      <c r="F1317" s="537" t="s">
        <v>307</v>
      </c>
      <c r="G1317" s="545" t="s">
        <v>4804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60" t="s">
        <v>5048</v>
      </c>
      <c r="C1318" s="149" t="s">
        <v>5184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5198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5199</v>
      </c>
    </row>
    <row r="1319" spans="1:14">
      <c r="A1319" s="123">
        <v>10</v>
      </c>
      <c r="B1319" s="760"/>
      <c r="C1319" s="520" t="s">
        <v>5323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5324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5199</v>
      </c>
    </row>
    <row r="1320" spans="1:14" ht="25.5">
      <c r="A1320" s="123">
        <v>10</v>
      </c>
      <c r="B1320" s="760"/>
      <c r="C1320" s="149" t="s">
        <v>5188</v>
      </c>
      <c r="D1320" s="148" t="s">
        <v>311</v>
      </c>
      <c r="E1320" s="148" t="s">
        <v>675</v>
      </c>
      <c r="F1320" s="149" t="s">
        <v>5200</v>
      </c>
      <c r="G1320" s="149">
        <v>7064</v>
      </c>
      <c r="H1320" s="149" t="s">
        <v>1238</v>
      </c>
      <c r="I1320" s="149" t="s">
        <v>5201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5199</v>
      </c>
    </row>
    <row r="1321" spans="1:14">
      <c r="A1321" s="123">
        <v>10</v>
      </c>
      <c r="B1321" s="760"/>
      <c r="C1321" s="907" t="s">
        <v>5202</v>
      </c>
      <c r="D1321" s="905" t="s">
        <v>311</v>
      </c>
      <c r="E1321" s="905" t="s">
        <v>320</v>
      </c>
      <c r="F1321" s="907" t="s">
        <v>337</v>
      </c>
      <c r="G1321" s="907" t="s">
        <v>3168</v>
      </c>
      <c r="H1321" s="907" t="s">
        <v>3057</v>
      </c>
      <c r="I1321" s="490" t="s">
        <v>5177</v>
      </c>
      <c r="J1321" s="907" t="s">
        <v>638</v>
      </c>
      <c r="K1321" s="907" t="s">
        <v>705</v>
      </c>
      <c r="L1321" s="905" t="s">
        <v>309</v>
      </c>
      <c r="M1321" s="906">
        <v>500000</v>
      </c>
      <c r="N1321" s="905" t="s">
        <v>1206</v>
      </c>
    </row>
    <row r="1322" spans="1:14">
      <c r="A1322" s="123">
        <v>10</v>
      </c>
      <c r="B1322" s="760"/>
      <c r="C1322" s="907"/>
      <c r="D1322" s="905"/>
      <c r="E1322" s="905"/>
      <c r="F1322" s="907"/>
      <c r="G1322" s="907"/>
      <c r="H1322" s="907"/>
      <c r="I1322" s="490" t="s">
        <v>5178</v>
      </c>
      <c r="J1322" s="907"/>
      <c r="K1322" s="907"/>
      <c r="L1322" s="905"/>
      <c r="M1322" s="906"/>
      <c r="N1322" s="905"/>
    </row>
    <row r="1323" spans="1:14">
      <c r="A1323" s="123">
        <v>10</v>
      </c>
      <c r="B1323" s="760"/>
      <c r="C1323" s="149" t="s">
        <v>5203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5204</v>
      </c>
      <c r="J1323" s="149" t="s">
        <v>638</v>
      </c>
      <c r="K1323" s="149" t="s">
        <v>5205</v>
      </c>
      <c r="L1323" s="148" t="s">
        <v>309</v>
      </c>
      <c r="M1323" s="505">
        <v>250000</v>
      </c>
      <c r="N1323" s="148" t="s">
        <v>5033</v>
      </c>
    </row>
    <row r="1324" spans="1:14">
      <c r="A1324" s="123">
        <v>10</v>
      </c>
      <c r="B1324" s="760"/>
      <c r="C1324" s="520" t="s">
        <v>5203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5326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5033</v>
      </c>
    </row>
    <row r="1325" spans="1:14">
      <c r="A1325" s="123">
        <v>10</v>
      </c>
      <c r="B1325" s="760"/>
      <c r="C1325" s="149" t="s">
        <v>5203</v>
      </c>
      <c r="D1325" s="148" t="s">
        <v>311</v>
      </c>
      <c r="E1325" s="148" t="s">
        <v>675</v>
      </c>
      <c r="F1325" s="149" t="s">
        <v>720</v>
      </c>
      <c r="G1325" s="149" t="s">
        <v>5206</v>
      </c>
      <c r="H1325" s="149" t="s">
        <v>730</v>
      </c>
      <c r="I1325" s="149" t="s">
        <v>5207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5033</v>
      </c>
    </row>
    <row r="1326" spans="1:14">
      <c r="A1326" s="123">
        <v>10</v>
      </c>
      <c r="B1326" s="760"/>
      <c r="C1326" s="907" t="s">
        <v>5203</v>
      </c>
      <c r="D1326" s="905" t="s">
        <v>311</v>
      </c>
      <c r="E1326" s="905" t="s">
        <v>320</v>
      </c>
      <c r="F1326" s="907" t="s">
        <v>337</v>
      </c>
      <c r="G1326" s="907" t="s">
        <v>3168</v>
      </c>
      <c r="H1326" s="907" t="s">
        <v>3057</v>
      </c>
      <c r="I1326" s="490" t="s">
        <v>5177</v>
      </c>
      <c r="J1326" s="907"/>
      <c r="K1326" s="907" t="s">
        <v>705</v>
      </c>
      <c r="L1326" s="905" t="s">
        <v>309</v>
      </c>
      <c r="M1326" s="906">
        <v>500000</v>
      </c>
      <c r="N1326" s="905" t="s">
        <v>1206</v>
      </c>
    </row>
    <row r="1327" spans="1:14">
      <c r="A1327" s="123">
        <v>10</v>
      </c>
      <c r="B1327" s="760"/>
      <c r="C1327" s="907"/>
      <c r="D1327" s="905"/>
      <c r="E1327" s="905"/>
      <c r="F1327" s="907"/>
      <c r="G1327" s="907"/>
      <c r="H1327" s="907"/>
      <c r="I1327" s="490" t="s">
        <v>5178</v>
      </c>
      <c r="J1327" s="907"/>
      <c r="K1327" s="907"/>
      <c r="L1327" s="905"/>
      <c r="M1327" s="906"/>
      <c r="N1327" s="905"/>
    </row>
    <row r="1328" spans="1:14" ht="25.5">
      <c r="A1328" s="123">
        <v>10</v>
      </c>
      <c r="B1328" s="760"/>
      <c r="C1328" s="149" t="s">
        <v>5203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5208</v>
      </c>
      <c r="J1328" s="149"/>
      <c r="K1328" s="149" t="s">
        <v>5209</v>
      </c>
      <c r="L1328" s="148" t="s">
        <v>309</v>
      </c>
      <c r="M1328" s="505">
        <v>600000</v>
      </c>
      <c r="N1328" s="148" t="s">
        <v>5033</v>
      </c>
    </row>
    <row r="1329" spans="1:14">
      <c r="A1329" s="123">
        <v>10</v>
      </c>
      <c r="B1329" s="760"/>
      <c r="C1329" s="908" t="s">
        <v>5210</v>
      </c>
      <c r="D1329" s="909" t="s">
        <v>311</v>
      </c>
      <c r="E1329" s="909" t="s">
        <v>675</v>
      </c>
      <c r="F1329" s="520" t="s">
        <v>5211</v>
      </c>
      <c r="G1329" s="908" t="s">
        <v>5213</v>
      </c>
      <c r="H1329" s="908" t="s">
        <v>662</v>
      </c>
      <c r="I1329" s="908" t="s">
        <v>5327</v>
      </c>
      <c r="J1329" s="908" t="s">
        <v>638</v>
      </c>
      <c r="K1329" s="908" t="s">
        <v>713</v>
      </c>
      <c r="L1329" s="909" t="s">
        <v>309</v>
      </c>
      <c r="M1329" s="910">
        <v>250000</v>
      </c>
      <c r="N1329" s="905" t="s">
        <v>5033</v>
      </c>
    </row>
    <row r="1330" spans="1:14">
      <c r="A1330" s="123">
        <v>10</v>
      </c>
      <c r="B1330" s="760"/>
      <c r="C1330" s="907"/>
      <c r="D1330" s="905"/>
      <c r="E1330" s="905"/>
      <c r="F1330" s="149" t="s">
        <v>5212</v>
      </c>
      <c r="G1330" s="907"/>
      <c r="H1330" s="907"/>
      <c r="I1330" s="907"/>
      <c r="J1330" s="907"/>
      <c r="K1330" s="907"/>
      <c r="L1330" s="905"/>
      <c r="M1330" s="906"/>
      <c r="N1330" s="905"/>
    </row>
    <row r="1331" spans="1:14">
      <c r="A1331" s="123">
        <v>10</v>
      </c>
      <c r="B1331" s="760"/>
      <c r="C1331" s="908" t="s">
        <v>5214</v>
      </c>
      <c r="D1331" s="909" t="s">
        <v>311</v>
      </c>
      <c r="E1331" s="909" t="s">
        <v>675</v>
      </c>
      <c r="F1331" s="908" t="s">
        <v>5215</v>
      </c>
      <c r="G1331" s="521" t="s">
        <v>5127</v>
      </c>
      <c r="H1331" s="919" t="s">
        <v>347</v>
      </c>
      <c r="I1331" s="520" t="s">
        <v>5328</v>
      </c>
      <c r="J1331" s="908"/>
      <c r="K1331" s="908" t="s">
        <v>692</v>
      </c>
      <c r="L1331" s="909" t="s">
        <v>309</v>
      </c>
      <c r="M1331" s="910">
        <v>500000</v>
      </c>
      <c r="N1331" s="905" t="s">
        <v>5033</v>
      </c>
    </row>
    <row r="1332" spans="1:14">
      <c r="A1332" s="123">
        <v>10</v>
      </c>
      <c r="B1332" s="760"/>
      <c r="C1332" s="907"/>
      <c r="D1332" s="905"/>
      <c r="E1332" s="905"/>
      <c r="F1332" s="907"/>
      <c r="G1332" s="489" t="s">
        <v>5216</v>
      </c>
      <c r="H1332" s="920"/>
      <c r="I1332" s="149" t="s">
        <v>5218</v>
      </c>
      <c r="J1332" s="907"/>
      <c r="K1332" s="907"/>
      <c r="L1332" s="905"/>
      <c r="M1332" s="906"/>
      <c r="N1332" s="905"/>
    </row>
    <row r="1333" spans="1:14">
      <c r="A1333" s="123">
        <v>11</v>
      </c>
      <c r="B1333" s="760" t="s">
        <v>5234</v>
      </c>
      <c r="C1333" s="490" t="s">
        <v>5219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5220</v>
      </c>
      <c r="J1333" s="492" t="s">
        <v>664</v>
      </c>
      <c r="K1333" s="492" t="s">
        <v>5122</v>
      </c>
      <c r="L1333" s="492"/>
      <c r="M1333" s="495">
        <v>300000</v>
      </c>
      <c r="N1333" s="492" t="s">
        <v>5221</v>
      </c>
    </row>
    <row r="1334" spans="1:14">
      <c r="A1334" s="123">
        <v>11</v>
      </c>
      <c r="B1334" s="760"/>
      <c r="C1334" s="510" t="s">
        <v>5222</v>
      </c>
      <c r="D1334" s="511" t="s">
        <v>306</v>
      </c>
      <c r="E1334" s="511" t="s">
        <v>322</v>
      </c>
      <c r="F1334" s="511" t="s">
        <v>307</v>
      </c>
      <c r="G1334" s="510" t="s">
        <v>4939</v>
      </c>
      <c r="H1334" s="510" t="s">
        <v>3175</v>
      </c>
      <c r="I1334" s="510" t="s">
        <v>1096</v>
      </c>
      <c r="J1334" s="511" t="s">
        <v>664</v>
      </c>
      <c r="K1334" s="511" t="s">
        <v>5112</v>
      </c>
      <c r="L1334" s="511"/>
      <c r="M1334" s="512">
        <v>1250000</v>
      </c>
      <c r="N1334" s="492"/>
    </row>
    <row r="1335" spans="1:14">
      <c r="A1335" s="123">
        <v>11</v>
      </c>
      <c r="B1335" s="760"/>
      <c r="C1335" s="546" t="s">
        <v>5222</v>
      </c>
      <c r="D1335" s="539" t="s">
        <v>306</v>
      </c>
      <c r="E1335" s="539" t="s">
        <v>322</v>
      </c>
      <c r="F1335" s="539" t="s">
        <v>307</v>
      </c>
      <c r="G1335" s="546" t="s">
        <v>4939</v>
      </c>
      <c r="H1335" s="546" t="s">
        <v>3175</v>
      </c>
      <c r="I1335" s="546" t="s">
        <v>5333</v>
      </c>
      <c r="J1335" s="539" t="s">
        <v>664</v>
      </c>
      <c r="K1335" s="539" t="s">
        <v>5223</v>
      </c>
      <c r="L1335" s="539"/>
      <c r="M1335" s="540">
        <v>750000</v>
      </c>
      <c r="N1335" s="492"/>
    </row>
    <row r="1336" spans="1:14">
      <c r="A1336" s="123">
        <v>11</v>
      </c>
      <c r="B1336" s="760"/>
      <c r="C1336" s="546" t="s">
        <v>5222</v>
      </c>
      <c r="D1336" s="539" t="s">
        <v>306</v>
      </c>
      <c r="E1336" s="539" t="s">
        <v>322</v>
      </c>
      <c r="F1336" s="539" t="s">
        <v>307</v>
      </c>
      <c r="G1336" s="546" t="s">
        <v>4939</v>
      </c>
      <c r="H1336" s="546" t="s">
        <v>3175</v>
      </c>
      <c r="I1336" s="546" t="s">
        <v>5195</v>
      </c>
      <c r="J1336" s="539" t="s">
        <v>664</v>
      </c>
      <c r="K1336" s="539" t="s">
        <v>5224</v>
      </c>
      <c r="L1336" s="539"/>
      <c r="M1336" s="540">
        <v>500000</v>
      </c>
      <c r="N1336" s="492"/>
    </row>
    <row r="1337" spans="1:14">
      <c r="A1337" s="123">
        <v>11</v>
      </c>
      <c r="B1337" s="760"/>
      <c r="C1337" s="546" t="s">
        <v>5222</v>
      </c>
      <c r="D1337" s="539" t="s">
        <v>306</v>
      </c>
      <c r="E1337" s="539" t="s">
        <v>322</v>
      </c>
      <c r="F1337" s="539" t="s">
        <v>307</v>
      </c>
      <c r="G1337" s="546" t="s">
        <v>5225</v>
      </c>
      <c r="H1337" s="546" t="s">
        <v>3113</v>
      </c>
      <c r="I1337" s="546" t="s">
        <v>4916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60"/>
      <c r="C1338" s="527" t="s">
        <v>5222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4916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60" t="s">
        <v>5164</v>
      </c>
      <c r="C1339" s="919" t="s">
        <v>5219</v>
      </c>
      <c r="D1339" s="921" t="s">
        <v>311</v>
      </c>
      <c r="E1339" s="921" t="s">
        <v>675</v>
      </c>
      <c r="F1339" s="919" t="s">
        <v>5215</v>
      </c>
      <c r="G1339" s="524" t="s">
        <v>5127</v>
      </c>
      <c r="H1339" s="919" t="s">
        <v>347</v>
      </c>
      <c r="I1339" s="524" t="s">
        <v>5217</v>
      </c>
      <c r="J1339" s="919"/>
      <c r="K1339" s="919" t="s">
        <v>692</v>
      </c>
      <c r="L1339" s="921" t="s">
        <v>309</v>
      </c>
      <c r="M1339" s="922">
        <v>500000</v>
      </c>
      <c r="N1339" s="920" t="s">
        <v>5226</v>
      </c>
    </row>
    <row r="1340" spans="1:14">
      <c r="A1340" s="123">
        <v>11</v>
      </c>
      <c r="B1340" s="760"/>
      <c r="C1340" s="920"/>
      <c r="D1340" s="917"/>
      <c r="E1340" s="917"/>
      <c r="F1340" s="920"/>
      <c r="G1340" s="490" t="s">
        <v>5216</v>
      </c>
      <c r="H1340" s="920"/>
      <c r="I1340" s="490" t="s">
        <v>5218</v>
      </c>
      <c r="J1340" s="920"/>
      <c r="K1340" s="920"/>
      <c r="L1340" s="917"/>
      <c r="M1340" s="923"/>
      <c r="N1340" s="920"/>
    </row>
    <row r="1341" spans="1:14">
      <c r="A1341" s="123">
        <v>11</v>
      </c>
      <c r="B1341" s="760"/>
      <c r="C1341" s="546" t="s">
        <v>5329</v>
      </c>
      <c r="D1341" s="539" t="s">
        <v>311</v>
      </c>
      <c r="E1341" s="539" t="s">
        <v>320</v>
      </c>
      <c r="F1341" s="546" t="s">
        <v>2601</v>
      </c>
      <c r="G1341" s="546" t="s">
        <v>4925</v>
      </c>
      <c r="H1341" s="546" t="s">
        <v>3113</v>
      </c>
      <c r="I1341" s="546" t="s">
        <v>5330</v>
      </c>
      <c r="J1341" s="527" t="s">
        <v>1111</v>
      </c>
      <c r="K1341" s="527" t="s">
        <v>5227</v>
      </c>
      <c r="L1341" s="528" t="s">
        <v>309</v>
      </c>
      <c r="M1341" s="530">
        <v>500000</v>
      </c>
      <c r="N1341" s="490" t="s">
        <v>5228</v>
      </c>
    </row>
    <row r="1342" spans="1:14">
      <c r="A1342" s="123">
        <v>11</v>
      </c>
      <c r="B1342" s="760"/>
      <c r="C1342" s="493" t="s">
        <v>5229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5230</v>
      </c>
      <c r="J1342" s="493" t="s">
        <v>702</v>
      </c>
      <c r="K1342" s="493" t="s">
        <v>5231</v>
      </c>
      <c r="L1342" s="494" t="s">
        <v>309</v>
      </c>
      <c r="M1342" s="506">
        <v>800000</v>
      </c>
      <c r="N1342" s="490" t="s">
        <v>5232</v>
      </c>
    </row>
    <row r="1343" spans="1:14" ht="36">
      <c r="A1343" s="123">
        <v>11</v>
      </c>
      <c r="B1343" s="760"/>
      <c r="C1343" s="524" t="s">
        <v>5229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5331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5233</v>
      </c>
    </row>
    <row r="1344" spans="1:14">
      <c r="A1344" s="123">
        <v>12</v>
      </c>
      <c r="B1344" s="760" t="s">
        <v>5171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4915</v>
      </c>
      <c r="I1344" s="550" t="s">
        <v>4917</v>
      </c>
      <c r="J1344" s="541" t="s">
        <v>4919</v>
      </c>
      <c r="K1344" s="541" t="s">
        <v>4920</v>
      </c>
      <c r="L1344" s="541"/>
      <c r="M1344" s="542">
        <v>250000</v>
      </c>
      <c r="N1344" s="26"/>
    </row>
    <row r="1345" spans="1:14">
      <c r="A1345" s="123">
        <v>12</v>
      </c>
      <c r="B1345" s="760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4926</v>
      </c>
      <c r="H1345" s="534" t="s">
        <v>4927</v>
      </c>
      <c r="I1345" s="535" t="s">
        <v>5332</v>
      </c>
      <c r="J1345" s="532" t="s">
        <v>4919</v>
      </c>
      <c r="K1345" s="532" t="s">
        <v>4938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60"/>
      <c r="C1346" s="531" t="s">
        <v>4923</v>
      </c>
      <c r="D1346" s="532" t="s">
        <v>19</v>
      </c>
      <c r="E1346" s="532" t="s">
        <v>25</v>
      </c>
      <c r="F1346" s="532" t="s">
        <v>307</v>
      </c>
      <c r="G1346" s="533" t="s">
        <v>4921</v>
      </c>
      <c r="H1346" s="534" t="s">
        <v>4922</v>
      </c>
      <c r="I1346" s="535" t="s">
        <v>4917</v>
      </c>
      <c r="J1346" s="532" t="s">
        <v>4919</v>
      </c>
      <c r="K1346" s="532" t="s">
        <v>4924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60"/>
      <c r="C1347" s="547" t="s">
        <v>4914</v>
      </c>
      <c r="D1347" s="541" t="s">
        <v>19</v>
      </c>
      <c r="E1347" s="541" t="s">
        <v>25</v>
      </c>
      <c r="F1347" s="541" t="s">
        <v>307</v>
      </c>
      <c r="G1347" s="548" t="s">
        <v>4940</v>
      </c>
      <c r="H1347" s="549" t="s">
        <v>4941</v>
      </c>
      <c r="I1347" s="550" t="s">
        <v>4942</v>
      </c>
      <c r="J1347" s="541" t="s">
        <v>4918</v>
      </c>
      <c r="K1347" s="513" t="s">
        <v>5316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60"/>
      <c r="C1348" s="481" t="s">
        <v>4946</v>
      </c>
      <c r="D1348" s="249" t="s">
        <v>19</v>
      </c>
      <c r="E1348" s="249" t="s">
        <v>25</v>
      </c>
      <c r="F1348" s="249" t="s">
        <v>307</v>
      </c>
      <c r="G1348" s="475" t="s">
        <v>4940</v>
      </c>
      <c r="H1348" s="476" t="s">
        <v>4951</v>
      </c>
      <c r="I1348" s="250" t="s">
        <v>4950</v>
      </c>
      <c r="J1348" s="249" t="s">
        <v>4943</v>
      </c>
      <c r="K1348" s="653" t="s">
        <v>4947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60"/>
      <c r="C1349" s="481" t="s">
        <v>4914</v>
      </c>
      <c r="D1349" s="249" t="s">
        <v>19</v>
      </c>
      <c r="E1349" s="249" t="s">
        <v>25</v>
      </c>
      <c r="F1349" s="249" t="s">
        <v>307</v>
      </c>
      <c r="G1349" s="475" t="s">
        <v>4948</v>
      </c>
      <c r="H1349" s="476" t="s">
        <v>4949</v>
      </c>
      <c r="I1349" s="250" t="s">
        <v>4950</v>
      </c>
      <c r="J1349" s="249" t="s">
        <v>4943</v>
      </c>
      <c r="K1349" s="541" t="s">
        <v>4945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60" t="s">
        <v>5197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4934</v>
      </c>
      <c r="J1350" s="467"/>
      <c r="K1350" s="466" t="s">
        <v>4935</v>
      </c>
      <c r="L1350" s="136" t="s">
        <v>4936</v>
      </c>
      <c r="M1350" s="478">
        <v>500000</v>
      </c>
      <c r="N1350" s="479" t="s">
        <v>4953</v>
      </c>
    </row>
    <row r="1351" spans="1:14">
      <c r="A1351" s="123">
        <v>12</v>
      </c>
      <c r="B1351" s="760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4932</v>
      </c>
      <c r="J1351" s="467" t="s">
        <v>4931</v>
      </c>
      <c r="K1351" s="467" t="s">
        <v>487</v>
      </c>
      <c r="L1351" s="136" t="s">
        <v>15</v>
      </c>
      <c r="M1351" s="480">
        <v>500000</v>
      </c>
      <c r="N1351" s="479" t="s">
        <v>4954</v>
      </c>
    </row>
    <row r="1352" spans="1:14" ht="27">
      <c r="A1352" s="123">
        <v>12</v>
      </c>
      <c r="B1352" s="760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4933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4955</v>
      </c>
    </row>
    <row r="1353" spans="1:14">
      <c r="A1353" s="123">
        <v>12</v>
      </c>
      <c r="B1353" s="760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4952</v>
      </c>
      <c r="J1353" s="467"/>
      <c r="K1353" s="722" t="s">
        <v>487</v>
      </c>
      <c r="L1353" s="136" t="s">
        <v>15</v>
      </c>
      <c r="M1353" s="478">
        <v>500000</v>
      </c>
      <c r="N1353" s="479" t="s">
        <v>4956</v>
      </c>
    </row>
    <row r="1354" spans="1:14">
      <c r="A1354" s="123">
        <v>13</v>
      </c>
      <c r="B1354" s="760" t="s">
        <v>5315</v>
      </c>
      <c r="C1354" s="403">
        <v>46106</v>
      </c>
      <c r="D1354" s="249" t="s">
        <v>124</v>
      </c>
      <c r="E1354" s="249" t="s">
        <v>151</v>
      </c>
      <c r="F1354" s="249" t="s">
        <v>5255</v>
      </c>
      <c r="G1354" s="475">
        <v>594</v>
      </c>
      <c r="H1354" s="476" t="s">
        <v>264</v>
      </c>
      <c r="I1354" s="250" t="s">
        <v>5256</v>
      </c>
      <c r="J1354" s="249" t="s">
        <v>168</v>
      </c>
      <c r="K1354" s="694" t="s">
        <v>686</v>
      </c>
      <c r="L1354" s="249"/>
      <c r="M1354" s="477">
        <v>250000</v>
      </c>
    </row>
    <row r="1355" spans="1:14">
      <c r="A1355" s="123">
        <v>13</v>
      </c>
      <c r="B1355" s="760"/>
      <c r="C1355" s="403">
        <v>46107</v>
      </c>
      <c r="D1355" s="249" t="s">
        <v>124</v>
      </c>
      <c r="E1355" s="249" t="s">
        <v>151</v>
      </c>
      <c r="F1355" s="249" t="s">
        <v>5255</v>
      </c>
      <c r="G1355" s="475" t="s">
        <v>3589</v>
      </c>
      <c r="H1355" s="476" t="s">
        <v>34</v>
      </c>
      <c r="I1355" s="250" t="s">
        <v>5280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60"/>
      <c r="C1356" s="403">
        <v>46107</v>
      </c>
      <c r="D1356" s="249" t="s">
        <v>49</v>
      </c>
      <c r="E1356" s="249" t="s">
        <v>151</v>
      </c>
      <c r="F1356" s="249" t="s">
        <v>5255</v>
      </c>
      <c r="G1356" s="475" t="s">
        <v>5281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60"/>
      <c r="C1357" s="403">
        <v>46108</v>
      </c>
      <c r="D1357" s="249" t="s">
        <v>49</v>
      </c>
      <c r="E1357" s="249" t="s">
        <v>151</v>
      </c>
      <c r="F1357" s="249" t="s">
        <v>5255</v>
      </c>
      <c r="G1357" s="475" t="s">
        <v>3589</v>
      </c>
      <c r="H1357" s="476" t="s">
        <v>34</v>
      </c>
      <c r="I1357" s="250" t="s">
        <v>5280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60"/>
      <c r="C1358" s="517" t="s">
        <v>5303</v>
      </c>
      <c r="D1358" s="513" t="s">
        <v>49</v>
      </c>
      <c r="E1358" s="513" t="s">
        <v>151</v>
      </c>
      <c r="F1358" s="513" t="s">
        <v>5255</v>
      </c>
      <c r="G1358" s="514" t="s">
        <v>4940</v>
      </c>
      <c r="H1358" s="515" t="s">
        <v>482</v>
      </c>
      <c r="I1358" s="516" t="s">
        <v>5304</v>
      </c>
      <c r="J1358" s="513" t="s">
        <v>126</v>
      </c>
      <c r="K1358" s="541" t="s">
        <v>5669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60"/>
      <c r="C1359" s="370" t="s">
        <v>5305</v>
      </c>
      <c r="D1359" s="249" t="s">
        <v>49</v>
      </c>
      <c r="E1359" s="249" t="s">
        <v>151</v>
      </c>
      <c r="F1359" s="249" t="s">
        <v>5255</v>
      </c>
      <c r="G1359" s="475" t="s">
        <v>4940</v>
      </c>
      <c r="H1359" s="476" t="s">
        <v>482</v>
      </c>
      <c r="I1359" s="250" t="s">
        <v>5306</v>
      </c>
      <c r="J1359" s="249" t="s">
        <v>1948</v>
      </c>
      <c r="K1359" s="653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60"/>
      <c r="C1360" s="403" t="s">
        <v>5307</v>
      </c>
      <c r="D1360" s="249" t="s">
        <v>49</v>
      </c>
      <c r="E1360" s="249" t="s">
        <v>151</v>
      </c>
      <c r="F1360" s="249" t="s">
        <v>5255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694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60"/>
      <c r="C1361" s="403" t="s">
        <v>5308</v>
      </c>
      <c r="D1361" s="249" t="s">
        <v>49</v>
      </c>
      <c r="E1361" s="249" t="s">
        <v>151</v>
      </c>
      <c r="F1361" s="249" t="s">
        <v>5255</v>
      </c>
      <c r="G1361" s="475" t="s">
        <v>4948</v>
      </c>
      <c r="H1361" s="476" t="s">
        <v>102</v>
      </c>
      <c r="I1361" s="250" t="s">
        <v>2497</v>
      </c>
      <c r="J1361" s="249" t="s">
        <v>1259</v>
      </c>
      <c r="K1361" s="694" t="s">
        <v>5311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60"/>
      <c r="C1362" s="518" t="s">
        <v>5309</v>
      </c>
      <c r="D1362" s="513" t="s">
        <v>49</v>
      </c>
      <c r="E1362" s="513" t="s">
        <v>151</v>
      </c>
      <c r="F1362" s="513" t="s">
        <v>5255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5317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60" t="s">
        <v>5314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60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5295</v>
      </c>
      <c r="J1364" s="466" t="s">
        <v>90</v>
      </c>
      <c r="K1364" s="722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60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5235</v>
      </c>
      <c r="J1365" s="467"/>
      <c r="K1365" s="718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60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5235</v>
      </c>
      <c r="J1366" s="31"/>
      <c r="K1366" s="718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60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5293</v>
      </c>
      <c r="J1367" s="467" t="s">
        <v>90</v>
      </c>
      <c r="K1367" s="649" t="s">
        <v>5279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60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4940</v>
      </c>
      <c r="H1368" s="472" t="s">
        <v>34</v>
      </c>
      <c r="I1368" s="466" t="s">
        <v>5302</v>
      </c>
      <c r="J1368" s="466" t="s">
        <v>202</v>
      </c>
      <c r="K1368" s="718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915" t="s">
        <v>307</v>
      </c>
      <c r="C1369" s="134" t="s">
        <v>5448</v>
      </c>
      <c r="D1369" s="129" t="s">
        <v>306</v>
      </c>
      <c r="E1369" s="129" t="s">
        <v>322</v>
      </c>
      <c r="F1369" s="130" t="s">
        <v>5406</v>
      </c>
      <c r="G1369" s="130" t="s">
        <v>4939</v>
      </c>
      <c r="H1369" s="130" t="s">
        <v>1911</v>
      </c>
      <c r="I1369" s="580" t="s">
        <v>5407</v>
      </c>
      <c r="J1369" s="581" t="s">
        <v>1111</v>
      </c>
      <c r="K1369" s="655" t="s">
        <v>3105</v>
      </c>
      <c r="L1369" s="492"/>
      <c r="M1369" s="495">
        <v>250000</v>
      </c>
      <c r="N1369" s="917" t="s">
        <v>5449</v>
      </c>
    </row>
    <row r="1370" spans="1:14">
      <c r="A1370" s="123">
        <v>14</v>
      </c>
      <c r="B1370" s="916"/>
      <c r="C1370" s="152" t="s">
        <v>5448</v>
      </c>
      <c r="D1370" s="129" t="s">
        <v>306</v>
      </c>
      <c r="E1370" s="129" t="s">
        <v>322</v>
      </c>
      <c r="F1370" s="130" t="s">
        <v>5406</v>
      </c>
      <c r="G1370" s="582" t="s">
        <v>4965</v>
      </c>
      <c r="H1370" s="582" t="s">
        <v>347</v>
      </c>
      <c r="I1370" s="582" t="s">
        <v>4916</v>
      </c>
      <c r="J1370" s="581" t="s">
        <v>1534</v>
      </c>
      <c r="K1370" s="650" t="s">
        <v>713</v>
      </c>
      <c r="L1370" s="492"/>
      <c r="M1370" s="495">
        <v>250000</v>
      </c>
      <c r="N1370" s="917"/>
    </row>
    <row r="1371" spans="1:14">
      <c r="A1371" s="123">
        <v>14</v>
      </c>
      <c r="B1371" s="916"/>
      <c r="C1371" s="583" t="s">
        <v>5450</v>
      </c>
      <c r="D1371" s="129" t="s">
        <v>306</v>
      </c>
      <c r="E1371" s="129" t="s">
        <v>322</v>
      </c>
      <c r="F1371" s="130" t="s">
        <v>5406</v>
      </c>
      <c r="G1371" s="582" t="s">
        <v>4939</v>
      </c>
      <c r="H1371" s="582" t="s">
        <v>1911</v>
      </c>
      <c r="I1371" s="582" t="s">
        <v>5408</v>
      </c>
      <c r="J1371" s="581" t="s">
        <v>1111</v>
      </c>
      <c r="K1371" s="655" t="s">
        <v>5691</v>
      </c>
      <c r="L1371" s="492"/>
      <c r="M1371" s="495">
        <v>2500000</v>
      </c>
      <c r="N1371" s="585"/>
    </row>
    <row r="1372" spans="1:14">
      <c r="A1372" s="123">
        <v>14</v>
      </c>
      <c r="B1372" s="916"/>
      <c r="C1372" s="130" t="s">
        <v>5451</v>
      </c>
      <c r="D1372" s="581" t="s">
        <v>306</v>
      </c>
      <c r="E1372" s="581" t="s">
        <v>322</v>
      </c>
      <c r="F1372" s="581" t="s">
        <v>5406</v>
      </c>
      <c r="G1372" s="582" t="s">
        <v>4939</v>
      </c>
      <c r="H1372" s="582" t="s">
        <v>1911</v>
      </c>
      <c r="I1372" s="582" t="s">
        <v>5452</v>
      </c>
      <c r="J1372" s="581" t="s">
        <v>5453</v>
      </c>
      <c r="K1372" s="655" t="s">
        <v>4944</v>
      </c>
      <c r="L1372" s="492"/>
      <c r="M1372" s="495">
        <v>750000</v>
      </c>
      <c r="N1372" s="585"/>
    </row>
    <row r="1373" spans="1:14">
      <c r="A1373" s="123">
        <v>14</v>
      </c>
      <c r="B1373" s="916"/>
      <c r="C1373" s="130" t="s">
        <v>5454</v>
      </c>
      <c r="D1373" s="129" t="s">
        <v>306</v>
      </c>
      <c r="E1373" s="129" t="s">
        <v>322</v>
      </c>
      <c r="F1373" s="130" t="s">
        <v>5406</v>
      </c>
      <c r="G1373" s="582" t="s">
        <v>5455</v>
      </c>
      <c r="H1373" s="582" t="s">
        <v>662</v>
      </c>
      <c r="I1373" s="582" t="s">
        <v>5456</v>
      </c>
      <c r="J1373" s="581" t="s">
        <v>1534</v>
      </c>
      <c r="K1373" s="650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916"/>
      <c r="C1374" s="130" t="s">
        <v>5457</v>
      </c>
      <c r="D1374" s="129" t="s">
        <v>306</v>
      </c>
      <c r="E1374" s="129" t="s">
        <v>322</v>
      </c>
      <c r="F1374" s="130" t="s">
        <v>5406</v>
      </c>
      <c r="G1374" s="582" t="s">
        <v>5093</v>
      </c>
      <c r="H1374" s="582" t="s">
        <v>347</v>
      </c>
      <c r="I1374" s="582" t="s">
        <v>5458</v>
      </c>
      <c r="J1374" s="581" t="s">
        <v>1534</v>
      </c>
      <c r="K1374" s="650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916"/>
      <c r="C1375" s="130" t="s">
        <v>5459</v>
      </c>
      <c r="D1375" s="581" t="s">
        <v>306</v>
      </c>
      <c r="E1375" s="581" t="s">
        <v>322</v>
      </c>
      <c r="F1375" s="581" t="s">
        <v>5406</v>
      </c>
      <c r="G1375" s="582" t="s">
        <v>5460</v>
      </c>
      <c r="H1375" s="582" t="s">
        <v>3113</v>
      </c>
      <c r="I1375" s="582" t="s">
        <v>5461</v>
      </c>
      <c r="J1375" s="581" t="s">
        <v>5453</v>
      </c>
      <c r="K1375" s="654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916"/>
      <c r="C1376" s="149" t="s">
        <v>5462</v>
      </c>
      <c r="D1376" s="129" t="s">
        <v>5463</v>
      </c>
      <c r="E1376" s="129" t="s">
        <v>322</v>
      </c>
      <c r="F1376" s="130" t="s">
        <v>5406</v>
      </c>
      <c r="G1376" s="582" t="s">
        <v>4939</v>
      </c>
      <c r="H1376" s="582" t="s">
        <v>3113</v>
      </c>
      <c r="I1376" s="582" t="s">
        <v>5464</v>
      </c>
      <c r="J1376" s="581" t="s">
        <v>702</v>
      </c>
      <c r="K1376" s="719" t="s">
        <v>705</v>
      </c>
      <c r="L1376" s="492"/>
      <c r="M1376" s="495">
        <v>500000</v>
      </c>
      <c r="N1376" s="26"/>
    </row>
    <row r="1377" spans="1:14">
      <c r="A1377" s="123">
        <v>14</v>
      </c>
      <c r="B1377" s="918" t="s">
        <v>311</v>
      </c>
      <c r="C1377" s="134" t="s">
        <v>5465</v>
      </c>
      <c r="D1377" s="129" t="s">
        <v>311</v>
      </c>
      <c r="E1377" s="129" t="s">
        <v>320</v>
      </c>
      <c r="F1377" s="130" t="s">
        <v>690</v>
      </c>
      <c r="G1377" s="130" t="s">
        <v>5005</v>
      </c>
      <c r="H1377" s="130" t="s">
        <v>1198</v>
      </c>
      <c r="I1377" s="580" t="s">
        <v>5466</v>
      </c>
      <c r="J1377" s="581" t="s">
        <v>638</v>
      </c>
      <c r="K1377" s="650" t="s">
        <v>713</v>
      </c>
      <c r="L1377" s="492" t="s">
        <v>309</v>
      </c>
      <c r="M1377" s="495">
        <v>250000</v>
      </c>
      <c r="N1377" s="490" t="s">
        <v>5467</v>
      </c>
    </row>
    <row r="1378" spans="1:14" ht="36">
      <c r="A1378" s="123">
        <v>14</v>
      </c>
      <c r="B1378" s="918"/>
      <c r="C1378" s="583" t="s">
        <v>5468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5469</v>
      </c>
      <c r="J1378" s="130" t="s">
        <v>638</v>
      </c>
      <c r="K1378" s="652" t="s">
        <v>713</v>
      </c>
      <c r="L1378" s="148" t="s">
        <v>309</v>
      </c>
      <c r="M1378" s="506">
        <v>250000</v>
      </c>
      <c r="N1378" s="490" t="s">
        <v>5470</v>
      </c>
    </row>
    <row r="1379" spans="1:14">
      <c r="A1379" s="123">
        <v>14</v>
      </c>
      <c r="B1379" s="918"/>
      <c r="C1379" s="130" t="s">
        <v>5468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5471</v>
      </c>
      <c r="K1379" s="648" t="s">
        <v>692</v>
      </c>
      <c r="L1379" s="148" t="s">
        <v>309</v>
      </c>
      <c r="M1379" s="506">
        <v>500000</v>
      </c>
      <c r="N1379" s="490" t="s">
        <v>5472</v>
      </c>
    </row>
    <row r="1380" spans="1:14">
      <c r="A1380" s="123">
        <v>14</v>
      </c>
      <c r="B1380" s="918"/>
      <c r="C1380" s="130" t="s">
        <v>5473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5471</v>
      </c>
      <c r="K1380" s="648" t="s">
        <v>692</v>
      </c>
      <c r="L1380" s="148" t="s">
        <v>309</v>
      </c>
      <c r="M1380" s="506">
        <v>500000</v>
      </c>
      <c r="N1380" s="490" t="s">
        <v>5472</v>
      </c>
    </row>
    <row r="1381" spans="1:14" ht="22.5">
      <c r="A1381" s="123">
        <v>14</v>
      </c>
      <c r="B1381" s="918"/>
      <c r="C1381" s="130" t="s">
        <v>5474</v>
      </c>
      <c r="D1381" s="129" t="s">
        <v>311</v>
      </c>
      <c r="E1381" s="129" t="s">
        <v>320</v>
      </c>
      <c r="F1381" s="584" t="s">
        <v>5475</v>
      </c>
      <c r="G1381" s="130" t="s">
        <v>5061</v>
      </c>
      <c r="H1381" s="130" t="s">
        <v>354</v>
      </c>
      <c r="I1381" s="130" t="s">
        <v>310</v>
      </c>
      <c r="J1381" s="130" t="s">
        <v>5471</v>
      </c>
      <c r="K1381" s="648" t="s">
        <v>692</v>
      </c>
      <c r="L1381" s="148" t="s">
        <v>309</v>
      </c>
      <c r="M1381" s="506">
        <v>500000</v>
      </c>
      <c r="N1381" s="490" t="s">
        <v>5472</v>
      </c>
    </row>
    <row r="1382" spans="1:14" ht="22.5">
      <c r="A1382" s="123">
        <v>14</v>
      </c>
      <c r="B1382" s="918"/>
      <c r="C1382" s="130" t="s">
        <v>5476</v>
      </c>
      <c r="D1382" s="129" t="s">
        <v>311</v>
      </c>
      <c r="E1382" s="129" t="s">
        <v>320</v>
      </c>
      <c r="F1382" s="584" t="s">
        <v>5475</v>
      </c>
      <c r="G1382" s="130" t="s">
        <v>5061</v>
      </c>
      <c r="H1382" s="130" t="s">
        <v>354</v>
      </c>
      <c r="I1382" s="130" t="s">
        <v>310</v>
      </c>
      <c r="J1382" s="130" t="s">
        <v>5471</v>
      </c>
      <c r="K1382" s="648" t="s">
        <v>692</v>
      </c>
      <c r="L1382" s="148" t="s">
        <v>309</v>
      </c>
      <c r="M1382" s="506">
        <v>500000</v>
      </c>
      <c r="N1382" s="490" t="s">
        <v>5472</v>
      </c>
    </row>
    <row r="1383" spans="1:14">
      <c r="A1383" s="123">
        <v>15</v>
      </c>
      <c r="B1383" s="764" t="s">
        <v>20</v>
      </c>
      <c r="C1383" s="588" t="s">
        <v>5496</v>
      </c>
      <c r="D1383" s="94" t="s">
        <v>306</v>
      </c>
      <c r="E1383" s="94" t="s">
        <v>322</v>
      </c>
      <c r="F1383" s="589" t="s">
        <v>5406</v>
      </c>
      <c r="G1383" s="589" t="s">
        <v>5495</v>
      </c>
      <c r="H1383" s="589" t="s">
        <v>23</v>
      </c>
      <c r="I1383" s="590" t="s">
        <v>5516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5494</v>
      </c>
    </row>
    <row r="1384" spans="1:14">
      <c r="A1384" s="123">
        <v>15</v>
      </c>
      <c r="B1384" s="764"/>
      <c r="C1384" s="588">
        <v>46123</v>
      </c>
      <c r="D1384" s="94" t="s">
        <v>306</v>
      </c>
      <c r="E1384" s="94" t="s">
        <v>322</v>
      </c>
      <c r="F1384" s="589" t="s">
        <v>5406</v>
      </c>
      <c r="G1384" s="589" t="s">
        <v>4939</v>
      </c>
      <c r="H1384" s="589" t="s">
        <v>1911</v>
      </c>
      <c r="I1384" s="590" t="s">
        <v>5407</v>
      </c>
      <c r="J1384" s="94" t="s">
        <v>1111</v>
      </c>
      <c r="K1384" s="656" t="s">
        <v>3105</v>
      </c>
      <c r="L1384" s="45"/>
      <c r="M1384" s="396">
        <v>250000</v>
      </c>
      <c r="N1384" s="599" t="s">
        <v>5447</v>
      </c>
    </row>
    <row r="1385" spans="1:14">
      <c r="A1385" s="123">
        <v>15</v>
      </c>
      <c r="B1385" s="764"/>
      <c r="C1385" s="588">
        <v>46125</v>
      </c>
      <c r="D1385" s="94" t="s">
        <v>5531</v>
      </c>
      <c r="E1385" s="94" t="s">
        <v>322</v>
      </c>
      <c r="F1385" s="589" t="s">
        <v>5406</v>
      </c>
      <c r="G1385" s="589" t="s">
        <v>5532</v>
      </c>
      <c r="H1385" s="589" t="s">
        <v>5533</v>
      </c>
      <c r="I1385" s="590" t="s">
        <v>5534</v>
      </c>
      <c r="J1385" s="94" t="s">
        <v>5536</v>
      </c>
      <c r="K1385" s="651" t="s">
        <v>5535</v>
      </c>
      <c r="L1385" s="45"/>
      <c r="M1385" s="396">
        <v>250000</v>
      </c>
      <c r="N1385" s="599"/>
    </row>
    <row r="1386" spans="1:14" ht="27">
      <c r="A1386" s="123">
        <v>15</v>
      </c>
      <c r="B1386" s="764"/>
      <c r="C1386" s="591" t="s">
        <v>5512</v>
      </c>
      <c r="D1386" s="45" t="s">
        <v>124</v>
      </c>
      <c r="E1386" s="45" t="s">
        <v>151</v>
      </c>
      <c r="F1386" s="373" t="s">
        <v>5255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7" t="s">
        <v>5530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64"/>
      <c r="C1387" s="591" t="s">
        <v>5514</v>
      </c>
      <c r="D1387" s="45" t="s">
        <v>124</v>
      </c>
      <c r="E1387" s="45" t="s">
        <v>151</v>
      </c>
      <c r="F1387" s="373" t="s">
        <v>5255</v>
      </c>
      <c r="G1387" s="38" t="s">
        <v>5513</v>
      </c>
      <c r="H1387" s="593" t="s">
        <v>18</v>
      </c>
      <c r="I1387" s="260" t="s">
        <v>378</v>
      </c>
      <c r="J1387" s="45" t="s">
        <v>168</v>
      </c>
      <c r="K1387" s="45" t="s">
        <v>5537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64"/>
      <c r="C1388" s="591" t="s">
        <v>5512</v>
      </c>
      <c r="D1388" s="45" t="s">
        <v>124</v>
      </c>
      <c r="E1388" s="45" t="s">
        <v>151</v>
      </c>
      <c r="F1388" s="373" t="s">
        <v>5255</v>
      </c>
      <c r="G1388" s="38" t="s">
        <v>5513</v>
      </c>
      <c r="H1388" s="593" t="s">
        <v>1225</v>
      </c>
      <c r="I1388" s="260" t="s">
        <v>3020</v>
      </c>
      <c r="J1388" s="45" t="s">
        <v>1264</v>
      </c>
      <c r="K1388" s="657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64" t="s">
        <v>5538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4888</v>
      </c>
      <c r="J1389" s="373"/>
      <c r="K1389" s="373" t="s">
        <v>2500</v>
      </c>
      <c r="L1389" s="45" t="s">
        <v>15</v>
      </c>
      <c r="M1389" s="96">
        <v>600000</v>
      </c>
      <c r="N1389" s="599" t="s">
        <v>5494</v>
      </c>
    </row>
    <row r="1390" spans="1:14">
      <c r="A1390" s="123">
        <v>15</v>
      </c>
      <c r="B1390" s="764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7" t="s">
        <v>1300</v>
      </c>
      <c r="L1390" s="45" t="s">
        <v>15</v>
      </c>
      <c r="M1390" s="96">
        <v>250000</v>
      </c>
      <c r="N1390" s="599" t="s">
        <v>5447</v>
      </c>
    </row>
    <row r="1391" spans="1:14">
      <c r="A1391" s="123">
        <v>15</v>
      </c>
      <c r="B1391" s="764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5365</v>
      </c>
      <c r="J1391" s="373" t="s">
        <v>202</v>
      </c>
      <c r="K1391" s="647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64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5486</v>
      </c>
      <c r="J1392" s="373" t="s">
        <v>90</v>
      </c>
      <c r="K1392" s="646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64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5489</v>
      </c>
      <c r="J1393" s="38" t="s">
        <v>5490</v>
      </c>
      <c r="K1393" s="646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64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4844</v>
      </c>
      <c r="J1394" s="594" t="s">
        <v>90</v>
      </c>
      <c r="K1394" s="647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64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5440</v>
      </c>
      <c r="J1395" s="594"/>
      <c r="K1395" s="646" t="s">
        <v>641</v>
      </c>
      <c r="L1395" s="45"/>
      <c r="M1395" s="602">
        <f>250000*2</f>
        <v>500000</v>
      </c>
      <c r="N1395" s="599" t="s">
        <v>5515</v>
      </c>
    </row>
    <row r="1396" spans="1:14" ht="27">
      <c r="A1396" s="123">
        <v>15</v>
      </c>
      <c r="B1396" s="764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5498</v>
      </c>
      <c r="J1396" s="373" t="s">
        <v>5479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64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5445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64" t="s">
        <v>20</v>
      </c>
      <c r="C1398" s="591">
        <v>46132</v>
      </c>
      <c r="D1398" s="148" t="s">
        <v>306</v>
      </c>
      <c r="E1398" s="148" t="s">
        <v>322</v>
      </c>
      <c r="F1398" s="149" t="s">
        <v>5406</v>
      </c>
      <c r="G1398" s="490" t="s">
        <v>5093</v>
      </c>
      <c r="H1398" s="490" t="s">
        <v>347</v>
      </c>
      <c r="I1398" s="490" t="s">
        <v>5458</v>
      </c>
      <c r="J1398" s="492" t="s">
        <v>1534</v>
      </c>
      <c r="K1398" s="657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64"/>
      <c r="C1399" s="591" t="s">
        <v>5584</v>
      </c>
      <c r="D1399" s="148" t="s">
        <v>306</v>
      </c>
      <c r="E1399" s="148" t="s">
        <v>322</v>
      </c>
      <c r="F1399" s="149" t="s">
        <v>5406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5583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64"/>
      <c r="C1400" s="591" t="s">
        <v>5581</v>
      </c>
      <c r="D1400" s="148" t="s">
        <v>306</v>
      </c>
      <c r="E1400" s="148" t="s">
        <v>322</v>
      </c>
      <c r="F1400" s="149" t="s">
        <v>5406</v>
      </c>
      <c r="G1400" s="260" t="s">
        <v>5582</v>
      </c>
      <c r="H1400" s="260" t="s">
        <v>102</v>
      </c>
      <c r="I1400" s="394" t="s">
        <v>1105</v>
      </c>
      <c r="J1400" s="492" t="s">
        <v>1534</v>
      </c>
      <c r="K1400" s="657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64"/>
      <c r="C1401" s="591" t="s">
        <v>5581</v>
      </c>
      <c r="D1401" s="148" t="s">
        <v>306</v>
      </c>
      <c r="E1401" s="148" t="s">
        <v>322</v>
      </c>
      <c r="F1401" s="149" t="s">
        <v>5406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7" t="s">
        <v>5585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64" t="s">
        <v>21</v>
      </c>
      <c r="C1402" s="591">
        <v>46124</v>
      </c>
      <c r="D1402" s="45" t="s">
        <v>21</v>
      </c>
      <c r="E1402" s="45" t="s">
        <v>17</v>
      </c>
      <c r="F1402" s="38" t="s">
        <v>5282</v>
      </c>
      <c r="G1402" s="373" t="s">
        <v>2329</v>
      </c>
      <c r="H1402" s="592" t="s">
        <v>23</v>
      </c>
      <c r="I1402" s="38" t="s">
        <v>5539</v>
      </c>
      <c r="J1402" s="373" t="s">
        <v>202</v>
      </c>
      <c r="K1402" s="720" t="s">
        <v>487</v>
      </c>
      <c r="L1402" s="45" t="s">
        <v>15</v>
      </c>
      <c r="M1402" s="96">
        <v>500000</v>
      </c>
      <c r="N1402" s="599" t="s">
        <v>5540</v>
      </c>
    </row>
    <row r="1403" spans="1:14">
      <c r="A1403" s="123">
        <v>16</v>
      </c>
      <c r="B1403" s="764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5580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64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5403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4">
        <v>17</v>
      </c>
      <c r="B1405" s="760" t="s">
        <v>123</v>
      </c>
      <c r="C1405" s="588">
        <v>46139</v>
      </c>
      <c r="D1405" s="94" t="s">
        <v>306</v>
      </c>
      <c r="E1405" s="94" t="s">
        <v>322</v>
      </c>
      <c r="F1405" s="589" t="s">
        <v>5406</v>
      </c>
      <c r="G1405" s="589" t="s">
        <v>3244</v>
      </c>
      <c r="H1405" s="589" t="s">
        <v>106</v>
      </c>
      <c r="I1405" s="590" t="s">
        <v>5609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>
      <c r="A1406" s="634">
        <v>17</v>
      </c>
      <c r="B1406" s="760"/>
      <c r="C1406" s="588">
        <v>46139</v>
      </c>
      <c r="D1406" s="94" t="s">
        <v>306</v>
      </c>
      <c r="E1406" s="94" t="s">
        <v>322</v>
      </c>
      <c r="F1406" s="589" t="s">
        <v>5406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>
      <c r="A1407" s="634">
        <v>17</v>
      </c>
      <c r="B1407" s="760"/>
      <c r="C1407" s="588" t="s">
        <v>5627</v>
      </c>
      <c r="D1407" s="94" t="s">
        <v>306</v>
      </c>
      <c r="E1407" s="94" t="s">
        <v>322</v>
      </c>
      <c r="F1407" s="589" t="s">
        <v>5406</v>
      </c>
      <c r="G1407" s="589">
        <v>1615</v>
      </c>
      <c r="H1407" s="589" t="s">
        <v>482</v>
      </c>
      <c r="I1407" s="590" t="s">
        <v>5628</v>
      </c>
      <c r="J1407" s="609"/>
      <c r="K1407" s="598" t="s">
        <v>5629</v>
      </c>
      <c r="L1407" s="628"/>
      <c r="M1407" s="396">
        <f>250000*2</f>
        <v>500000</v>
      </c>
      <c r="N1407" s="26"/>
    </row>
    <row r="1408" spans="1:14" ht="27">
      <c r="A1408" s="634">
        <v>17</v>
      </c>
      <c r="B1408" s="760"/>
      <c r="C1408" s="588" t="s">
        <v>5610</v>
      </c>
      <c r="D1408" s="94" t="s">
        <v>306</v>
      </c>
      <c r="E1408" s="94" t="s">
        <v>322</v>
      </c>
      <c r="F1408" s="589" t="s">
        <v>5406</v>
      </c>
      <c r="G1408" s="589" t="s">
        <v>5582</v>
      </c>
      <c r="H1408" s="589" t="s">
        <v>102</v>
      </c>
      <c r="I1408" s="590" t="s">
        <v>5625</v>
      </c>
      <c r="J1408" s="609" t="s">
        <v>1534</v>
      </c>
      <c r="K1408" s="658" t="s">
        <v>5626</v>
      </c>
      <c r="L1408" s="628"/>
      <c r="M1408" s="396">
        <f>250000*4</f>
        <v>1000000</v>
      </c>
      <c r="N1408" s="26"/>
    </row>
    <row r="1409" spans="1:14" ht="26.25" customHeight="1">
      <c r="A1409" s="634">
        <v>17</v>
      </c>
      <c r="B1409" s="760"/>
      <c r="C1409" s="588" t="s">
        <v>5611</v>
      </c>
      <c r="D1409" s="94" t="s">
        <v>306</v>
      </c>
      <c r="E1409" s="94" t="s">
        <v>322</v>
      </c>
      <c r="F1409" s="589" t="s">
        <v>5406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>
      <c r="A1410" s="634">
        <v>17</v>
      </c>
      <c r="B1410" s="761" t="s">
        <v>5664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5403</v>
      </c>
      <c r="J1410" s="467" t="s">
        <v>90</v>
      </c>
      <c r="K1410" s="721" t="s">
        <v>41</v>
      </c>
      <c r="L1410" s="136" t="s">
        <v>15</v>
      </c>
      <c r="M1410" s="96">
        <v>250000</v>
      </c>
      <c r="N1410" s="26"/>
    </row>
    <row r="1411" spans="1:14">
      <c r="A1411" s="634">
        <v>17</v>
      </c>
      <c r="B1411" s="762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4">
        <v>17</v>
      </c>
      <c r="B1412" s="762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5415</v>
      </c>
      <c r="H1412" s="593" t="s">
        <v>23</v>
      </c>
      <c r="I1412" s="38" t="s">
        <v>5594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>
      <c r="A1413" s="634">
        <v>17</v>
      </c>
      <c r="B1413" s="762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5603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>
      <c r="A1414" s="634">
        <v>17</v>
      </c>
      <c r="B1414" s="763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5598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>
      <c r="A1415" s="634">
        <v>18</v>
      </c>
      <c r="B1415" s="760" t="s">
        <v>5718</v>
      </c>
      <c r="C1415" s="591">
        <v>46148</v>
      </c>
      <c r="D1415" s="94" t="s">
        <v>306</v>
      </c>
      <c r="E1415" s="94" t="s">
        <v>322</v>
      </c>
      <c r="F1415" s="589" t="s">
        <v>5406</v>
      </c>
      <c r="G1415" s="589" t="s">
        <v>4940</v>
      </c>
      <c r="H1415" s="589" t="s">
        <v>482</v>
      </c>
      <c r="I1415" s="590" t="s">
        <v>2979</v>
      </c>
      <c r="J1415" s="609" t="s">
        <v>126</v>
      </c>
      <c r="K1415" s="598" t="s">
        <v>5678</v>
      </c>
      <c r="L1415" s="644"/>
      <c r="M1415" s="396">
        <f>250000*2</f>
        <v>500000</v>
      </c>
      <c r="N1415" s="621"/>
    </row>
    <row r="1416" spans="1:14">
      <c r="A1416" s="634">
        <v>18</v>
      </c>
      <c r="B1416" s="760"/>
      <c r="C1416" s="591" t="s">
        <v>5679</v>
      </c>
      <c r="D1416" s="94" t="s">
        <v>306</v>
      </c>
      <c r="E1416" s="94" t="s">
        <v>322</v>
      </c>
      <c r="F1416" s="589" t="s">
        <v>5406</v>
      </c>
      <c r="G1416" s="589">
        <v>1615</v>
      </c>
      <c r="H1416" s="589" t="s">
        <v>482</v>
      </c>
      <c r="I1416" s="590" t="s">
        <v>5677</v>
      </c>
      <c r="J1416" s="609" t="s">
        <v>1948</v>
      </c>
      <c r="K1416" s="598" t="s">
        <v>1101</v>
      </c>
      <c r="L1416" s="644"/>
      <c r="M1416" s="396">
        <f>250000*2</f>
        <v>500000</v>
      </c>
      <c r="N1416" s="621"/>
    </row>
    <row r="1417" spans="1:14">
      <c r="A1417" s="634">
        <v>18</v>
      </c>
      <c r="B1417" s="760"/>
      <c r="C1417" s="591">
        <v>46148</v>
      </c>
      <c r="D1417" s="94" t="s">
        <v>306</v>
      </c>
      <c r="E1417" s="94" t="s">
        <v>322</v>
      </c>
      <c r="F1417" s="589" t="s">
        <v>5406</v>
      </c>
      <c r="G1417" s="589" t="s">
        <v>5513</v>
      </c>
      <c r="H1417" s="589" t="s">
        <v>18</v>
      </c>
      <c r="I1417" s="590" t="s">
        <v>5625</v>
      </c>
      <c r="J1417" s="609" t="s">
        <v>1534</v>
      </c>
      <c r="K1417" s="598" t="s">
        <v>2828</v>
      </c>
      <c r="L1417" s="644"/>
      <c r="M1417" s="396">
        <f>250000*1</f>
        <v>250000</v>
      </c>
      <c r="N1417" s="622"/>
    </row>
    <row r="1418" spans="1:14">
      <c r="A1418" s="634">
        <v>18</v>
      </c>
      <c r="B1418" s="760"/>
      <c r="C1418" s="591" t="s">
        <v>5680</v>
      </c>
      <c r="D1418" s="94" t="s">
        <v>306</v>
      </c>
      <c r="E1418" s="94" t="s">
        <v>322</v>
      </c>
      <c r="F1418" s="589" t="s">
        <v>5406</v>
      </c>
      <c r="G1418" s="589" t="s">
        <v>5513</v>
      </c>
      <c r="H1418" s="589" t="s">
        <v>264</v>
      </c>
      <c r="I1418" s="590" t="s">
        <v>5625</v>
      </c>
      <c r="J1418" s="609" t="s">
        <v>1534</v>
      </c>
      <c r="K1418" s="598" t="s">
        <v>2838</v>
      </c>
      <c r="L1418" s="644"/>
      <c r="M1418" s="396">
        <f>250000*2</f>
        <v>500000</v>
      </c>
      <c r="N1418" s="622"/>
    </row>
    <row r="1419" spans="1:14">
      <c r="A1419" s="634">
        <v>18</v>
      </c>
      <c r="B1419" s="760" t="s">
        <v>5719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5" t="s">
        <v>3008</v>
      </c>
      <c r="H1419" s="16" t="s">
        <v>1382</v>
      </c>
      <c r="I1419" s="645" t="s">
        <v>5444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23" t="s">
        <v>5681</v>
      </c>
    </row>
    <row r="1420" spans="1:14">
      <c r="A1420" s="634">
        <v>18</v>
      </c>
      <c r="B1420" s="760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23" t="s">
        <v>5681</v>
      </c>
    </row>
    <row r="1421" spans="1:14" ht="27">
      <c r="A1421" s="634">
        <v>18</v>
      </c>
      <c r="B1421" s="760"/>
      <c r="C1421" s="370">
        <v>46146</v>
      </c>
      <c r="D1421" s="4" t="s">
        <v>24</v>
      </c>
      <c r="E1421" s="4" t="s">
        <v>31</v>
      </c>
      <c r="F1421" s="642" t="s">
        <v>5646</v>
      </c>
      <c r="G1421" s="645" t="s">
        <v>3970</v>
      </c>
      <c r="H1421" s="16" t="s">
        <v>23</v>
      </c>
      <c r="I1421" s="645" t="s">
        <v>5647</v>
      </c>
      <c r="J1421" s="642"/>
      <c r="K1421" s="645" t="s">
        <v>3075</v>
      </c>
      <c r="L1421" s="125" t="s">
        <v>15</v>
      </c>
      <c r="M1421" s="96">
        <v>400000</v>
      </c>
      <c r="N1421" s="623" t="s">
        <v>127</v>
      </c>
    </row>
    <row r="1422" spans="1:14">
      <c r="A1422" s="634">
        <v>18</v>
      </c>
      <c r="B1422" s="760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5580</v>
      </c>
      <c r="J1422" s="467" t="s">
        <v>126</v>
      </c>
      <c r="K1422" s="467" t="s">
        <v>5618</v>
      </c>
      <c r="L1422" s="136" t="s">
        <v>15</v>
      </c>
      <c r="M1422" s="96">
        <v>500000</v>
      </c>
      <c r="N1422" s="622" t="s">
        <v>128</v>
      </c>
    </row>
    <row r="1423" spans="1:14">
      <c r="A1423" s="634">
        <v>18</v>
      </c>
      <c r="B1423" s="760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5580</v>
      </c>
      <c r="J1423" s="467" t="s">
        <v>126</v>
      </c>
      <c r="K1423" s="467" t="s">
        <v>5618</v>
      </c>
      <c r="L1423" s="136" t="s">
        <v>15</v>
      </c>
      <c r="M1423" s="96">
        <v>500000</v>
      </c>
      <c r="N1423" s="622" t="s">
        <v>128</v>
      </c>
    </row>
    <row r="1424" spans="1:14" ht="27">
      <c r="A1424" s="634">
        <v>18</v>
      </c>
      <c r="B1424" s="760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5" t="s">
        <v>5665</v>
      </c>
      <c r="J1424" s="642" t="s">
        <v>5490</v>
      </c>
      <c r="K1424" s="645" t="s">
        <v>3074</v>
      </c>
      <c r="L1424" s="125" t="s">
        <v>15</v>
      </c>
      <c r="M1424" s="602">
        <v>400000</v>
      </c>
      <c r="N1424" s="622" t="s">
        <v>128</v>
      </c>
    </row>
  </sheetData>
  <autoFilter ref="A1:N1414"/>
  <mergeCells count="1019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1" sqref="H21"/>
    </sheetView>
  </sheetViews>
  <sheetFormatPr defaultRowHeight="16.5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>
      <c r="A3" s="611" t="s">
        <v>4865</v>
      </c>
    </row>
    <row r="4" spans="1:4">
      <c r="A4" s="612" t="s">
        <v>4879</v>
      </c>
    </row>
    <row r="7" spans="1:4" ht="20.25">
      <c r="A7" s="611" t="s">
        <v>4866</v>
      </c>
    </row>
    <row r="8" spans="1:4">
      <c r="A8" s="612" t="s">
        <v>4867</v>
      </c>
      <c r="B8" s="613">
        <f>C13</f>
        <v>5950000</v>
      </c>
    </row>
    <row r="10" spans="1:4">
      <c r="A10" s="614" t="s">
        <v>4856</v>
      </c>
      <c r="B10" s="614" t="s">
        <v>4857</v>
      </c>
      <c r="C10" s="924" t="s">
        <v>4858</v>
      </c>
      <c r="D10" s="924"/>
    </row>
    <row r="11" spans="1:4">
      <c r="A11" s="614" t="s">
        <v>4859</v>
      </c>
      <c r="B11" s="614">
        <v>4</v>
      </c>
      <c r="C11" s="925">
        <f>'사전품의양식 (12)'!L8</f>
        <v>4000000</v>
      </c>
      <c r="D11" s="925"/>
    </row>
    <row r="12" spans="1:4">
      <c r="A12" s="614" t="s">
        <v>4860</v>
      </c>
      <c r="B12" s="614">
        <v>6</v>
      </c>
      <c r="C12" s="925">
        <f>'사전품의양식 (12)'!L13</f>
        <v>1950000</v>
      </c>
      <c r="D12" s="925"/>
    </row>
    <row r="13" spans="1:4">
      <c r="A13" s="616" t="s">
        <v>53</v>
      </c>
      <c r="B13" s="616">
        <f>SUM(B11:B12)</f>
        <v>10</v>
      </c>
      <c r="C13" s="926">
        <f>SUM(C11:C12)</f>
        <v>5950000</v>
      </c>
      <c r="D13" s="926"/>
    </row>
    <row r="15" spans="1:4">
      <c r="A15" s="612" t="s">
        <v>4861</v>
      </c>
    </row>
    <row r="16" spans="1:4">
      <c r="A16" s="614" t="s">
        <v>4881</v>
      </c>
      <c r="B16" s="614" t="s">
        <v>4863</v>
      </c>
      <c r="C16" s="614" t="s">
        <v>4864</v>
      </c>
      <c r="D16" s="614" t="s">
        <v>53</v>
      </c>
    </row>
    <row r="17" spans="1:5">
      <c r="A17" s="614" t="s">
        <v>5517</v>
      </c>
      <c r="B17" s="615">
        <v>0</v>
      </c>
      <c r="C17" s="615">
        <v>550000</v>
      </c>
      <c r="D17" s="618">
        <f>SUM(B17:C17)</f>
        <v>550000</v>
      </c>
    </row>
    <row r="18" spans="1:5">
      <c r="A18" s="614" t="s">
        <v>5518</v>
      </c>
      <c r="B18" s="615">
        <f>C11-B17</f>
        <v>4000000</v>
      </c>
      <c r="C18" s="615">
        <f>C12-C17</f>
        <v>1400000</v>
      </c>
      <c r="D18" s="615">
        <f>SUM(B18:C18)</f>
        <v>5400000</v>
      </c>
    </row>
    <row r="19" spans="1:5">
      <c r="A19" s="616" t="s">
        <v>4862</v>
      </c>
      <c r="B19" s="617">
        <f t="shared" ref="B19:C19" si="0">SUM(B17:B18)</f>
        <v>4000000</v>
      </c>
      <c r="C19" s="617">
        <f t="shared" si="0"/>
        <v>1950000</v>
      </c>
      <c r="D19" s="617">
        <f>SUM(D17:D18)</f>
        <v>5950000</v>
      </c>
    </row>
    <row r="22" spans="1:5" ht="20.25">
      <c r="A22" s="611" t="s">
        <v>4872</v>
      </c>
    </row>
    <row r="24" spans="1:5">
      <c r="A24" s="614" t="s">
        <v>4856</v>
      </c>
      <c r="B24" s="614" t="s">
        <v>4870</v>
      </c>
      <c r="C24" s="641" t="s">
        <v>4873</v>
      </c>
      <c r="D24" s="729"/>
      <c r="E24" s="729"/>
    </row>
    <row r="25" spans="1:5">
      <c r="A25" s="614" t="s">
        <v>4874</v>
      </c>
      <c r="B25" s="614" t="s">
        <v>4875</v>
      </c>
      <c r="C25" s="640" t="s">
        <v>4876</v>
      </c>
      <c r="D25" s="729"/>
      <c r="E25" s="729"/>
    </row>
    <row r="26" spans="1:5">
      <c r="A26" s="614" t="s">
        <v>5762</v>
      </c>
      <c r="B26" s="614" t="s">
        <v>5763</v>
      </c>
      <c r="C26" s="731">
        <v>46153</v>
      </c>
      <c r="D26" s="729"/>
      <c r="E26" s="729"/>
    </row>
    <row r="27" spans="1:5">
      <c r="A27" s="614"/>
      <c r="B27" s="614"/>
      <c r="C27" s="730"/>
      <c r="D27" s="729"/>
      <c r="E27" s="729"/>
    </row>
    <row r="29" spans="1:5" ht="20.25">
      <c r="A29" s="611" t="s">
        <v>4868</v>
      </c>
    </row>
    <row r="31" spans="1:5">
      <c r="A31" s="612" t="s">
        <v>4877</v>
      </c>
    </row>
    <row r="33" spans="1:1">
      <c r="A33" s="612" t="s">
        <v>4878</v>
      </c>
    </row>
    <row r="35" spans="1:1">
      <c r="A35" s="612" t="s">
        <v>4871</v>
      </c>
    </row>
    <row r="39" spans="1:1" ht="20.25">
      <c r="A39" s="611" t="s">
        <v>4869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67"/>
  <sheetViews>
    <sheetView topLeftCell="A14" zoomScale="85" zoomScaleNormal="85" zoomScaleSheetLayoutView="55" workbookViewId="0">
      <selection activeCell="A2" sqref="A2:M14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>
      <c r="A2" s="948" t="s">
        <v>4501</v>
      </c>
      <c r="B2" s="950" t="s">
        <v>1</v>
      </c>
      <c r="C2" s="950" t="s">
        <v>2</v>
      </c>
      <c r="D2" s="950" t="s">
        <v>3</v>
      </c>
      <c r="E2" s="733" t="s">
        <v>2623</v>
      </c>
      <c r="F2" s="950" t="s">
        <v>5</v>
      </c>
      <c r="G2" s="950" t="s">
        <v>6</v>
      </c>
      <c r="H2" s="950" t="s">
        <v>2624</v>
      </c>
      <c r="I2" s="950" t="s">
        <v>55</v>
      </c>
      <c r="J2" s="950" t="s">
        <v>9</v>
      </c>
      <c r="K2" s="952" t="s">
        <v>56</v>
      </c>
      <c r="L2" s="950" t="s">
        <v>57</v>
      </c>
      <c r="M2" s="946" t="s">
        <v>58</v>
      </c>
    </row>
    <row r="3" spans="1:13">
      <c r="A3" s="949"/>
      <c r="B3" s="951"/>
      <c r="C3" s="951"/>
      <c r="D3" s="951"/>
      <c r="E3" s="734" t="s">
        <v>1724</v>
      </c>
      <c r="F3" s="951"/>
      <c r="G3" s="951"/>
      <c r="H3" s="951"/>
      <c r="I3" s="951"/>
      <c r="J3" s="951"/>
      <c r="K3" s="953"/>
      <c r="L3" s="951"/>
      <c r="M3" s="947"/>
    </row>
    <row r="4" spans="1:13" s="600" customFormat="1" ht="16.5" customHeight="1">
      <c r="A4" s="943" t="s">
        <v>20</v>
      </c>
      <c r="B4" s="713" t="s">
        <v>5754</v>
      </c>
      <c r="C4" s="712" t="s">
        <v>306</v>
      </c>
      <c r="D4" s="712" t="s">
        <v>322</v>
      </c>
      <c r="E4" s="714" t="s">
        <v>5406</v>
      </c>
      <c r="F4" s="714" t="s">
        <v>5513</v>
      </c>
      <c r="G4" s="714" t="s">
        <v>5750</v>
      </c>
      <c r="H4" s="715" t="s">
        <v>5748</v>
      </c>
      <c r="I4" s="712" t="s">
        <v>5749</v>
      </c>
      <c r="J4" s="735" t="s">
        <v>5752</v>
      </c>
      <c r="K4" s="696"/>
      <c r="L4" s="736">
        <f>250000*3</f>
        <v>750000</v>
      </c>
      <c r="M4" s="737"/>
    </row>
    <row r="5" spans="1:13" s="600" customFormat="1" ht="16.5" customHeight="1">
      <c r="A5" s="944"/>
      <c r="B5" s="713" t="s">
        <v>5765</v>
      </c>
      <c r="C5" s="712" t="s">
        <v>306</v>
      </c>
      <c r="D5" s="712" t="s">
        <v>322</v>
      </c>
      <c r="E5" s="714" t="s">
        <v>5406</v>
      </c>
      <c r="F5" s="752" t="s">
        <v>5767</v>
      </c>
      <c r="G5" s="714" t="s">
        <v>5766</v>
      </c>
      <c r="H5" s="715" t="s">
        <v>5748</v>
      </c>
      <c r="I5" s="712" t="s">
        <v>5749</v>
      </c>
      <c r="J5" s="735" t="s">
        <v>5768</v>
      </c>
      <c r="K5" s="696"/>
      <c r="L5" s="736">
        <f>250000*6</f>
        <v>1500000</v>
      </c>
      <c r="M5" s="737"/>
    </row>
    <row r="6" spans="1:13" s="600" customFormat="1">
      <c r="A6" s="944"/>
      <c r="B6" s="713" t="s">
        <v>5755</v>
      </c>
      <c r="C6" s="712" t="s">
        <v>306</v>
      </c>
      <c r="D6" s="712" t="s">
        <v>322</v>
      </c>
      <c r="E6" s="714" t="s">
        <v>5406</v>
      </c>
      <c r="F6" s="714" t="s">
        <v>5513</v>
      </c>
      <c r="G6" s="714" t="s">
        <v>5751</v>
      </c>
      <c r="H6" s="715" t="s">
        <v>5748</v>
      </c>
      <c r="I6" s="712" t="s">
        <v>5749</v>
      </c>
      <c r="J6" s="735" t="s">
        <v>5753</v>
      </c>
      <c r="K6" s="696"/>
      <c r="L6" s="736">
        <f>250000*2</f>
        <v>500000</v>
      </c>
      <c r="M6" s="737"/>
    </row>
    <row r="7" spans="1:13" s="600" customFormat="1">
      <c r="A7" s="944"/>
      <c r="B7" s="713" t="s">
        <v>5761</v>
      </c>
      <c r="C7" s="712" t="s">
        <v>306</v>
      </c>
      <c r="D7" s="712" t="s">
        <v>322</v>
      </c>
      <c r="E7" s="714" t="s">
        <v>5406</v>
      </c>
      <c r="F7" s="714" t="s">
        <v>5760</v>
      </c>
      <c r="G7" s="714" t="s">
        <v>5756</v>
      </c>
      <c r="H7" s="715" t="s">
        <v>5757</v>
      </c>
      <c r="I7" s="712" t="s">
        <v>5758</v>
      </c>
      <c r="J7" s="735" t="s">
        <v>5759</v>
      </c>
      <c r="K7" s="696"/>
      <c r="L7" s="736">
        <f>250000*5</f>
        <v>1250000</v>
      </c>
      <c r="M7" s="738"/>
    </row>
    <row r="8" spans="1:13">
      <c r="A8" s="945"/>
      <c r="B8" s="940" t="s">
        <v>1136</v>
      </c>
      <c r="C8" s="940"/>
      <c r="D8" s="940"/>
      <c r="E8" s="940"/>
      <c r="F8" s="940"/>
      <c r="G8" s="940"/>
      <c r="H8" s="940"/>
      <c r="I8" s="940"/>
      <c r="J8" s="940"/>
      <c r="K8" s="940"/>
      <c r="L8" s="739">
        <f>SUM(L4:L7)</f>
        <v>4000000</v>
      </c>
      <c r="M8" s="740"/>
    </row>
    <row r="9" spans="1:13" ht="22.5">
      <c r="A9" s="943" t="s">
        <v>21</v>
      </c>
      <c r="B9" s="716">
        <v>46150</v>
      </c>
      <c r="C9" s="696" t="s">
        <v>21</v>
      </c>
      <c r="D9" s="696" t="s">
        <v>14</v>
      </c>
      <c r="E9" s="723" t="s">
        <v>1787</v>
      </c>
      <c r="F9" s="723" t="s">
        <v>2817</v>
      </c>
      <c r="G9" s="698" t="s">
        <v>67</v>
      </c>
      <c r="H9" s="697" t="s">
        <v>5688</v>
      </c>
      <c r="I9" s="723" t="s">
        <v>5687</v>
      </c>
      <c r="J9" s="697" t="s">
        <v>5686</v>
      </c>
      <c r="K9" s="696" t="s">
        <v>15</v>
      </c>
      <c r="L9" s="739">
        <v>550000</v>
      </c>
      <c r="M9" s="740" t="s">
        <v>5728</v>
      </c>
    </row>
    <row r="10" spans="1:13" ht="16.5" customHeight="1">
      <c r="A10" s="944"/>
      <c r="B10" s="713">
        <v>46153</v>
      </c>
      <c r="C10" s="666" t="s">
        <v>24</v>
      </c>
      <c r="D10" s="666" t="s">
        <v>14</v>
      </c>
      <c r="E10" s="708" t="s">
        <v>5736</v>
      </c>
      <c r="F10" s="708" t="s">
        <v>1968</v>
      </c>
      <c r="G10" s="668" t="s">
        <v>142</v>
      </c>
      <c r="H10" s="667" t="s">
        <v>5735</v>
      </c>
      <c r="I10" s="708" t="s">
        <v>5683</v>
      </c>
      <c r="J10" s="708" t="s">
        <v>3074</v>
      </c>
      <c r="K10" s="666" t="s">
        <v>5684</v>
      </c>
      <c r="L10" s="739">
        <v>400000</v>
      </c>
      <c r="M10" s="740"/>
    </row>
    <row r="11" spans="1:13" ht="16.5" customHeight="1">
      <c r="A11" s="944"/>
      <c r="B11" s="713">
        <v>46153</v>
      </c>
      <c r="C11" s="666" t="s">
        <v>21</v>
      </c>
      <c r="D11" s="666" t="s">
        <v>14</v>
      </c>
      <c r="E11" s="708" t="s">
        <v>1893</v>
      </c>
      <c r="F11" s="708" t="s">
        <v>4940</v>
      </c>
      <c r="G11" s="668" t="s">
        <v>5742</v>
      </c>
      <c r="H11" s="697" t="s">
        <v>271</v>
      </c>
      <c r="I11" s="723" t="s">
        <v>202</v>
      </c>
      <c r="J11" s="723" t="s">
        <v>641</v>
      </c>
      <c r="K11" s="696" t="s">
        <v>15</v>
      </c>
      <c r="L11" s="739">
        <v>500000</v>
      </c>
      <c r="M11" s="740"/>
    </row>
    <row r="12" spans="1:13">
      <c r="A12" s="944"/>
      <c r="B12" s="713">
        <v>46154</v>
      </c>
      <c r="C12" s="666" t="s">
        <v>21</v>
      </c>
      <c r="D12" s="666" t="s">
        <v>14</v>
      </c>
      <c r="E12" s="708" t="s">
        <v>1893</v>
      </c>
      <c r="F12" s="708" t="s">
        <v>4940</v>
      </c>
      <c r="G12" s="668" t="s">
        <v>5742</v>
      </c>
      <c r="H12" s="697" t="s">
        <v>271</v>
      </c>
      <c r="I12" s="723" t="s">
        <v>202</v>
      </c>
      <c r="J12" s="723" t="s">
        <v>641</v>
      </c>
      <c r="K12" s="696" t="s">
        <v>15</v>
      </c>
      <c r="L12" s="739">
        <v>500000</v>
      </c>
      <c r="M12" s="738"/>
    </row>
    <row r="13" spans="1:13">
      <c r="A13" s="945"/>
      <c r="B13" s="940" t="s">
        <v>4880</v>
      </c>
      <c r="C13" s="940"/>
      <c r="D13" s="940"/>
      <c r="E13" s="940"/>
      <c r="F13" s="940"/>
      <c r="G13" s="940"/>
      <c r="H13" s="940"/>
      <c r="I13" s="940"/>
      <c r="J13" s="940"/>
      <c r="K13" s="940"/>
      <c r="L13" s="739">
        <f>SUM(L9:L12)</f>
        <v>1950000</v>
      </c>
      <c r="M13" s="740"/>
    </row>
    <row r="14" spans="1:13" ht="25.5" customHeight="1" thickBot="1">
      <c r="A14" s="941" t="s">
        <v>62</v>
      </c>
      <c r="B14" s="942"/>
      <c r="C14" s="942"/>
      <c r="D14" s="942"/>
      <c r="E14" s="942"/>
      <c r="F14" s="942"/>
      <c r="G14" s="942"/>
      <c r="H14" s="942"/>
      <c r="I14" s="942"/>
      <c r="J14" s="942"/>
      <c r="K14" s="942"/>
      <c r="L14" s="741">
        <f>L8+L13</f>
        <v>5950000</v>
      </c>
      <c r="M14" s="742"/>
    </row>
    <row r="15" spans="1:13" ht="26.25" customHeight="1">
      <c r="A15" s="732"/>
      <c r="B15" s="732"/>
      <c r="C15" s="732"/>
      <c r="D15" s="732"/>
      <c r="E15" s="732"/>
      <c r="F15" s="732"/>
      <c r="G15" s="732"/>
      <c r="H15" s="732"/>
      <c r="I15" s="732"/>
      <c r="J15" s="732"/>
      <c r="K15" s="732"/>
      <c r="L15" s="732"/>
      <c r="M15" s="732"/>
    </row>
    <row r="16" spans="1:13" ht="26.25" customHeight="1"/>
    <row r="17" spans="1:16" ht="26.25" customHeight="1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6" ht="26.25" hidden="1" customHeight="1"/>
    <row r="19" spans="1:16" ht="25.5" hidden="1" customHeight="1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6" ht="25.5" hidden="1" customHeight="1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6" ht="25.5" hidden="1" customHeight="1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6" ht="25.5" hidden="1" customHeight="1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6" ht="20.100000000000001" hidden="1" customHeight="1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6" ht="16.5" hidden="1" customHeight="1"/>
    <row r="25" spans="1:16" ht="20.100000000000001" hidden="1" customHeight="1">
      <c r="J25" s="604"/>
    </row>
    <row r="28" spans="1:16" ht="28.5" customHeight="1">
      <c r="A28" s="743" t="s">
        <v>0</v>
      </c>
      <c r="B28" s="744" t="s">
        <v>1</v>
      </c>
      <c r="C28" s="743" t="s">
        <v>2</v>
      </c>
      <c r="D28" s="743" t="s">
        <v>3</v>
      </c>
      <c r="E28" s="743" t="s">
        <v>4</v>
      </c>
      <c r="F28" s="743" t="s">
        <v>5</v>
      </c>
      <c r="G28" s="743" t="s">
        <v>6</v>
      </c>
      <c r="H28" s="745" t="s">
        <v>7</v>
      </c>
      <c r="I28" s="743" t="s">
        <v>8</v>
      </c>
      <c r="J28" s="743" t="s">
        <v>9</v>
      </c>
      <c r="K28" s="746" t="s">
        <v>10</v>
      </c>
      <c r="L28" s="743" t="s">
        <v>12</v>
      </c>
      <c r="M28" s="688" t="s">
        <v>63</v>
      </c>
    </row>
    <row r="29" spans="1:16" s="17" customFormat="1" ht="33" customHeight="1">
      <c r="A29" s="747" t="s">
        <v>5764</v>
      </c>
      <c r="B29" s="711">
        <v>46153</v>
      </c>
      <c r="C29" s="680" t="s">
        <v>21</v>
      </c>
      <c r="D29" s="680" t="s">
        <v>14</v>
      </c>
      <c r="E29" s="681" t="s">
        <v>1893</v>
      </c>
      <c r="F29" s="681" t="s">
        <v>4940</v>
      </c>
      <c r="G29" s="684" t="s">
        <v>5742</v>
      </c>
      <c r="H29" s="704" t="s">
        <v>271</v>
      </c>
      <c r="I29" s="703" t="s">
        <v>202</v>
      </c>
      <c r="J29" s="703" t="s">
        <v>5741</v>
      </c>
      <c r="K29" s="701" t="s">
        <v>15</v>
      </c>
      <c r="L29" s="748">
        <v>4</v>
      </c>
      <c r="M29" s="8">
        <v>4</v>
      </c>
      <c r="N29" s="642" t="s">
        <v>5737</v>
      </c>
      <c r="O29" s="443"/>
      <c r="P29" s="576"/>
    </row>
    <row r="30" spans="1:16" s="17" customFormat="1" ht="33" customHeight="1">
      <c r="A30" s="749"/>
      <c r="B30" s="711">
        <v>46153</v>
      </c>
      <c r="C30" s="680" t="s">
        <v>24</v>
      </c>
      <c r="D30" s="680" t="s">
        <v>14</v>
      </c>
      <c r="E30" s="681" t="s">
        <v>5736</v>
      </c>
      <c r="F30" s="681" t="s">
        <v>1968</v>
      </c>
      <c r="G30" s="684" t="s">
        <v>142</v>
      </c>
      <c r="H30" s="685" t="s">
        <v>5735</v>
      </c>
      <c r="I30" s="681" t="s">
        <v>5683</v>
      </c>
      <c r="J30" s="681" t="s">
        <v>3074</v>
      </c>
      <c r="K30" s="680" t="s">
        <v>5684</v>
      </c>
      <c r="L30" s="750">
        <v>2</v>
      </c>
      <c r="M30" s="468">
        <v>2</v>
      </c>
      <c r="N30" s="467"/>
      <c r="O30" s="443" t="s">
        <v>5676</v>
      </c>
      <c r="P30" s="576"/>
    </row>
    <row r="31" spans="1:16" s="17" customFormat="1" ht="33" customHeight="1">
      <c r="A31" s="749"/>
      <c r="B31" s="695">
        <v>46154</v>
      </c>
      <c r="C31" s="680" t="s">
        <v>21</v>
      </c>
      <c r="D31" s="680" t="s">
        <v>14</v>
      </c>
      <c r="E31" s="681" t="s">
        <v>1787</v>
      </c>
      <c r="F31" s="685" t="s">
        <v>2978</v>
      </c>
      <c r="G31" s="684" t="s">
        <v>143</v>
      </c>
      <c r="H31" s="685" t="s">
        <v>5603</v>
      </c>
      <c r="I31" s="681" t="s">
        <v>5685</v>
      </c>
      <c r="J31" s="681"/>
      <c r="K31" s="680" t="s">
        <v>15</v>
      </c>
      <c r="L31" s="750">
        <v>2</v>
      </c>
      <c r="M31" s="468">
        <v>2</v>
      </c>
      <c r="N31" s="467"/>
      <c r="O31" s="442"/>
      <c r="P31" s="576"/>
    </row>
    <row r="32" spans="1:16" s="17" customFormat="1" ht="33" customHeight="1">
      <c r="A32" s="749"/>
      <c r="B32" s="695">
        <v>46154</v>
      </c>
      <c r="C32" s="680" t="s">
        <v>21</v>
      </c>
      <c r="D32" s="680" t="s">
        <v>14</v>
      </c>
      <c r="E32" s="681" t="s">
        <v>1893</v>
      </c>
      <c r="F32" s="681" t="s">
        <v>4940</v>
      </c>
      <c r="G32" s="684" t="s">
        <v>5742</v>
      </c>
      <c r="H32" s="704" t="s">
        <v>271</v>
      </c>
      <c r="I32" s="703" t="s">
        <v>202</v>
      </c>
      <c r="J32" s="703" t="s">
        <v>5741</v>
      </c>
      <c r="K32" s="701" t="s">
        <v>15</v>
      </c>
      <c r="L32" s="748">
        <v>4</v>
      </c>
      <c r="M32" s="8">
        <v>4</v>
      </c>
      <c r="N32" s="467"/>
      <c r="O32" s="449"/>
      <c r="P32" s="576"/>
    </row>
    <row r="33" spans="1:16" s="17" customFormat="1" ht="33" customHeight="1">
      <c r="A33" s="749"/>
      <c r="B33" s="711">
        <v>46155</v>
      </c>
      <c r="C33" s="680" t="s">
        <v>21</v>
      </c>
      <c r="D33" s="680" t="s">
        <v>14</v>
      </c>
      <c r="E33" s="681" t="s">
        <v>1893</v>
      </c>
      <c r="F33" s="681" t="s">
        <v>4940</v>
      </c>
      <c r="G33" s="684" t="s">
        <v>5742</v>
      </c>
      <c r="H33" s="704" t="s">
        <v>271</v>
      </c>
      <c r="I33" s="703" t="s">
        <v>202</v>
      </c>
      <c r="J33" s="703" t="s">
        <v>506</v>
      </c>
      <c r="K33" s="701" t="s">
        <v>15</v>
      </c>
      <c r="L33" s="748">
        <v>4</v>
      </c>
      <c r="M33" s="8">
        <v>4</v>
      </c>
      <c r="N33" s="642" t="s">
        <v>4666</v>
      </c>
      <c r="O33" s="444" t="s">
        <v>5661</v>
      </c>
      <c r="P33" s="576"/>
    </row>
    <row r="34" spans="1:16" s="17" customFormat="1" ht="33" customHeight="1">
      <c r="A34" s="749"/>
      <c r="B34" s="711">
        <v>46156</v>
      </c>
      <c r="C34" s="701" t="s">
        <v>5729</v>
      </c>
      <c r="D34" s="701" t="s">
        <v>5730</v>
      </c>
      <c r="E34" s="703" t="s">
        <v>5731</v>
      </c>
      <c r="F34" s="703" t="s">
        <v>5732</v>
      </c>
      <c r="G34" s="706" t="s">
        <v>2917</v>
      </c>
      <c r="H34" s="704" t="s">
        <v>5733</v>
      </c>
      <c r="I34" s="703" t="s">
        <v>5685</v>
      </c>
      <c r="J34" s="704"/>
      <c r="K34" s="701" t="s">
        <v>5734</v>
      </c>
      <c r="L34" s="748">
        <v>2</v>
      </c>
      <c r="M34" s="8">
        <v>2</v>
      </c>
      <c r="N34" s="643"/>
      <c r="O34" s="608" t="s">
        <v>5493</v>
      </c>
      <c r="P34" s="576"/>
    </row>
    <row r="35" spans="1:16" s="17" customFormat="1" ht="33" customHeight="1">
      <c r="A35" s="749"/>
      <c r="B35" s="711">
        <v>46156</v>
      </c>
      <c r="C35" s="680" t="s">
        <v>138</v>
      </c>
      <c r="D35" s="680" t="s">
        <v>17</v>
      </c>
      <c r="E35" s="681" t="s">
        <v>5282</v>
      </c>
      <c r="F35" s="681">
        <v>7064</v>
      </c>
      <c r="G35" s="684" t="s">
        <v>83</v>
      </c>
      <c r="H35" s="685" t="s">
        <v>5574</v>
      </c>
      <c r="I35" s="685" t="s">
        <v>5721</v>
      </c>
      <c r="J35" s="685" t="s">
        <v>68</v>
      </c>
      <c r="K35" s="680" t="s">
        <v>15</v>
      </c>
      <c r="L35" s="750">
        <v>3</v>
      </c>
      <c r="M35" s="468">
        <v>3</v>
      </c>
      <c r="N35" s="642"/>
      <c r="O35" s="608"/>
      <c r="P35" s="576"/>
    </row>
    <row r="36" spans="1:16" s="17" customFormat="1" ht="33" customHeight="1">
      <c r="A36" s="749"/>
      <c r="B36" s="711">
        <v>46157</v>
      </c>
      <c r="C36" s="680" t="s">
        <v>24</v>
      </c>
      <c r="D36" s="680" t="s">
        <v>31</v>
      </c>
      <c r="E36" s="685" t="s">
        <v>5722</v>
      </c>
      <c r="F36" s="667" t="s">
        <v>4513</v>
      </c>
      <c r="G36" s="684" t="s">
        <v>5723</v>
      </c>
      <c r="H36" s="685" t="s">
        <v>5724</v>
      </c>
      <c r="I36" s="685" t="s">
        <v>5725</v>
      </c>
      <c r="J36" s="685"/>
      <c r="K36" s="680" t="s">
        <v>15</v>
      </c>
      <c r="L36" s="750">
        <v>3</v>
      </c>
      <c r="M36" s="468">
        <v>3</v>
      </c>
      <c r="N36" s="467"/>
      <c r="O36" s="608"/>
      <c r="P36" s="576"/>
    </row>
    <row r="37" spans="1:16" s="17" customFormat="1" ht="33" customHeight="1">
      <c r="A37" s="751"/>
      <c r="B37" s="695">
        <v>46157</v>
      </c>
      <c r="C37" s="680" t="s">
        <v>138</v>
      </c>
      <c r="D37" s="680" t="s">
        <v>17</v>
      </c>
      <c r="E37" s="681" t="s">
        <v>5282</v>
      </c>
      <c r="F37" s="681">
        <v>7064</v>
      </c>
      <c r="G37" s="684" t="s">
        <v>83</v>
      </c>
      <c r="H37" s="685" t="s">
        <v>5574</v>
      </c>
      <c r="I37" s="685" t="s">
        <v>5721</v>
      </c>
      <c r="J37" s="685" t="s">
        <v>68</v>
      </c>
      <c r="K37" s="680" t="s">
        <v>15</v>
      </c>
      <c r="L37" s="750">
        <v>3</v>
      </c>
      <c r="M37" s="468">
        <v>3</v>
      </c>
      <c r="N37" s="467" t="s">
        <v>5740</v>
      </c>
      <c r="O37" s="449"/>
      <c r="P37" s="576"/>
    </row>
    <row r="41" spans="1:16" ht="14.25" thickBot="1"/>
    <row r="42" spans="1:16">
      <c r="A42" s="938" t="s">
        <v>5727</v>
      </c>
      <c r="B42" s="929" t="s">
        <v>1</v>
      </c>
      <c r="C42" s="929" t="s">
        <v>2</v>
      </c>
      <c r="D42" s="929" t="s">
        <v>3</v>
      </c>
      <c r="E42" s="620" t="s">
        <v>2623</v>
      </c>
      <c r="F42" s="929" t="s">
        <v>5</v>
      </c>
      <c r="G42" s="929" t="s">
        <v>6</v>
      </c>
      <c r="H42" s="929" t="s">
        <v>2624</v>
      </c>
      <c r="I42" s="929" t="s">
        <v>55</v>
      </c>
      <c r="J42" s="929" t="s">
        <v>9</v>
      </c>
      <c r="K42" s="936" t="s">
        <v>56</v>
      </c>
      <c r="L42" s="929" t="s">
        <v>57</v>
      </c>
      <c r="M42" s="931" t="s">
        <v>58</v>
      </c>
    </row>
    <row r="43" spans="1:16">
      <c r="A43" s="939"/>
      <c r="B43" s="930"/>
      <c r="C43" s="930"/>
      <c r="D43" s="930"/>
      <c r="E43" s="597" t="s">
        <v>1724</v>
      </c>
      <c r="F43" s="930"/>
      <c r="G43" s="930"/>
      <c r="H43" s="930"/>
      <c r="I43" s="930"/>
      <c r="J43" s="930"/>
      <c r="K43" s="937"/>
      <c r="L43" s="930"/>
      <c r="M43" s="932"/>
    </row>
    <row r="44" spans="1:16" s="600" customFormat="1" ht="16.5" customHeight="1">
      <c r="A44" s="933" t="s">
        <v>20</v>
      </c>
      <c r="B44" s="588" t="s">
        <v>5754</v>
      </c>
      <c r="C44" s="94" t="s">
        <v>306</v>
      </c>
      <c r="D44" s="94" t="s">
        <v>322</v>
      </c>
      <c r="E44" s="589" t="s">
        <v>5406</v>
      </c>
      <c r="F44" s="589" t="s">
        <v>5513</v>
      </c>
      <c r="G44" s="589" t="s">
        <v>5750</v>
      </c>
      <c r="H44" s="590" t="s">
        <v>5748</v>
      </c>
      <c r="I44" s="609" t="s">
        <v>5749</v>
      </c>
      <c r="J44" s="598" t="s">
        <v>5752</v>
      </c>
      <c r="K44" s="644"/>
      <c r="L44" s="396">
        <f>250000*3</f>
        <v>750000</v>
      </c>
      <c r="M44" s="621"/>
    </row>
    <row r="45" spans="1:16" s="600" customFormat="1">
      <c r="A45" s="934"/>
      <c r="B45" s="588" t="s">
        <v>5755</v>
      </c>
      <c r="C45" s="94" t="s">
        <v>306</v>
      </c>
      <c r="D45" s="94" t="s">
        <v>322</v>
      </c>
      <c r="E45" s="589" t="s">
        <v>5406</v>
      </c>
      <c r="F45" s="589" t="s">
        <v>5513</v>
      </c>
      <c r="G45" s="589" t="s">
        <v>5751</v>
      </c>
      <c r="H45" s="590" t="s">
        <v>5748</v>
      </c>
      <c r="I45" s="609" t="s">
        <v>5749</v>
      </c>
      <c r="J45" s="598" t="s">
        <v>5753</v>
      </c>
      <c r="K45" s="644"/>
      <c r="L45" s="396">
        <f>250000*2</f>
        <v>500000</v>
      </c>
      <c r="M45" s="621"/>
    </row>
    <row r="46" spans="1:16" s="600" customFormat="1">
      <c r="A46" s="934"/>
      <c r="B46" s="588" t="s">
        <v>5761</v>
      </c>
      <c r="C46" s="94" t="s">
        <v>306</v>
      </c>
      <c r="D46" s="94" t="s">
        <v>322</v>
      </c>
      <c r="E46" s="589" t="s">
        <v>5406</v>
      </c>
      <c r="F46" s="589" t="s">
        <v>5760</v>
      </c>
      <c r="G46" s="589" t="s">
        <v>5756</v>
      </c>
      <c r="H46" s="590" t="s">
        <v>5757</v>
      </c>
      <c r="I46" s="609" t="s">
        <v>5758</v>
      </c>
      <c r="J46" s="598" t="s">
        <v>5759</v>
      </c>
      <c r="K46" s="644"/>
      <c r="L46" s="396">
        <f>250000*5</f>
        <v>1250000</v>
      </c>
      <c r="M46" s="622"/>
    </row>
    <row r="47" spans="1:16">
      <c r="A47" s="935"/>
      <c r="B47" s="764" t="s">
        <v>1136</v>
      </c>
      <c r="C47" s="764"/>
      <c r="D47" s="764"/>
      <c r="E47" s="764"/>
      <c r="F47" s="764"/>
      <c r="G47" s="764"/>
      <c r="H47" s="764"/>
      <c r="I47" s="764"/>
      <c r="J47" s="764"/>
      <c r="K47" s="764"/>
      <c r="L47" s="96">
        <f>SUM(L44:L46)</f>
        <v>2500000</v>
      </c>
      <c r="M47" s="623"/>
    </row>
    <row r="48" spans="1:16" ht="27">
      <c r="A48" s="933" t="s">
        <v>21</v>
      </c>
      <c r="B48" s="370">
        <v>46150</v>
      </c>
      <c r="C48" s="4" t="s">
        <v>21</v>
      </c>
      <c r="D48" s="4" t="s">
        <v>14</v>
      </c>
      <c r="E48" s="642" t="s">
        <v>1787</v>
      </c>
      <c r="F48" s="642" t="s">
        <v>2817</v>
      </c>
      <c r="G48" s="16" t="s">
        <v>67</v>
      </c>
      <c r="H48" s="645" t="s">
        <v>5688</v>
      </c>
      <c r="I48" s="642" t="s">
        <v>5687</v>
      </c>
      <c r="J48" s="645" t="s">
        <v>5686</v>
      </c>
      <c r="K48" s="125" t="s">
        <v>15</v>
      </c>
      <c r="L48" s="96">
        <v>550000</v>
      </c>
      <c r="M48" s="623" t="s">
        <v>5728</v>
      </c>
    </row>
    <row r="49" spans="1:13" ht="16.5" customHeight="1">
      <c r="A49" s="934"/>
      <c r="B49" s="403">
        <v>46153</v>
      </c>
      <c r="C49" s="3" t="s">
        <v>24</v>
      </c>
      <c r="D49" s="3" t="s">
        <v>14</v>
      </c>
      <c r="E49" s="467" t="s">
        <v>5736</v>
      </c>
      <c r="F49" s="467" t="s">
        <v>1968</v>
      </c>
      <c r="G49" s="472" t="s">
        <v>142</v>
      </c>
      <c r="H49" s="466" t="s">
        <v>5735</v>
      </c>
      <c r="I49" s="467" t="s">
        <v>5683</v>
      </c>
      <c r="J49" s="467" t="s">
        <v>3074</v>
      </c>
      <c r="K49" s="136" t="s">
        <v>5684</v>
      </c>
      <c r="L49" s="96">
        <v>400000</v>
      </c>
      <c r="M49" s="623"/>
    </row>
    <row r="50" spans="1:13" ht="16.5" customHeight="1">
      <c r="A50" s="934"/>
      <c r="B50" s="403">
        <v>46153</v>
      </c>
      <c r="C50" s="3" t="s">
        <v>21</v>
      </c>
      <c r="D50" s="3" t="s">
        <v>14</v>
      </c>
      <c r="E50" s="467" t="s">
        <v>1893</v>
      </c>
      <c r="F50" s="467" t="s">
        <v>4940</v>
      </c>
      <c r="G50" s="472" t="s">
        <v>5742</v>
      </c>
      <c r="H50" s="645" t="s">
        <v>271</v>
      </c>
      <c r="I50" s="642" t="s">
        <v>202</v>
      </c>
      <c r="J50" s="642" t="s">
        <v>641</v>
      </c>
      <c r="K50" s="125" t="s">
        <v>15</v>
      </c>
      <c r="L50" s="96">
        <v>500000</v>
      </c>
      <c r="M50" s="623"/>
    </row>
    <row r="51" spans="1:13">
      <c r="A51" s="934"/>
      <c r="B51" s="403">
        <v>46154</v>
      </c>
      <c r="C51" s="3" t="s">
        <v>21</v>
      </c>
      <c r="D51" s="3" t="s">
        <v>14</v>
      </c>
      <c r="E51" s="467" t="s">
        <v>1893</v>
      </c>
      <c r="F51" s="467" t="s">
        <v>4940</v>
      </c>
      <c r="G51" s="472" t="s">
        <v>5742</v>
      </c>
      <c r="H51" s="645" t="s">
        <v>271</v>
      </c>
      <c r="I51" s="642" t="s">
        <v>202</v>
      </c>
      <c r="J51" s="642" t="s">
        <v>641</v>
      </c>
      <c r="K51" s="125" t="s">
        <v>15</v>
      </c>
      <c r="L51" s="96">
        <v>500000</v>
      </c>
      <c r="M51" s="622"/>
    </row>
    <row r="52" spans="1:13">
      <c r="A52" s="935"/>
      <c r="B52" s="764" t="s">
        <v>4880</v>
      </c>
      <c r="C52" s="764"/>
      <c r="D52" s="764"/>
      <c r="E52" s="764"/>
      <c r="F52" s="764"/>
      <c r="G52" s="764"/>
      <c r="H52" s="764"/>
      <c r="I52" s="764"/>
      <c r="J52" s="764"/>
      <c r="K52" s="764"/>
      <c r="L52" s="96">
        <f>SUM(L48:L51)</f>
        <v>1950000</v>
      </c>
      <c r="M52" s="623"/>
    </row>
    <row r="53" spans="1:13" ht="25.5" customHeight="1" thickBot="1">
      <c r="A53" s="927" t="s">
        <v>62</v>
      </c>
      <c r="B53" s="928"/>
      <c r="C53" s="928"/>
      <c r="D53" s="928"/>
      <c r="E53" s="928"/>
      <c r="F53" s="928"/>
      <c r="G53" s="928"/>
      <c r="H53" s="928"/>
      <c r="I53" s="928"/>
      <c r="J53" s="928"/>
      <c r="K53" s="928"/>
      <c r="L53" s="624">
        <f>L47+L52</f>
        <v>4450000</v>
      </c>
      <c r="M53" s="625"/>
    </row>
    <row r="54" spans="1:13" ht="26.25" customHeight="1"/>
    <row r="55" spans="1:13" ht="26.25" customHeight="1"/>
    <row r="56" spans="1:13" ht="26.25" customHeight="1">
      <c r="A56" s="406"/>
      <c r="B56" s="406"/>
      <c r="C56" s="406"/>
      <c r="D56" s="406"/>
      <c r="E56" s="406"/>
      <c r="F56" s="406"/>
      <c r="G56" s="406"/>
      <c r="H56" s="406"/>
      <c r="I56" s="406"/>
      <c r="J56" s="406"/>
      <c r="K56" s="406"/>
      <c r="L56" s="386"/>
      <c r="M56" s="387"/>
    </row>
    <row r="57" spans="1:13" ht="26.25" hidden="1" customHeight="1"/>
    <row r="58" spans="1:13" ht="25.5" hidden="1" customHeight="1">
      <c r="B58" s="603" t="s">
        <v>1144</v>
      </c>
      <c r="C58" s="604"/>
      <c r="D58" s="604"/>
      <c r="E58" s="604"/>
      <c r="F58" s="604"/>
      <c r="G58" s="604"/>
      <c r="H58" s="604"/>
      <c r="I58" s="604"/>
    </row>
    <row r="59" spans="1:13" ht="25.5" hidden="1" customHeight="1">
      <c r="B59" s="605" t="s">
        <v>1140</v>
      </c>
      <c r="C59" s="603">
        <v>45282</v>
      </c>
      <c r="D59" s="604" t="s">
        <v>1151</v>
      </c>
      <c r="E59" s="604"/>
      <c r="F59" s="604"/>
      <c r="G59" s="604"/>
      <c r="I59" s="604"/>
    </row>
    <row r="60" spans="1:13" ht="25.5" hidden="1" customHeight="1">
      <c r="B60" s="605" t="s">
        <v>1141</v>
      </c>
      <c r="C60" s="603">
        <v>45282</v>
      </c>
      <c r="D60" s="604" t="s">
        <v>1143</v>
      </c>
      <c r="E60" s="604"/>
      <c r="F60" s="604"/>
      <c r="G60" s="604"/>
      <c r="H60" s="604"/>
      <c r="I60" s="604"/>
    </row>
    <row r="61" spans="1:13" ht="25.5" hidden="1" customHeight="1">
      <c r="B61" s="605" t="s">
        <v>1145</v>
      </c>
      <c r="C61" s="606" t="s">
        <v>1142</v>
      </c>
      <c r="D61" s="604" t="s">
        <v>1152</v>
      </c>
      <c r="E61" s="604"/>
      <c r="F61" s="604"/>
      <c r="G61" s="604"/>
      <c r="H61" s="604"/>
      <c r="I61" s="604"/>
    </row>
    <row r="62" spans="1:13" ht="20.100000000000001" hidden="1" customHeight="1">
      <c r="B62" s="604"/>
      <c r="C62" s="604" t="s">
        <v>1146</v>
      </c>
      <c r="D62" s="604"/>
      <c r="E62" s="604"/>
      <c r="F62" s="604"/>
      <c r="G62" s="604"/>
      <c r="H62" s="604"/>
      <c r="I62" s="604"/>
    </row>
    <row r="63" spans="1:13" ht="16.5" hidden="1" customHeight="1"/>
    <row r="64" spans="1:13" ht="20.100000000000001" hidden="1" customHeight="1">
      <c r="J64" s="604"/>
    </row>
    <row r="67" spans="1:13" ht="28.5" customHeight="1">
      <c r="A67" s="688" t="s">
        <v>0</v>
      </c>
      <c r="B67" s="689" t="s">
        <v>1</v>
      </c>
      <c r="C67" s="688" t="s">
        <v>2</v>
      </c>
      <c r="D67" s="688" t="s">
        <v>3</v>
      </c>
      <c r="E67" s="688" t="s">
        <v>4</v>
      </c>
      <c r="F67" s="688" t="s">
        <v>5</v>
      </c>
      <c r="G67" s="688" t="s">
        <v>6</v>
      </c>
      <c r="H67" s="690" t="s">
        <v>7</v>
      </c>
      <c r="I67" s="688" t="s">
        <v>8</v>
      </c>
      <c r="J67" s="688" t="s">
        <v>9</v>
      </c>
      <c r="K67" s="691" t="s">
        <v>10</v>
      </c>
      <c r="L67" s="688" t="s">
        <v>12</v>
      </c>
      <c r="M67" s="688" t="s">
        <v>63</v>
      </c>
    </row>
  </sheetData>
  <mergeCells count="34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F42:F43"/>
    <mergeCell ref="B8:K8"/>
    <mergeCell ref="A14:K14"/>
    <mergeCell ref="B13:K13"/>
    <mergeCell ref="A9:A13"/>
    <mergeCell ref="A4:A8"/>
    <mergeCell ref="A53:K53"/>
    <mergeCell ref="L42:L43"/>
    <mergeCell ref="M42:M43"/>
    <mergeCell ref="A44:A47"/>
    <mergeCell ref="B47:K47"/>
    <mergeCell ref="A48:A52"/>
    <mergeCell ref="B52:K52"/>
    <mergeCell ref="G42:G43"/>
    <mergeCell ref="H42:H43"/>
    <mergeCell ref="I42:I43"/>
    <mergeCell ref="J42:J43"/>
    <mergeCell ref="K42:K43"/>
    <mergeCell ref="A42:A43"/>
    <mergeCell ref="B42:B43"/>
    <mergeCell ref="C42:C43"/>
    <mergeCell ref="D42:D4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62" zoomScaleNormal="100" workbookViewId="0">
      <selection activeCell="F802" sqref="F80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7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7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7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7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7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7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7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7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7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7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7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7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7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7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7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7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60" t="s">
        <v>53</v>
      </c>
      <c r="B21" s="760"/>
      <c r="C21" s="760"/>
      <c r="D21" s="760"/>
      <c r="E21" s="760"/>
      <c r="F21" s="760"/>
      <c r="G21" s="760"/>
      <c r="H21" s="760"/>
      <c r="I21" s="760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78" t="s">
        <v>53</v>
      </c>
      <c r="B26" s="979"/>
      <c r="C26" s="979"/>
      <c r="D26" s="979"/>
      <c r="E26" s="979"/>
      <c r="F26" s="979"/>
      <c r="G26" s="979"/>
      <c r="H26" s="979"/>
      <c r="I26" s="98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7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7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7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7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7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78" t="s">
        <v>53</v>
      </c>
      <c r="B35" s="979"/>
      <c r="C35" s="979"/>
      <c r="D35" s="979"/>
      <c r="E35" s="979"/>
      <c r="F35" s="979"/>
      <c r="G35" s="979"/>
      <c r="H35" s="979"/>
      <c r="I35" s="98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7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7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7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78" t="s">
        <v>53</v>
      </c>
      <c r="B42" s="979"/>
      <c r="C42" s="979"/>
      <c r="D42" s="979"/>
      <c r="E42" s="979"/>
      <c r="F42" s="979"/>
      <c r="G42" s="979"/>
      <c r="H42" s="979"/>
      <c r="I42" s="98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78" t="s">
        <v>53</v>
      </c>
      <c r="B48" s="979"/>
      <c r="C48" s="979"/>
      <c r="D48" s="979"/>
      <c r="E48" s="979"/>
      <c r="F48" s="979"/>
      <c r="G48" s="979"/>
      <c r="H48" s="979"/>
      <c r="I48" s="98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7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7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78" t="s">
        <v>53</v>
      </c>
      <c r="B54" s="979"/>
      <c r="C54" s="979"/>
      <c r="D54" s="979"/>
      <c r="E54" s="979"/>
      <c r="F54" s="979"/>
      <c r="G54" s="979"/>
      <c r="H54" s="979"/>
      <c r="I54" s="98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7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7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7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76"/>
      <c r="B61" s="101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76"/>
      <c r="B62" s="101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76"/>
      <c r="B63" s="101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78" t="s">
        <v>53</v>
      </c>
      <c r="B64" s="979"/>
      <c r="C64" s="979"/>
      <c r="D64" s="979"/>
      <c r="E64" s="979"/>
      <c r="F64" s="979"/>
      <c r="G64" s="979"/>
      <c r="H64" s="979"/>
      <c r="I64" s="98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0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0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78" t="s">
        <v>53</v>
      </c>
      <c r="B70" s="979"/>
      <c r="C70" s="979"/>
      <c r="D70" s="979"/>
      <c r="E70" s="979"/>
      <c r="F70" s="979"/>
      <c r="G70" s="979"/>
      <c r="H70" s="979"/>
      <c r="I70" s="98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7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7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60" t="s">
        <v>53</v>
      </c>
      <c r="B78" s="760"/>
      <c r="C78" s="760"/>
      <c r="D78" s="760"/>
      <c r="E78" s="760"/>
      <c r="F78" s="760"/>
      <c r="G78" s="760"/>
      <c r="H78" s="760"/>
      <c r="I78" s="760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7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7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7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7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78" t="s">
        <v>53</v>
      </c>
      <c r="B86" s="979"/>
      <c r="C86" s="979"/>
      <c r="D86" s="979"/>
      <c r="E86" s="979"/>
      <c r="F86" s="979"/>
      <c r="G86" s="979"/>
      <c r="H86" s="979"/>
      <c r="I86" s="98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78" t="s">
        <v>53</v>
      </c>
      <c r="B92" s="979"/>
      <c r="C92" s="979"/>
      <c r="D92" s="979"/>
      <c r="E92" s="979"/>
      <c r="F92" s="979"/>
      <c r="G92" s="979"/>
      <c r="H92" s="979"/>
      <c r="I92" s="98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7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7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7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7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78" t="s">
        <v>53</v>
      </c>
      <c r="B101" s="979"/>
      <c r="C101" s="979"/>
      <c r="D101" s="979"/>
      <c r="E101" s="979"/>
      <c r="F101" s="979"/>
      <c r="G101" s="979"/>
      <c r="H101" s="979"/>
      <c r="I101" s="98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7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76"/>
      <c r="B107" s="100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76"/>
      <c r="B108" s="100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7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7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7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60" t="s">
        <v>53</v>
      </c>
      <c r="B112" s="760"/>
      <c r="C112" s="760"/>
      <c r="D112" s="760"/>
      <c r="E112" s="760"/>
      <c r="F112" s="760"/>
      <c r="G112" s="760"/>
      <c r="H112" s="760"/>
      <c r="I112" s="760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61" t="s">
        <v>954</v>
      </c>
      <c r="B119" s="78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62"/>
      <c r="B120" s="78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60" t="s">
        <v>53</v>
      </c>
      <c r="B121" s="760"/>
      <c r="C121" s="760"/>
      <c r="D121" s="760"/>
      <c r="E121" s="760"/>
      <c r="F121" s="760"/>
      <c r="G121" s="760"/>
      <c r="H121" s="760"/>
      <c r="I121" s="760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6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6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6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62"/>
      <c r="B129" s="101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08" t="s">
        <v>90</v>
      </c>
      <c r="J129" s="996">
        <v>2</v>
      </c>
      <c r="K129" s="25" t="s">
        <v>52</v>
      </c>
      <c r="L129" s="25" t="s">
        <v>51</v>
      </c>
    </row>
    <row r="130" spans="1:12">
      <c r="A130" s="762"/>
      <c r="B130" s="101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08"/>
      <c r="J130" s="997"/>
      <c r="K130" s="25" t="s">
        <v>52</v>
      </c>
      <c r="L130" s="25" t="s">
        <v>51</v>
      </c>
    </row>
    <row r="131" spans="1:12">
      <c r="A131" s="76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6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62"/>
      <c r="B133" s="85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96" t="s">
        <v>1277</v>
      </c>
      <c r="J133" s="996">
        <v>1</v>
      </c>
      <c r="K133" s="25" t="s">
        <v>52</v>
      </c>
      <c r="L133" s="25" t="s">
        <v>51</v>
      </c>
    </row>
    <row r="134" spans="1:12">
      <c r="A134" s="762"/>
      <c r="B134" s="85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66"/>
      <c r="J134" s="997"/>
      <c r="K134" s="25" t="s">
        <v>52</v>
      </c>
      <c r="L134" s="25" t="s">
        <v>51</v>
      </c>
    </row>
    <row r="135" spans="1:12">
      <c r="A135" s="76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6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60" t="s">
        <v>53</v>
      </c>
      <c r="B137" s="760"/>
      <c r="C137" s="760"/>
      <c r="D137" s="760"/>
      <c r="E137" s="760"/>
      <c r="F137" s="760"/>
      <c r="G137" s="760"/>
      <c r="H137" s="760"/>
      <c r="I137" s="760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62" t="s">
        <v>1007</v>
      </c>
      <c r="B142" s="85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62"/>
      <c r="B143" s="85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6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60" t="s">
        <v>53</v>
      </c>
      <c r="B145" s="760"/>
      <c r="C145" s="760"/>
      <c r="D145" s="760"/>
      <c r="E145" s="760"/>
      <c r="F145" s="760"/>
      <c r="G145" s="760"/>
      <c r="H145" s="760"/>
      <c r="I145" s="760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1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13"/>
      <c r="B150" s="78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13"/>
      <c r="B151" s="78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1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1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65" t="s">
        <v>53</v>
      </c>
      <c r="B154" s="965"/>
      <c r="C154" s="965"/>
      <c r="D154" s="965"/>
      <c r="E154" s="965"/>
      <c r="F154" s="965"/>
      <c r="G154" s="965"/>
      <c r="H154" s="965"/>
      <c r="I154" s="96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6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6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6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6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6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60" t="s">
        <v>53</v>
      </c>
      <c r="B163" s="760"/>
      <c r="C163" s="760"/>
      <c r="D163" s="760"/>
      <c r="E163" s="760"/>
      <c r="F163" s="760"/>
      <c r="G163" s="760"/>
      <c r="H163" s="760"/>
      <c r="I163" s="760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65" t="s">
        <v>53</v>
      </c>
      <c r="B167" s="965"/>
      <c r="C167" s="965"/>
      <c r="D167" s="965"/>
      <c r="E167" s="965"/>
      <c r="F167" s="965"/>
      <c r="G167" s="965"/>
      <c r="H167" s="965"/>
      <c r="I167" s="96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6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6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6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6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6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6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6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6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6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6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60" t="s">
        <v>53</v>
      </c>
      <c r="B183" s="760"/>
      <c r="C183" s="760"/>
      <c r="D183" s="760"/>
      <c r="E183" s="760"/>
      <c r="F183" s="760"/>
      <c r="G183" s="760"/>
      <c r="H183" s="760"/>
      <c r="I183" s="760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09" t="s">
        <v>1061</v>
      </c>
      <c r="B189" s="78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10"/>
      <c r="B190" s="78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10"/>
      <c r="B191" s="78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10"/>
      <c r="B192" s="78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60" t="s">
        <v>53</v>
      </c>
      <c r="B193" s="760"/>
      <c r="C193" s="760"/>
      <c r="D193" s="760"/>
      <c r="E193" s="760"/>
      <c r="F193" s="760"/>
      <c r="G193" s="760"/>
      <c r="H193" s="760"/>
      <c r="I193" s="760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1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1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1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1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65" t="s">
        <v>53</v>
      </c>
      <c r="B203" s="965"/>
      <c r="C203" s="965"/>
      <c r="D203" s="965"/>
      <c r="E203" s="965"/>
      <c r="F203" s="965"/>
      <c r="G203" s="965"/>
      <c r="H203" s="965"/>
      <c r="I203" s="96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6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6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6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6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6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6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6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65" t="s">
        <v>53</v>
      </c>
      <c r="B214" s="965"/>
      <c r="C214" s="965"/>
      <c r="D214" s="965"/>
      <c r="E214" s="965"/>
      <c r="F214" s="965"/>
      <c r="G214" s="965"/>
      <c r="H214" s="965"/>
      <c r="I214" s="96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6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6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6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6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6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6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65" t="s">
        <v>1458</v>
      </c>
      <c r="B226" s="965"/>
      <c r="C226" s="965"/>
      <c r="D226" s="965"/>
      <c r="E226" s="965"/>
      <c r="F226" s="965"/>
      <c r="G226" s="965"/>
      <c r="H226" s="965"/>
      <c r="I226" s="96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6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6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6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6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6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6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6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65" t="s">
        <v>1499</v>
      </c>
      <c r="B236" s="965"/>
      <c r="C236" s="965"/>
      <c r="D236" s="965"/>
      <c r="E236" s="965"/>
      <c r="F236" s="965"/>
      <c r="G236" s="965"/>
      <c r="H236" s="965"/>
      <c r="I236" s="96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7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7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7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7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78" t="s">
        <v>53</v>
      </c>
      <c r="B244" s="979"/>
      <c r="C244" s="979"/>
      <c r="D244" s="979"/>
      <c r="E244" s="979"/>
      <c r="F244" s="979"/>
      <c r="G244" s="979"/>
      <c r="H244" s="979"/>
      <c r="I244" s="98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7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7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7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78" t="s">
        <v>53</v>
      </c>
      <c r="B250" s="979"/>
      <c r="C250" s="979"/>
      <c r="D250" s="979"/>
      <c r="E250" s="979"/>
      <c r="F250" s="979"/>
      <c r="G250" s="979"/>
      <c r="H250" s="979"/>
      <c r="I250" s="98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7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7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7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7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78" t="s">
        <v>53</v>
      </c>
      <c r="B257" s="979"/>
      <c r="C257" s="979"/>
      <c r="D257" s="979"/>
      <c r="E257" s="979"/>
      <c r="F257" s="979"/>
      <c r="G257" s="979"/>
      <c r="H257" s="979"/>
      <c r="I257" s="98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1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1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78" t="s">
        <v>53</v>
      </c>
      <c r="B262" s="979"/>
      <c r="C262" s="979"/>
      <c r="D262" s="979"/>
      <c r="E262" s="979"/>
      <c r="F262" s="979"/>
      <c r="G262" s="979"/>
      <c r="H262" s="979"/>
      <c r="I262" s="98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7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7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9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7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09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7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97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7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7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78" t="s">
        <v>53</v>
      </c>
      <c r="B271" s="979"/>
      <c r="C271" s="979"/>
      <c r="D271" s="979"/>
      <c r="E271" s="979"/>
      <c r="F271" s="979"/>
      <c r="G271" s="979"/>
      <c r="H271" s="979"/>
      <c r="I271" s="98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78" t="s">
        <v>53</v>
      </c>
      <c r="B275" s="979"/>
      <c r="C275" s="979"/>
      <c r="D275" s="979"/>
      <c r="E275" s="979"/>
      <c r="F275" s="979"/>
      <c r="G275" s="979"/>
      <c r="H275" s="979"/>
      <c r="I275" s="98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9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8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8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8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8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8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8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8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8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78" t="s">
        <v>1646</v>
      </c>
      <c r="B296" s="979"/>
      <c r="C296" s="979"/>
      <c r="D296" s="979"/>
      <c r="E296" s="979"/>
      <c r="F296" s="979"/>
      <c r="G296" s="979"/>
      <c r="H296" s="979"/>
      <c r="I296" s="979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6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6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6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6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65" t="s">
        <v>1659</v>
      </c>
      <c r="B305" s="965"/>
      <c r="C305" s="965"/>
      <c r="D305" s="965"/>
      <c r="E305" s="965"/>
      <c r="F305" s="965"/>
      <c r="G305" s="965"/>
      <c r="H305" s="965"/>
      <c r="I305" s="96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65" t="s">
        <v>53</v>
      </c>
      <c r="B309" s="965"/>
      <c r="C309" s="965"/>
      <c r="D309" s="965"/>
      <c r="E309" s="965"/>
      <c r="F309" s="965"/>
      <c r="G309" s="965"/>
      <c r="H309" s="965"/>
      <c r="I309" s="96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6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6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65" t="s">
        <v>1659</v>
      </c>
      <c r="B314" s="965"/>
      <c r="C314" s="965"/>
      <c r="D314" s="965"/>
      <c r="E314" s="965"/>
      <c r="F314" s="965"/>
      <c r="G314" s="965"/>
      <c r="H314" s="965"/>
      <c r="I314" s="96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6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6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6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65" t="s">
        <v>1659</v>
      </c>
      <c r="B321" s="965"/>
      <c r="C321" s="965"/>
      <c r="D321" s="965"/>
      <c r="E321" s="965"/>
      <c r="F321" s="965"/>
      <c r="G321" s="965"/>
      <c r="H321" s="965"/>
      <c r="I321" s="96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6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6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6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6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6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65" t="s">
        <v>1659</v>
      </c>
      <c r="B330" s="965"/>
      <c r="C330" s="965"/>
      <c r="D330" s="965"/>
      <c r="E330" s="965"/>
      <c r="F330" s="965"/>
      <c r="G330" s="965"/>
      <c r="H330" s="965"/>
      <c r="I330" s="96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9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65" t="s">
        <v>1659</v>
      </c>
      <c r="B338" s="965"/>
      <c r="C338" s="965"/>
      <c r="D338" s="965"/>
      <c r="E338" s="965"/>
      <c r="F338" s="965"/>
      <c r="G338" s="965"/>
      <c r="H338" s="965"/>
      <c r="I338" s="96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18" t="s">
        <v>1521</v>
      </c>
      <c r="B343" s="128" t="s">
        <v>1531</v>
      </c>
      <c r="C343" s="891" t="s">
        <v>306</v>
      </c>
      <c r="D343" s="891" t="s">
        <v>322</v>
      </c>
      <c r="E343" s="765" t="s">
        <v>307</v>
      </c>
      <c r="F343" s="1021">
        <v>4266</v>
      </c>
      <c r="G343" s="891" t="s">
        <v>640</v>
      </c>
      <c r="H343" s="1021" t="s">
        <v>1533</v>
      </c>
      <c r="I343" s="891" t="s">
        <v>1534</v>
      </c>
      <c r="J343" s="765">
        <v>2</v>
      </c>
      <c r="K343" s="975" t="s">
        <v>50</v>
      </c>
      <c r="L343" s="975" t="s">
        <v>51</v>
      </c>
    </row>
    <row r="344" spans="1:13">
      <c r="A344" s="1019"/>
      <c r="B344" s="129" t="s">
        <v>1532</v>
      </c>
      <c r="C344" s="766"/>
      <c r="D344" s="766"/>
      <c r="E344" s="766"/>
      <c r="F344" s="768"/>
      <c r="G344" s="766"/>
      <c r="H344" s="768"/>
      <c r="I344" s="766"/>
      <c r="J344" s="766"/>
      <c r="K344" s="977"/>
      <c r="L344" s="977"/>
    </row>
    <row r="345" spans="1:13">
      <c r="A345" s="1019"/>
      <c r="B345" s="128" t="s">
        <v>1536</v>
      </c>
      <c r="C345" s="765" t="s">
        <v>306</v>
      </c>
      <c r="D345" s="765" t="s">
        <v>322</v>
      </c>
      <c r="E345" s="765" t="s">
        <v>307</v>
      </c>
      <c r="F345" s="767">
        <v>3306</v>
      </c>
      <c r="G345" s="765" t="s">
        <v>1153</v>
      </c>
      <c r="H345" s="767" t="s">
        <v>1538</v>
      </c>
      <c r="I345" s="765" t="s">
        <v>1534</v>
      </c>
      <c r="J345" s="765">
        <v>2</v>
      </c>
      <c r="K345" s="975" t="s">
        <v>50</v>
      </c>
      <c r="L345" s="975" t="s">
        <v>51</v>
      </c>
    </row>
    <row r="346" spans="1:13">
      <c r="A346" s="1020"/>
      <c r="B346" s="129" t="s">
        <v>1537</v>
      </c>
      <c r="C346" s="766"/>
      <c r="D346" s="766"/>
      <c r="E346" s="766"/>
      <c r="F346" s="768"/>
      <c r="G346" s="766"/>
      <c r="H346" s="768"/>
      <c r="I346" s="766"/>
      <c r="J346" s="766"/>
      <c r="K346" s="977"/>
      <c r="L346" s="977"/>
    </row>
    <row r="347" spans="1:13">
      <c r="A347" s="978" t="s">
        <v>53</v>
      </c>
      <c r="B347" s="979"/>
      <c r="C347" s="979"/>
      <c r="D347" s="979"/>
      <c r="E347" s="979"/>
      <c r="F347" s="979"/>
      <c r="G347" s="979"/>
      <c r="H347" s="979"/>
      <c r="I347" s="98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6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6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6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6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6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6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6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60" t="s">
        <v>53</v>
      </c>
      <c r="B357" s="760"/>
      <c r="C357" s="760"/>
      <c r="D357" s="760"/>
      <c r="E357" s="760"/>
      <c r="F357" s="760"/>
      <c r="G357" s="760"/>
      <c r="H357" s="760"/>
      <c r="I357" s="760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65" t="s">
        <v>1458</v>
      </c>
      <c r="B361" s="965"/>
      <c r="C361" s="965"/>
      <c r="D361" s="965"/>
      <c r="E361" s="965"/>
      <c r="F361" s="965"/>
      <c r="G361" s="965"/>
      <c r="H361" s="965"/>
      <c r="I361" s="96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1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6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6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6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6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6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65" t="s">
        <v>1659</v>
      </c>
      <c r="B370" s="965"/>
      <c r="C370" s="965"/>
      <c r="D370" s="965"/>
      <c r="E370" s="965"/>
      <c r="F370" s="965"/>
      <c r="G370" s="965"/>
      <c r="H370" s="965"/>
      <c r="I370" s="96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9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60" t="s">
        <v>1646</v>
      </c>
      <c r="B378" s="760"/>
      <c r="C378" s="760"/>
      <c r="D378" s="760"/>
      <c r="E378" s="760"/>
      <c r="F378" s="760"/>
      <c r="G378" s="760"/>
      <c r="H378" s="760"/>
      <c r="I378" s="760"/>
      <c r="J378" s="760"/>
      <c r="K378" s="4">
        <v>25</v>
      </c>
      <c r="L378" s="55"/>
    </row>
    <row r="381" spans="1:12">
      <c r="B381" s="1001" t="s">
        <v>1</v>
      </c>
      <c r="C381" s="1001" t="s">
        <v>2</v>
      </c>
      <c r="D381" s="1001" t="s">
        <v>3</v>
      </c>
      <c r="E381" s="36" t="s">
        <v>54</v>
      </c>
      <c r="F381" s="1001" t="s">
        <v>5</v>
      </c>
      <c r="G381" s="1001" t="s">
        <v>6</v>
      </c>
      <c r="H381" s="1001" t="s">
        <v>7</v>
      </c>
      <c r="I381" s="1001" t="s">
        <v>55</v>
      </c>
      <c r="J381" s="1001" t="s">
        <v>9</v>
      </c>
      <c r="K381" s="1003" t="s">
        <v>56</v>
      </c>
      <c r="L381" s="1001" t="s">
        <v>57</v>
      </c>
    </row>
    <row r="382" spans="1:12">
      <c r="B382" s="1002"/>
      <c r="C382" s="1002"/>
      <c r="D382" s="1002"/>
      <c r="E382" s="37" t="s">
        <v>59</v>
      </c>
      <c r="F382" s="1002"/>
      <c r="G382" s="1002"/>
      <c r="H382" s="1002"/>
      <c r="I382" s="1002"/>
      <c r="J382" s="1002"/>
      <c r="K382" s="1004"/>
      <c r="L382" s="1002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65" t="s">
        <v>53</v>
      </c>
      <c r="B394" s="965"/>
      <c r="C394" s="965"/>
      <c r="D394" s="965"/>
      <c r="E394" s="965"/>
      <c r="F394" s="965"/>
      <c r="G394" s="965"/>
      <c r="H394" s="965"/>
      <c r="I394" s="96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9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65" t="s">
        <v>53</v>
      </c>
      <c r="B401" s="965"/>
      <c r="C401" s="965"/>
      <c r="D401" s="965"/>
      <c r="E401" s="965"/>
      <c r="F401" s="965"/>
      <c r="G401" s="965"/>
      <c r="H401" s="965"/>
      <c r="I401" s="96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93" t="s">
        <v>229</v>
      </c>
      <c r="B405" s="986" t="s">
        <v>1805</v>
      </c>
      <c r="C405" s="986" t="s">
        <v>700</v>
      </c>
      <c r="D405" s="982" t="s">
        <v>675</v>
      </c>
      <c r="E405" s="986" t="s">
        <v>1806</v>
      </c>
      <c r="F405" s="986" t="s">
        <v>1807</v>
      </c>
      <c r="G405" s="986" t="s">
        <v>662</v>
      </c>
      <c r="H405" s="987" t="s">
        <v>1808</v>
      </c>
      <c r="I405" s="982"/>
      <c r="J405" s="987">
        <v>1</v>
      </c>
      <c r="K405" s="975" t="s">
        <v>631</v>
      </c>
      <c r="L405" s="772" t="s">
        <v>51</v>
      </c>
    </row>
    <row r="406" spans="1:12" ht="13.5" customHeight="1">
      <c r="A406" s="993"/>
      <c r="B406" s="986"/>
      <c r="C406" s="986"/>
      <c r="D406" s="982"/>
      <c r="E406" s="986"/>
      <c r="F406" s="986"/>
      <c r="G406" s="986"/>
      <c r="H406" s="987"/>
      <c r="I406" s="982"/>
      <c r="J406" s="987"/>
      <c r="K406" s="977"/>
      <c r="L406" s="774"/>
    </row>
    <row r="407" spans="1:12" ht="27" customHeight="1">
      <c r="A407" s="99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9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93" t="s">
        <v>1646</v>
      </c>
      <c r="B409" s="993"/>
      <c r="C409" s="993"/>
      <c r="D409" s="993"/>
      <c r="E409" s="993"/>
      <c r="F409" s="993"/>
      <c r="G409" s="993"/>
      <c r="H409" s="993"/>
      <c r="I409" s="99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93" t="s">
        <v>2008</v>
      </c>
      <c r="B412" s="998" t="s">
        <v>2009</v>
      </c>
      <c r="C412" s="975" t="s">
        <v>21</v>
      </c>
      <c r="D412" s="848" t="s">
        <v>14</v>
      </c>
      <c r="E412" s="975" t="s">
        <v>78</v>
      </c>
      <c r="F412" s="986" t="s">
        <v>2010</v>
      </c>
      <c r="G412" s="986" t="s">
        <v>40</v>
      </c>
      <c r="H412" s="987" t="s">
        <v>614</v>
      </c>
      <c r="I412" s="982"/>
      <c r="J412" s="987">
        <v>1</v>
      </c>
      <c r="K412" s="975" t="s">
        <v>2011</v>
      </c>
      <c r="L412" s="772" t="s">
        <v>1997</v>
      </c>
    </row>
    <row r="413" spans="1:12" ht="20.100000000000001" customHeight="1">
      <c r="A413" s="993"/>
      <c r="B413" s="986"/>
      <c r="C413" s="977"/>
      <c r="D413" s="850"/>
      <c r="E413" s="977"/>
      <c r="F413" s="986"/>
      <c r="G413" s="986"/>
      <c r="H413" s="987"/>
      <c r="I413" s="982"/>
      <c r="J413" s="987"/>
      <c r="K413" s="977"/>
      <c r="L413" s="774"/>
    </row>
    <row r="414" spans="1:12" ht="20.100000000000001" customHeight="1">
      <c r="A414" s="993" t="s">
        <v>1646</v>
      </c>
      <c r="B414" s="993"/>
      <c r="C414" s="993"/>
      <c r="D414" s="993"/>
      <c r="E414" s="993"/>
      <c r="F414" s="993"/>
      <c r="G414" s="993"/>
      <c r="H414" s="993"/>
      <c r="I414" s="99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73"/>
      <c r="B418" s="78" t="s">
        <v>1748</v>
      </c>
      <c r="C418" s="982" t="s">
        <v>306</v>
      </c>
      <c r="D418" s="982" t="s">
        <v>322</v>
      </c>
      <c r="E418" s="982" t="s">
        <v>307</v>
      </c>
      <c r="F418" s="987">
        <v>3306</v>
      </c>
      <c r="G418" s="982" t="s">
        <v>1153</v>
      </c>
      <c r="H418" s="987" t="s">
        <v>1749</v>
      </c>
      <c r="I418" s="982" t="s">
        <v>664</v>
      </c>
      <c r="J418" s="982">
        <v>4</v>
      </c>
      <c r="K418" s="975" t="s">
        <v>631</v>
      </c>
      <c r="L418" s="772" t="s">
        <v>51</v>
      </c>
    </row>
    <row r="419" spans="1:12" ht="13.5" customHeight="1">
      <c r="A419" s="773"/>
      <c r="B419" s="79" t="s">
        <v>1751</v>
      </c>
      <c r="C419" s="982"/>
      <c r="D419" s="982"/>
      <c r="E419" s="982"/>
      <c r="F419" s="987"/>
      <c r="G419" s="982"/>
      <c r="H419" s="987"/>
      <c r="I419" s="982"/>
      <c r="J419" s="982"/>
      <c r="K419" s="977"/>
      <c r="L419" s="774"/>
    </row>
    <row r="420" spans="1:12" ht="13.5" customHeight="1">
      <c r="A420" s="773"/>
      <c r="B420" s="78" t="s">
        <v>1800</v>
      </c>
      <c r="C420" s="982" t="s">
        <v>306</v>
      </c>
      <c r="D420" s="982" t="s">
        <v>322</v>
      </c>
      <c r="E420" s="982" t="s">
        <v>307</v>
      </c>
      <c r="F420" s="987" t="s">
        <v>1801</v>
      </c>
      <c r="G420" s="982" t="s">
        <v>1802</v>
      </c>
      <c r="H420" s="987" t="s">
        <v>1803</v>
      </c>
      <c r="I420" s="982" t="s">
        <v>664</v>
      </c>
      <c r="J420" s="982">
        <v>5</v>
      </c>
      <c r="K420" s="975" t="s">
        <v>631</v>
      </c>
      <c r="L420" s="772" t="s">
        <v>51</v>
      </c>
    </row>
    <row r="421" spans="1:12" ht="13.5" customHeight="1">
      <c r="A421" s="773"/>
      <c r="B421" s="79" t="s">
        <v>1795</v>
      </c>
      <c r="C421" s="982"/>
      <c r="D421" s="982"/>
      <c r="E421" s="982"/>
      <c r="F421" s="987"/>
      <c r="G421" s="982"/>
      <c r="H421" s="987"/>
      <c r="I421" s="982"/>
      <c r="J421" s="982"/>
      <c r="K421" s="977"/>
      <c r="L421" s="774"/>
    </row>
    <row r="422" spans="1:12" ht="27" customHeight="1">
      <c r="A422" s="77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93" t="s">
        <v>1646</v>
      </c>
      <c r="B423" s="993"/>
      <c r="C423" s="993"/>
      <c r="D423" s="993"/>
      <c r="E423" s="993"/>
      <c r="F423" s="993"/>
      <c r="G423" s="993"/>
      <c r="H423" s="993"/>
      <c r="I423" s="99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8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8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8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8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65" t="s">
        <v>1646</v>
      </c>
      <c r="B431" s="965"/>
      <c r="C431" s="965"/>
      <c r="D431" s="965"/>
      <c r="E431" s="965"/>
      <c r="F431" s="965"/>
      <c r="G431" s="965"/>
      <c r="H431" s="965"/>
      <c r="I431" s="96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8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9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65" t="s">
        <v>1646</v>
      </c>
      <c r="B435" s="965"/>
      <c r="C435" s="965"/>
      <c r="D435" s="965"/>
      <c r="E435" s="965"/>
      <c r="F435" s="965"/>
      <c r="G435" s="965"/>
      <c r="H435" s="965"/>
      <c r="I435" s="96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87" t="s">
        <v>2027</v>
      </c>
      <c r="B438" s="252" t="s">
        <v>1760</v>
      </c>
      <c r="C438" s="853" t="s">
        <v>306</v>
      </c>
      <c r="D438" s="853" t="s">
        <v>322</v>
      </c>
      <c r="E438" s="853" t="s">
        <v>307</v>
      </c>
      <c r="F438" s="994" t="s">
        <v>1761</v>
      </c>
      <c r="G438" s="853" t="s">
        <v>329</v>
      </c>
      <c r="H438" s="996" t="s">
        <v>1762</v>
      </c>
      <c r="I438" s="836" t="s">
        <v>664</v>
      </c>
      <c r="J438" s="991">
        <v>2</v>
      </c>
      <c r="K438" s="975" t="s">
        <v>1996</v>
      </c>
      <c r="L438" s="975" t="s">
        <v>51</v>
      </c>
    </row>
    <row r="439" spans="1:12" ht="13.5" customHeight="1">
      <c r="A439" s="788"/>
      <c r="B439" s="253" t="s">
        <v>2028</v>
      </c>
      <c r="C439" s="854"/>
      <c r="D439" s="854"/>
      <c r="E439" s="854"/>
      <c r="F439" s="995"/>
      <c r="G439" s="854"/>
      <c r="H439" s="997"/>
      <c r="I439" s="837"/>
      <c r="J439" s="992"/>
      <c r="K439" s="977"/>
      <c r="L439" s="977"/>
    </row>
    <row r="440" spans="1:12" ht="13.5" customHeight="1">
      <c r="A440" s="788"/>
      <c r="B440" s="254" t="s">
        <v>1794</v>
      </c>
      <c r="C440" s="905" t="s">
        <v>306</v>
      </c>
      <c r="D440" s="905" t="s">
        <v>322</v>
      </c>
      <c r="E440" s="905" t="s">
        <v>307</v>
      </c>
      <c r="F440" s="907" t="s">
        <v>1796</v>
      </c>
      <c r="G440" s="905" t="s">
        <v>1797</v>
      </c>
      <c r="H440" s="907" t="s">
        <v>1792</v>
      </c>
      <c r="I440" s="905" t="s">
        <v>664</v>
      </c>
      <c r="J440" s="765">
        <v>4</v>
      </c>
      <c r="K440" s="975" t="s">
        <v>631</v>
      </c>
      <c r="L440" s="975" t="s">
        <v>1997</v>
      </c>
    </row>
    <row r="441" spans="1:12" ht="13.5" customHeight="1">
      <c r="A441" s="788"/>
      <c r="B441" s="255" t="s">
        <v>1795</v>
      </c>
      <c r="C441" s="905"/>
      <c r="D441" s="905"/>
      <c r="E441" s="905"/>
      <c r="F441" s="907"/>
      <c r="G441" s="905"/>
      <c r="H441" s="907"/>
      <c r="I441" s="905"/>
      <c r="J441" s="766"/>
      <c r="K441" s="977"/>
      <c r="L441" s="977"/>
    </row>
    <row r="442" spans="1:12" ht="20.100000000000001" customHeight="1">
      <c r="A442" s="78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8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8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8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8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8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8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8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78" t="s">
        <v>1646</v>
      </c>
      <c r="B450" s="979"/>
      <c r="C450" s="979"/>
      <c r="D450" s="979"/>
      <c r="E450" s="979"/>
      <c r="F450" s="979"/>
      <c r="G450" s="979"/>
      <c r="H450" s="979"/>
      <c r="I450" s="979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6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6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6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60" t="s">
        <v>2059</v>
      </c>
      <c r="B459" s="760"/>
      <c r="C459" s="760"/>
      <c r="D459" s="760"/>
      <c r="E459" s="760"/>
      <c r="F459" s="760"/>
      <c r="G459" s="760"/>
      <c r="H459" s="760"/>
      <c r="I459" s="760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8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89"/>
      <c r="B463" s="983" t="s">
        <v>1767</v>
      </c>
      <c r="C463" s="984" t="s">
        <v>311</v>
      </c>
      <c r="D463" s="984" t="s">
        <v>320</v>
      </c>
      <c r="E463" s="984" t="s">
        <v>709</v>
      </c>
      <c r="F463" s="984" t="s">
        <v>1768</v>
      </c>
      <c r="G463" s="983" t="s">
        <v>1769</v>
      </c>
      <c r="H463" s="258" t="s">
        <v>1770</v>
      </c>
      <c r="I463" s="984"/>
      <c r="J463" s="984">
        <v>1</v>
      </c>
      <c r="K463" s="848" t="s">
        <v>631</v>
      </c>
      <c r="L463" s="880" t="s">
        <v>51</v>
      </c>
    </row>
    <row r="464" spans="1:12" ht="13.5" customHeight="1">
      <c r="A464" s="989"/>
      <c r="B464" s="983"/>
      <c r="C464" s="984"/>
      <c r="D464" s="984"/>
      <c r="E464" s="984"/>
      <c r="F464" s="984"/>
      <c r="G464" s="983"/>
      <c r="H464" s="259" t="s">
        <v>1773</v>
      </c>
      <c r="I464" s="984"/>
      <c r="J464" s="984"/>
      <c r="K464" s="850"/>
      <c r="L464" s="881"/>
    </row>
    <row r="465" spans="1:12" ht="13.5" customHeight="1">
      <c r="A465" s="989"/>
      <c r="B465" s="985" t="s">
        <v>1813</v>
      </c>
      <c r="C465" s="986" t="s">
        <v>700</v>
      </c>
      <c r="D465" s="982" t="s">
        <v>320</v>
      </c>
      <c r="E465" s="982" t="s">
        <v>337</v>
      </c>
      <c r="F465" s="986" t="s">
        <v>353</v>
      </c>
      <c r="G465" s="986" t="s">
        <v>1814</v>
      </c>
      <c r="H465" s="987" t="s">
        <v>1815</v>
      </c>
      <c r="I465" s="982" t="s">
        <v>638</v>
      </c>
      <c r="J465" s="987">
        <v>2</v>
      </c>
      <c r="K465" s="975" t="s">
        <v>631</v>
      </c>
      <c r="L465" s="975" t="s">
        <v>51</v>
      </c>
    </row>
    <row r="466" spans="1:12" ht="13.5" customHeight="1">
      <c r="A466" s="989"/>
      <c r="B466" s="985"/>
      <c r="C466" s="986"/>
      <c r="D466" s="982"/>
      <c r="E466" s="982"/>
      <c r="F466" s="986"/>
      <c r="G466" s="986"/>
      <c r="H466" s="987"/>
      <c r="I466" s="982"/>
      <c r="J466" s="987"/>
      <c r="K466" s="977"/>
      <c r="L466" s="977"/>
    </row>
    <row r="467" spans="1:12" ht="27" customHeight="1">
      <c r="A467" s="98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89"/>
      <c r="B468" s="986" t="s">
        <v>1820</v>
      </c>
      <c r="C468" s="986" t="s">
        <v>700</v>
      </c>
      <c r="D468" s="982" t="s">
        <v>320</v>
      </c>
      <c r="E468" s="982" t="s">
        <v>709</v>
      </c>
      <c r="F468" s="982" t="s">
        <v>1768</v>
      </c>
      <c r="G468" s="986" t="s">
        <v>1821</v>
      </c>
      <c r="H468" s="261" t="s">
        <v>1822</v>
      </c>
      <c r="I468" s="982" t="s">
        <v>638</v>
      </c>
      <c r="J468" s="982">
        <v>2</v>
      </c>
      <c r="K468" s="975" t="s">
        <v>631</v>
      </c>
      <c r="L468" s="975" t="s">
        <v>51</v>
      </c>
    </row>
    <row r="469" spans="1:12" ht="13.5" customHeight="1">
      <c r="A469" s="989"/>
      <c r="B469" s="986"/>
      <c r="C469" s="986"/>
      <c r="D469" s="982"/>
      <c r="E469" s="982"/>
      <c r="F469" s="982"/>
      <c r="G469" s="986"/>
      <c r="H469" s="262" t="s">
        <v>1823</v>
      </c>
      <c r="I469" s="982"/>
      <c r="J469" s="982"/>
      <c r="K469" s="977"/>
      <c r="L469" s="977"/>
    </row>
    <row r="470" spans="1:12" ht="27" customHeight="1">
      <c r="A470" s="98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9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65" t="s">
        <v>53</v>
      </c>
      <c r="B472" s="965"/>
      <c r="C472" s="965"/>
      <c r="D472" s="965"/>
      <c r="E472" s="965"/>
      <c r="F472" s="965"/>
      <c r="G472" s="965"/>
      <c r="H472" s="965"/>
      <c r="I472" s="96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65" t="s">
        <v>228</v>
      </c>
      <c r="B476" s="983" t="s">
        <v>1767</v>
      </c>
      <c r="C476" s="984" t="s">
        <v>311</v>
      </c>
      <c r="D476" s="984" t="s">
        <v>320</v>
      </c>
      <c r="E476" s="984" t="s">
        <v>709</v>
      </c>
      <c r="F476" s="984" t="s">
        <v>1768</v>
      </c>
      <c r="G476" s="983" t="s">
        <v>1769</v>
      </c>
      <c r="H476" s="258" t="s">
        <v>1770</v>
      </c>
      <c r="I476" s="984"/>
      <c r="J476" s="984">
        <v>1</v>
      </c>
      <c r="K476" s="848" t="s">
        <v>631</v>
      </c>
      <c r="L476" s="880" t="s">
        <v>51</v>
      </c>
    </row>
    <row r="477" spans="1:12" ht="13.5" customHeight="1">
      <c r="A477" s="965"/>
      <c r="B477" s="983"/>
      <c r="C477" s="984"/>
      <c r="D477" s="984"/>
      <c r="E477" s="984"/>
      <c r="F477" s="984"/>
      <c r="G477" s="983"/>
      <c r="H477" s="259" t="s">
        <v>1773</v>
      </c>
      <c r="I477" s="984"/>
      <c r="J477" s="984"/>
      <c r="K477" s="850"/>
      <c r="L477" s="881"/>
    </row>
    <row r="478" spans="1:12" ht="27" customHeight="1">
      <c r="A478" s="96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65" t="s">
        <v>1646</v>
      </c>
      <c r="B479" s="965"/>
      <c r="C479" s="965"/>
      <c r="D479" s="965"/>
      <c r="E479" s="965"/>
      <c r="F479" s="965"/>
      <c r="G479" s="965"/>
      <c r="H479" s="965"/>
      <c r="I479" s="96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7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7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7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7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7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78" t="s">
        <v>53</v>
      </c>
      <c r="B487" s="979"/>
      <c r="C487" s="979"/>
      <c r="D487" s="979"/>
      <c r="E487" s="979"/>
      <c r="F487" s="979"/>
      <c r="G487" s="979"/>
      <c r="H487" s="979"/>
      <c r="I487" s="98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4"/>
      <c r="B494" s="972" t="s">
        <v>2182</v>
      </c>
      <c r="C494" s="972" t="s">
        <v>306</v>
      </c>
      <c r="D494" s="972" t="s">
        <v>322</v>
      </c>
      <c r="E494" s="972" t="s">
        <v>307</v>
      </c>
      <c r="F494" s="981" t="s">
        <v>1919</v>
      </c>
      <c r="G494" s="972" t="s">
        <v>662</v>
      </c>
      <c r="H494" s="981" t="s">
        <v>1920</v>
      </c>
      <c r="I494" s="972" t="s">
        <v>349</v>
      </c>
      <c r="J494" s="972">
        <v>2</v>
      </c>
      <c r="K494" s="986" t="s">
        <v>50</v>
      </c>
      <c r="L494" s="222">
        <v>23</v>
      </c>
    </row>
    <row r="495" spans="1:12" ht="12.6" customHeight="1">
      <c r="A495" s="974"/>
      <c r="B495" s="972"/>
      <c r="C495" s="972"/>
      <c r="D495" s="972"/>
      <c r="E495" s="972"/>
      <c r="F495" s="981"/>
      <c r="G495" s="972"/>
      <c r="H495" s="981"/>
      <c r="I495" s="972"/>
      <c r="J495" s="972"/>
      <c r="K495" s="986"/>
    </row>
    <row r="496" spans="1:12" ht="24.95" customHeight="1">
      <c r="A496" s="97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65" t="s">
        <v>53</v>
      </c>
      <c r="B500" s="965"/>
      <c r="C500" s="965"/>
      <c r="D500" s="965"/>
      <c r="E500" s="965"/>
      <c r="F500" s="965"/>
      <c r="G500" s="965"/>
      <c r="H500" s="965"/>
      <c r="I500" s="96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6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6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6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6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6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65" t="s">
        <v>2217</v>
      </c>
      <c r="B511" s="965"/>
      <c r="C511" s="965"/>
      <c r="D511" s="965"/>
      <c r="E511" s="965"/>
      <c r="F511" s="965"/>
      <c r="G511" s="965"/>
      <c r="H511" s="965"/>
      <c r="I511" s="96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6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6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6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6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6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6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6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60" t="s">
        <v>2233</v>
      </c>
      <c r="B522" s="760"/>
      <c r="C522" s="760"/>
      <c r="D522" s="760"/>
      <c r="E522" s="760"/>
      <c r="F522" s="760"/>
      <c r="G522" s="760"/>
      <c r="H522" s="760"/>
      <c r="I522" s="760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65" t="s">
        <v>2238</v>
      </c>
      <c r="B528" s="965"/>
      <c r="C528" s="965"/>
      <c r="D528" s="965"/>
      <c r="E528" s="965"/>
      <c r="F528" s="965"/>
      <c r="G528" s="965"/>
      <c r="H528" s="965"/>
      <c r="I528" s="96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6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6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6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65" t="s">
        <v>2233</v>
      </c>
      <c r="B535" s="965"/>
      <c r="C535" s="965"/>
      <c r="D535" s="965"/>
      <c r="E535" s="965"/>
      <c r="F535" s="965"/>
      <c r="G535" s="965"/>
      <c r="H535" s="965"/>
      <c r="I535" s="96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78" t="s">
        <v>2238</v>
      </c>
      <c r="B540" s="979"/>
      <c r="C540" s="979"/>
      <c r="D540" s="979"/>
      <c r="E540" s="979"/>
      <c r="F540" s="979"/>
      <c r="G540" s="979"/>
      <c r="H540" s="979"/>
      <c r="I540" s="98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6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6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93" t="s">
        <v>2233</v>
      </c>
      <c r="B546" s="993"/>
      <c r="C546" s="993"/>
      <c r="D546" s="993"/>
      <c r="E546" s="993"/>
      <c r="F546" s="993"/>
      <c r="G546" s="993"/>
      <c r="H546" s="993"/>
      <c r="I546" s="99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65" t="s">
        <v>2233</v>
      </c>
      <c r="B550" s="965"/>
      <c r="C550" s="965"/>
      <c r="D550" s="965"/>
      <c r="E550" s="965"/>
      <c r="F550" s="965"/>
      <c r="G550" s="965"/>
      <c r="H550" s="965"/>
      <c r="I550" s="96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2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2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2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2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2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2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2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2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2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2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2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65" t="s">
        <v>2233</v>
      </c>
      <c r="B565" s="965"/>
      <c r="C565" s="965"/>
      <c r="D565" s="965"/>
      <c r="E565" s="965"/>
      <c r="F565" s="965"/>
      <c r="G565" s="965"/>
      <c r="H565" s="965"/>
      <c r="I565" s="965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96" t="s">
        <v>306</v>
      </c>
      <c r="D569" s="796" t="s">
        <v>322</v>
      </c>
      <c r="E569" s="796" t="s">
        <v>307</v>
      </c>
      <c r="F569" s="796">
        <v>3306</v>
      </c>
      <c r="G569" s="796" t="s">
        <v>1153</v>
      </c>
      <c r="H569" s="796" t="s">
        <v>1907</v>
      </c>
      <c r="I569" s="796" t="s">
        <v>1111</v>
      </c>
      <c r="J569" s="796" t="s">
        <v>692</v>
      </c>
      <c r="K569" s="1024" t="s">
        <v>2291</v>
      </c>
    </row>
    <row r="570" spans="1:12">
      <c r="B570" s="243" t="s">
        <v>1909</v>
      </c>
      <c r="C570" s="797"/>
      <c r="D570" s="797"/>
      <c r="E570" s="797"/>
      <c r="F570" s="797"/>
      <c r="G570" s="797"/>
      <c r="H570" s="797"/>
      <c r="I570" s="797"/>
      <c r="J570" s="797"/>
      <c r="K570" s="1025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65" t="s">
        <v>1458</v>
      </c>
      <c r="B582" s="965"/>
      <c r="C582" s="965"/>
      <c r="D582" s="965"/>
      <c r="E582" s="965"/>
      <c r="F582" s="965"/>
      <c r="G582" s="965"/>
      <c r="H582" s="965"/>
      <c r="I582" s="96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6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6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65" t="s">
        <v>2393</v>
      </c>
      <c r="B588" s="965"/>
      <c r="C588" s="965"/>
      <c r="D588" s="965"/>
      <c r="E588" s="965"/>
      <c r="F588" s="965"/>
      <c r="G588" s="965"/>
      <c r="H588" s="965"/>
      <c r="I588" s="96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60" t="s">
        <v>2406</v>
      </c>
      <c r="B592" s="760"/>
      <c r="C592" s="760"/>
      <c r="D592" s="760"/>
      <c r="E592" s="760"/>
      <c r="F592" s="760"/>
      <c r="G592" s="760"/>
      <c r="H592" s="760"/>
      <c r="I592" s="760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6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6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6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6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6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6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60" t="s">
        <v>2406</v>
      </c>
      <c r="B601" s="760"/>
      <c r="C601" s="760"/>
      <c r="D601" s="760"/>
      <c r="E601" s="760"/>
      <c r="F601" s="760"/>
      <c r="G601" s="760"/>
      <c r="H601" s="760"/>
      <c r="I601" s="760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65" t="s">
        <v>2437</v>
      </c>
      <c r="B606" s="965"/>
      <c r="C606" s="965"/>
      <c r="D606" s="965"/>
      <c r="E606" s="965"/>
      <c r="F606" s="965"/>
      <c r="G606" s="965"/>
      <c r="H606" s="965"/>
      <c r="I606" s="96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6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6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6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65" t="s">
        <v>2406</v>
      </c>
      <c r="B613" s="965"/>
      <c r="C613" s="965"/>
      <c r="D613" s="965"/>
      <c r="E613" s="965"/>
      <c r="F613" s="965"/>
      <c r="G613" s="965"/>
      <c r="H613" s="965"/>
      <c r="I613" s="96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2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2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2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2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2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2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2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2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2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2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65" t="s">
        <v>2406</v>
      </c>
      <c r="B627" s="965"/>
      <c r="C627" s="965"/>
      <c r="D627" s="965"/>
      <c r="E627" s="965"/>
      <c r="F627" s="965"/>
      <c r="G627" s="965"/>
      <c r="H627" s="965"/>
      <c r="I627" s="965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967" t="s">
        <v>5670</v>
      </c>
      <c r="B633" s="556" t="s">
        <v>5147</v>
      </c>
      <c r="C633" s="557" t="s">
        <v>306</v>
      </c>
      <c r="D633" s="557" t="s">
        <v>322</v>
      </c>
      <c r="E633" s="557" t="s">
        <v>307</v>
      </c>
      <c r="F633" s="556" t="s">
        <v>5061</v>
      </c>
      <c r="G633" s="556" t="s">
        <v>354</v>
      </c>
      <c r="H633" s="556" t="s">
        <v>4916</v>
      </c>
      <c r="I633" s="557" t="s">
        <v>664</v>
      </c>
      <c r="J633" s="557" t="s">
        <v>3182</v>
      </c>
      <c r="K633" s="557" t="s">
        <v>5336</v>
      </c>
      <c r="L633" s="538">
        <v>1250000</v>
      </c>
    </row>
    <row r="634" spans="1:12">
      <c r="A634" s="967"/>
      <c r="B634" s="556" t="s">
        <v>5149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4944</v>
      </c>
      <c r="K634" s="557" t="s">
        <v>5337</v>
      </c>
      <c r="L634" s="538">
        <v>750000</v>
      </c>
    </row>
    <row r="635" spans="1:12">
      <c r="A635" s="967"/>
      <c r="B635" s="556" t="s">
        <v>5150</v>
      </c>
      <c r="C635" s="557" t="s">
        <v>306</v>
      </c>
      <c r="D635" s="557" t="s">
        <v>322</v>
      </c>
      <c r="E635" s="557" t="s">
        <v>307</v>
      </c>
      <c r="F635" s="556" t="s">
        <v>4804</v>
      </c>
      <c r="G635" s="556" t="s">
        <v>662</v>
      </c>
      <c r="H635" s="556" t="s">
        <v>5345</v>
      </c>
      <c r="I635" s="557" t="s">
        <v>664</v>
      </c>
      <c r="J635" s="557" t="s">
        <v>3101</v>
      </c>
      <c r="K635" s="557" t="s">
        <v>5338</v>
      </c>
      <c r="L635" s="538">
        <v>500000</v>
      </c>
    </row>
    <row r="636" spans="1:12">
      <c r="A636" s="967"/>
      <c r="B636" s="556" t="s">
        <v>5170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5344</v>
      </c>
      <c r="I636" s="557" t="s">
        <v>664</v>
      </c>
      <c r="J636" s="557" t="s">
        <v>5335</v>
      </c>
      <c r="K636" s="557" t="s">
        <v>5338</v>
      </c>
      <c r="L636" s="538">
        <v>1000000</v>
      </c>
    </row>
    <row r="637" spans="1:12">
      <c r="A637" s="967"/>
      <c r="B637" s="556" t="s">
        <v>5167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4916</v>
      </c>
      <c r="I637" s="557" t="s">
        <v>664</v>
      </c>
      <c r="J637" s="557" t="s">
        <v>3101</v>
      </c>
      <c r="K637" s="557" t="s">
        <v>5338</v>
      </c>
      <c r="L637" s="538">
        <v>500000</v>
      </c>
    </row>
    <row r="638" spans="1:12" ht="22.5">
      <c r="A638" s="967"/>
      <c r="B638" s="556" t="s">
        <v>5169</v>
      </c>
      <c r="C638" s="557" t="s">
        <v>306</v>
      </c>
      <c r="D638" s="557" t="s">
        <v>322</v>
      </c>
      <c r="E638" s="557" t="s">
        <v>307</v>
      </c>
      <c r="F638" s="556" t="s">
        <v>4939</v>
      </c>
      <c r="G638" s="556" t="s">
        <v>1911</v>
      </c>
      <c r="H638" s="556" t="s">
        <v>5347</v>
      </c>
      <c r="I638" s="557" t="s">
        <v>664</v>
      </c>
      <c r="J638" s="557" t="s">
        <v>3101</v>
      </c>
      <c r="K638" s="557" t="s">
        <v>5338</v>
      </c>
      <c r="L638" s="538">
        <v>500000</v>
      </c>
    </row>
    <row r="639" spans="1:12">
      <c r="A639" s="967"/>
      <c r="B639" s="556" t="s">
        <v>5196</v>
      </c>
      <c r="C639" s="557" t="s">
        <v>306</v>
      </c>
      <c r="D639" s="557" t="s">
        <v>322</v>
      </c>
      <c r="E639" s="557" t="s">
        <v>307</v>
      </c>
      <c r="F639" s="556" t="s">
        <v>4965</v>
      </c>
      <c r="G639" s="556" t="s">
        <v>347</v>
      </c>
      <c r="H639" s="556" t="s">
        <v>4916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967"/>
      <c r="B640" s="556" t="s">
        <v>5196</v>
      </c>
      <c r="C640" s="557" t="s">
        <v>306</v>
      </c>
      <c r="D640" s="557" t="s">
        <v>322</v>
      </c>
      <c r="E640" s="557" t="s">
        <v>307</v>
      </c>
      <c r="F640" s="556" t="s">
        <v>4804</v>
      </c>
      <c r="G640" s="556" t="s">
        <v>662</v>
      </c>
      <c r="H640" s="556" t="s">
        <v>5346</v>
      </c>
      <c r="I640" s="557" t="s">
        <v>664</v>
      </c>
      <c r="J640" s="557" t="s">
        <v>3182</v>
      </c>
      <c r="K640" s="557" t="s">
        <v>5339</v>
      </c>
      <c r="L640" s="538">
        <v>1250000</v>
      </c>
    </row>
    <row r="641" spans="1:12">
      <c r="A641" s="967"/>
      <c r="B641" s="556" t="s">
        <v>5222</v>
      </c>
      <c r="C641" s="557" t="s">
        <v>306</v>
      </c>
      <c r="D641" s="557" t="s">
        <v>322</v>
      </c>
      <c r="E641" s="557" t="s">
        <v>307</v>
      </c>
      <c r="F641" s="556" t="s">
        <v>4939</v>
      </c>
      <c r="G641" s="556" t="s">
        <v>3175</v>
      </c>
      <c r="H641" s="556" t="s">
        <v>5340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967"/>
      <c r="B642" s="556" t="s">
        <v>5222</v>
      </c>
      <c r="C642" s="557" t="s">
        <v>306</v>
      </c>
      <c r="D642" s="557" t="s">
        <v>322</v>
      </c>
      <c r="E642" s="557" t="s">
        <v>307</v>
      </c>
      <c r="F642" s="556" t="s">
        <v>4939</v>
      </c>
      <c r="G642" s="556" t="s">
        <v>3175</v>
      </c>
      <c r="H642" s="556" t="s">
        <v>5348</v>
      </c>
      <c r="I642" s="557" t="s">
        <v>664</v>
      </c>
      <c r="J642" s="557" t="s">
        <v>2838</v>
      </c>
      <c r="K642" s="557" t="s">
        <v>5338</v>
      </c>
      <c r="L642" s="540">
        <v>500000</v>
      </c>
    </row>
    <row r="643" spans="1:12">
      <c r="A643" s="967"/>
      <c r="B643" s="556" t="s">
        <v>5222</v>
      </c>
      <c r="C643" s="557" t="s">
        <v>306</v>
      </c>
      <c r="D643" s="557" t="s">
        <v>322</v>
      </c>
      <c r="E643" s="557" t="s">
        <v>307</v>
      </c>
      <c r="F643" s="556" t="s">
        <v>5225</v>
      </c>
      <c r="G643" s="556" t="s">
        <v>3113</v>
      </c>
      <c r="H643" s="556" t="s">
        <v>4916</v>
      </c>
      <c r="I643" s="557" t="s">
        <v>664</v>
      </c>
      <c r="J643" s="557" t="s">
        <v>3182</v>
      </c>
      <c r="K643" s="557" t="s">
        <v>5337</v>
      </c>
      <c r="L643" s="540">
        <v>1250000</v>
      </c>
    </row>
    <row r="644" spans="1:12">
      <c r="A644" s="967"/>
      <c r="B644" s="556" t="s">
        <v>5341</v>
      </c>
      <c r="C644" s="557" t="s">
        <v>311</v>
      </c>
      <c r="D644" s="557" t="s">
        <v>320</v>
      </c>
      <c r="E644" s="556" t="s">
        <v>2601</v>
      </c>
      <c r="F644" s="556" t="s">
        <v>4925</v>
      </c>
      <c r="G644" s="556" t="s">
        <v>3113</v>
      </c>
      <c r="H644" s="556" t="s">
        <v>5343</v>
      </c>
      <c r="I644" s="556" t="s">
        <v>1111</v>
      </c>
      <c r="J644" s="556" t="s">
        <v>5342</v>
      </c>
      <c r="K644" s="557" t="s">
        <v>52</v>
      </c>
      <c r="L644" s="530">
        <v>500000</v>
      </c>
    </row>
    <row r="645" spans="1:12">
      <c r="A645" s="967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4920</v>
      </c>
      <c r="K645" s="557" t="s">
        <v>5336</v>
      </c>
      <c r="L645" s="542">
        <v>250000</v>
      </c>
    </row>
    <row r="646" spans="1:12" ht="22.5">
      <c r="A646" s="967"/>
      <c r="B646" s="558" t="s">
        <v>4914</v>
      </c>
      <c r="C646" s="557" t="s">
        <v>19</v>
      </c>
      <c r="D646" s="557" t="s">
        <v>25</v>
      </c>
      <c r="E646" s="557" t="s">
        <v>307</v>
      </c>
      <c r="F646" s="559" t="s">
        <v>4940</v>
      </c>
      <c r="G646" s="560" t="s">
        <v>482</v>
      </c>
      <c r="H646" s="556" t="s">
        <v>5349</v>
      </c>
      <c r="I646" s="557" t="s">
        <v>168</v>
      </c>
      <c r="J646" s="557" t="s">
        <v>5334</v>
      </c>
      <c r="K646" s="557" t="s">
        <v>5338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968" t="s">
        <v>228</v>
      </c>
      <c r="B649" s="227" t="s">
        <v>5202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5177</v>
      </c>
      <c r="I649" s="227" t="s">
        <v>638</v>
      </c>
      <c r="J649" s="227">
        <v>2</v>
      </c>
      <c r="K649" s="557" t="s">
        <v>5338</v>
      </c>
    </row>
    <row r="650" spans="1:12">
      <c r="A650" s="969"/>
      <c r="B650" s="227" t="s">
        <v>5203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5177</v>
      </c>
      <c r="I650" s="227"/>
      <c r="J650" s="227">
        <v>2</v>
      </c>
      <c r="K650" s="557" t="s">
        <v>5338</v>
      </c>
    </row>
    <row r="651" spans="1:12">
      <c r="A651" s="969"/>
      <c r="B651" s="561" t="s">
        <v>5229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5230</v>
      </c>
      <c r="I651" s="561" t="s">
        <v>702</v>
      </c>
      <c r="J651" s="561">
        <v>2</v>
      </c>
      <c r="K651" s="557" t="s">
        <v>5338</v>
      </c>
    </row>
    <row r="652" spans="1:12">
      <c r="A652" s="969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5338</v>
      </c>
    </row>
    <row r="653" spans="1:12">
      <c r="A653" s="969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4932</v>
      </c>
      <c r="I653" s="562" t="s">
        <v>2700</v>
      </c>
      <c r="J653" s="562">
        <v>2</v>
      </c>
      <c r="K653" s="557" t="s">
        <v>5338</v>
      </c>
    </row>
    <row r="654" spans="1:12">
      <c r="A654" s="970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4952</v>
      </c>
      <c r="I654" s="562"/>
      <c r="J654" s="559">
        <v>2</v>
      </c>
      <c r="K654" s="557" t="s">
        <v>5338</v>
      </c>
    </row>
    <row r="655" spans="1:12">
      <c r="A655" s="971" t="s">
        <v>1646</v>
      </c>
      <c r="B655" s="971"/>
      <c r="C655" s="971"/>
      <c r="D655" s="971"/>
      <c r="E655" s="971"/>
      <c r="F655" s="971"/>
      <c r="G655" s="971"/>
      <c r="H655" s="971"/>
      <c r="I655" s="971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971" t="s">
        <v>739</v>
      </c>
      <c r="B660" s="556" t="s">
        <v>5159</v>
      </c>
      <c r="C660" s="557" t="s">
        <v>311</v>
      </c>
      <c r="D660" s="557" t="s">
        <v>675</v>
      </c>
      <c r="E660" s="556" t="s">
        <v>5124</v>
      </c>
      <c r="F660" s="556" t="s">
        <v>5126</v>
      </c>
      <c r="G660" s="556" t="s">
        <v>347</v>
      </c>
      <c r="H660" s="556" t="s">
        <v>5129</v>
      </c>
      <c r="I660" s="556"/>
      <c r="J660" s="556">
        <v>2</v>
      </c>
      <c r="K660" s="557" t="s">
        <v>5338</v>
      </c>
    </row>
    <row r="661" spans="1:11">
      <c r="A661" s="971"/>
      <c r="B661" s="556" t="s">
        <v>5160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5353</v>
      </c>
      <c r="I661" s="556" t="s">
        <v>638</v>
      </c>
      <c r="J661" s="556">
        <v>1</v>
      </c>
      <c r="K661" s="557" t="s">
        <v>5338</v>
      </c>
    </row>
    <row r="662" spans="1:11" ht="22.5">
      <c r="A662" s="971"/>
      <c r="B662" s="556" t="s">
        <v>5162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5350</v>
      </c>
      <c r="I662" s="556" t="s">
        <v>638</v>
      </c>
      <c r="J662" s="556">
        <v>2</v>
      </c>
      <c r="K662" s="557" t="s">
        <v>5338</v>
      </c>
    </row>
    <row r="663" spans="1:11">
      <c r="A663" s="971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5351</v>
      </c>
      <c r="I663" s="556"/>
      <c r="J663" s="556">
        <v>2</v>
      </c>
      <c r="K663" s="557" t="s">
        <v>5338</v>
      </c>
    </row>
    <row r="664" spans="1:11">
      <c r="A664" s="971"/>
      <c r="B664" s="556" t="s">
        <v>5176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5177</v>
      </c>
      <c r="I664" s="556" t="s">
        <v>638</v>
      </c>
      <c r="J664" s="556">
        <v>1</v>
      </c>
      <c r="K664" s="557" t="s">
        <v>5338</v>
      </c>
    </row>
    <row r="665" spans="1:11">
      <c r="A665" s="971"/>
      <c r="B665" s="556" t="s">
        <v>5176</v>
      </c>
      <c r="C665" s="557" t="s">
        <v>311</v>
      </c>
      <c r="D665" s="557" t="s">
        <v>320</v>
      </c>
      <c r="E665" s="556" t="s">
        <v>5179</v>
      </c>
      <c r="F665" s="556" t="s">
        <v>689</v>
      </c>
      <c r="G665" s="556" t="s">
        <v>5181</v>
      </c>
      <c r="H665" s="556" t="s">
        <v>5354</v>
      </c>
      <c r="I665" s="556"/>
      <c r="J665" s="556">
        <v>1</v>
      </c>
      <c r="K665" s="557" t="s">
        <v>5338</v>
      </c>
    </row>
    <row r="666" spans="1:11">
      <c r="A666" s="971"/>
      <c r="B666" s="556" t="s">
        <v>5184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5030</v>
      </c>
      <c r="H666" s="556" t="s">
        <v>5355</v>
      </c>
      <c r="I666" s="556"/>
      <c r="J666" s="556">
        <v>2</v>
      </c>
      <c r="K666" s="557" t="s">
        <v>5338</v>
      </c>
    </row>
    <row r="667" spans="1:11" ht="22.5">
      <c r="A667" s="971"/>
      <c r="B667" s="556" t="s">
        <v>5188</v>
      </c>
      <c r="C667" s="557" t="s">
        <v>311</v>
      </c>
      <c r="D667" s="557" t="s">
        <v>675</v>
      </c>
      <c r="E667" s="556" t="s">
        <v>5189</v>
      </c>
      <c r="F667" s="556" t="s">
        <v>1919</v>
      </c>
      <c r="G667" s="556" t="s">
        <v>347</v>
      </c>
      <c r="H667" s="556" t="s">
        <v>5356</v>
      </c>
      <c r="I667" s="556"/>
      <c r="J667" s="556">
        <v>2</v>
      </c>
      <c r="K667" s="557" t="s">
        <v>5338</v>
      </c>
    </row>
    <row r="668" spans="1:11">
      <c r="A668" s="971"/>
      <c r="B668" s="556" t="s">
        <v>5357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5358</v>
      </c>
      <c r="I668" s="556" t="s">
        <v>638</v>
      </c>
      <c r="J668" s="556">
        <v>2</v>
      </c>
      <c r="K668" s="557" t="s">
        <v>5338</v>
      </c>
    </row>
    <row r="669" spans="1:11">
      <c r="A669" s="971"/>
      <c r="B669" s="556" t="s">
        <v>5203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5352</v>
      </c>
      <c r="I669" s="556" t="s">
        <v>638</v>
      </c>
      <c r="J669" s="556">
        <v>1</v>
      </c>
      <c r="K669" s="557" t="s">
        <v>5338</v>
      </c>
    </row>
    <row r="670" spans="1:11">
      <c r="A670" s="971"/>
      <c r="B670" s="556" t="s">
        <v>5210</v>
      </c>
      <c r="C670" s="557" t="s">
        <v>311</v>
      </c>
      <c r="D670" s="557" t="s">
        <v>675</v>
      </c>
      <c r="E670" s="556" t="s">
        <v>5211</v>
      </c>
      <c r="F670" s="556" t="s">
        <v>5213</v>
      </c>
      <c r="G670" s="556" t="s">
        <v>662</v>
      </c>
      <c r="H670" s="556" t="s">
        <v>5359</v>
      </c>
      <c r="I670" s="556" t="s">
        <v>638</v>
      </c>
      <c r="J670" s="556">
        <v>1</v>
      </c>
      <c r="K670" s="557" t="s">
        <v>5338</v>
      </c>
    </row>
    <row r="671" spans="1:11">
      <c r="A671" s="971"/>
      <c r="B671" s="556" t="s">
        <v>5214</v>
      </c>
      <c r="C671" s="557" t="s">
        <v>311</v>
      </c>
      <c r="D671" s="557" t="s">
        <v>675</v>
      </c>
      <c r="E671" s="556" t="s">
        <v>5215</v>
      </c>
      <c r="F671" s="556" t="s">
        <v>5127</v>
      </c>
      <c r="G671" s="556" t="s">
        <v>347</v>
      </c>
      <c r="H671" s="556" t="s">
        <v>5360</v>
      </c>
      <c r="I671" s="556"/>
      <c r="J671" s="556">
        <v>2</v>
      </c>
      <c r="K671" s="557" t="s">
        <v>5338</v>
      </c>
    </row>
    <row r="672" spans="1:11">
      <c r="A672" s="971"/>
      <c r="B672" s="556" t="s">
        <v>5219</v>
      </c>
      <c r="C672" s="557" t="s">
        <v>311</v>
      </c>
      <c r="D672" s="557" t="s">
        <v>675</v>
      </c>
      <c r="E672" s="556" t="s">
        <v>5215</v>
      </c>
      <c r="F672" s="556" t="s">
        <v>5127</v>
      </c>
      <c r="G672" s="556" t="s">
        <v>347</v>
      </c>
      <c r="H672" s="556" t="s">
        <v>5217</v>
      </c>
      <c r="I672" s="556"/>
      <c r="J672" s="556">
        <v>2</v>
      </c>
      <c r="K672" s="557" t="s">
        <v>5338</v>
      </c>
    </row>
    <row r="673" spans="1:11" ht="45">
      <c r="A673" s="971"/>
      <c r="B673" s="556" t="s">
        <v>5229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5361</v>
      </c>
      <c r="I673" s="556" t="s">
        <v>638</v>
      </c>
      <c r="J673" s="556">
        <v>1</v>
      </c>
      <c r="K673" s="557" t="s">
        <v>5338</v>
      </c>
    </row>
    <row r="674" spans="1:11">
      <c r="A674" s="971" t="s">
        <v>1646</v>
      </c>
      <c r="B674" s="971"/>
      <c r="C674" s="971"/>
      <c r="D674" s="971"/>
      <c r="E674" s="971"/>
      <c r="F674" s="971"/>
      <c r="G674" s="971"/>
      <c r="H674" s="971"/>
      <c r="I674" s="971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971" t="s">
        <v>739</v>
      </c>
      <c r="B677" s="556" t="s">
        <v>5222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4916</v>
      </c>
      <c r="I677" s="557" t="s">
        <v>664</v>
      </c>
      <c r="J677" s="557">
        <v>2</v>
      </c>
      <c r="K677" s="557" t="s">
        <v>5338</v>
      </c>
    </row>
    <row r="678" spans="1:11">
      <c r="A678" s="971"/>
      <c r="B678" s="556" t="s">
        <v>5362</v>
      </c>
      <c r="C678" s="557" t="s">
        <v>311</v>
      </c>
      <c r="D678" s="557" t="s">
        <v>320</v>
      </c>
      <c r="E678" s="556" t="s">
        <v>2601</v>
      </c>
      <c r="F678" s="556" t="s">
        <v>4925</v>
      </c>
      <c r="G678" s="556" t="s">
        <v>3113</v>
      </c>
      <c r="H678" s="556" t="s">
        <v>5363</v>
      </c>
      <c r="I678" s="556" t="s">
        <v>1111</v>
      </c>
      <c r="J678" s="556">
        <v>1</v>
      </c>
      <c r="K678" s="557" t="s">
        <v>5338</v>
      </c>
    </row>
    <row r="679" spans="1:11">
      <c r="A679" s="971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5332</v>
      </c>
      <c r="I679" s="557" t="s">
        <v>1259</v>
      </c>
      <c r="J679" s="557">
        <v>2</v>
      </c>
      <c r="K679" s="557" t="s">
        <v>5338</v>
      </c>
    </row>
    <row r="680" spans="1:11">
      <c r="A680" s="971"/>
      <c r="B680" s="558" t="s">
        <v>4923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5338</v>
      </c>
    </row>
    <row r="681" spans="1:11">
      <c r="A681" s="971" t="s">
        <v>1646</v>
      </c>
      <c r="B681" s="971"/>
      <c r="C681" s="971"/>
      <c r="D681" s="971"/>
      <c r="E681" s="971"/>
      <c r="F681" s="971"/>
      <c r="G681" s="971"/>
      <c r="H681" s="971"/>
      <c r="I681" s="971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966" t="s">
        <v>1115</v>
      </c>
      <c r="B686" s="567">
        <v>46107</v>
      </c>
      <c r="C686" s="226" t="s">
        <v>124</v>
      </c>
      <c r="D686" s="226" t="s">
        <v>151</v>
      </c>
      <c r="E686" s="226" t="s">
        <v>5255</v>
      </c>
      <c r="F686" s="565" t="s">
        <v>3589</v>
      </c>
      <c r="G686" s="566" t="s">
        <v>34</v>
      </c>
      <c r="H686" s="227" t="s">
        <v>5280</v>
      </c>
      <c r="I686" s="226"/>
      <c r="J686" s="226">
        <v>1</v>
      </c>
      <c r="K686" s="557" t="s">
        <v>5338</v>
      </c>
    </row>
    <row r="687" spans="1:11">
      <c r="A687" s="966"/>
      <c r="B687" s="567">
        <v>46108</v>
      </c>
      <c r="C687" s="226" t="s">
        <v>49</v>
      </c>
      <c r="D687" s="226" t="s">
        <v>151</v>
      </c>
      <c r="E687" s="226" t="s">
        <v>5255</v>
      </c>
      <c r="F687" s="565" t="s">
        <v>3589</v>
      </c>
      <c r="G687" s="566" t="s">
        <v>34</v>
      </c>
      <c r="H687" s="227" t="s">
        <v>5280</v>
      </c>
      <c r="I687" s="226"/>
      <c r="J687" s="226">
        <v>1</v>
      </c>
      <c r="K687" s="557" t="s">
        <v>5338</v>
      </c>
    </row>
    <row r="688" spans="1:11">
      <c r="A688" s="966" t="s">
        <v>1646</v>
      </c>
      <c r="B688" s="966"/>
      <c r="C688" s="966"/>
      <c r="D688" s="966"/>
      <c r="E688" s="966"/>
      <c r="F688" s="966"/>
      <c r="G688" s="966"/>
      <c r="H688" s="966"/>
      <c r="I688" s="966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967" t="s">
        <v>1115</v>
      </c>
      <c r="B692" s="556" t="s">
        <v>5167</v>
      </c>
      <c r="C692" s="557" t="s">
        <v>306</v>
      </c>
      <c r="D692" s="557" t="s">
        <v>322</v>
      </c>
      <c r="E692" s="557" t="s">
        <v>307</v>
      </c>
      <c r="F692" s="556" t="s">
        <v>5168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5338</v>
      </c>
    </row>
    <row r="693" spans="1:12">
      <c r="A693" s="967"/>
      <c r="B693" s="556" t="s">
        <v>5169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5019</v>
      </c>
      <c r="I693" s="557" t="s">
        <v>664</v>
      </c>
      <c r="J693" s="557">
        <v>2</v>
      </c>
      <c r="K693" s="557" t="s">
        <v>5338</v>
      </c>
    </row>
    <row r="694" spans="1:12">
      <c r="A694" s="967"/>
      <c r="B694" s="556" t="s">
        <v>5191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5338</v>
      </c>
    </row>
    <row r="695" spans="1:12">
      <c r="A695" s="967"/>
      <c r="B695" s="556" t="s">
        <v>5192</v>
      </c>
      <c r="C695" s="557" t="s">
        <v>306</v>
      </c>
      <c r="D695" s="557" t="s">
        <v>322</v>
      </c>
      <c r="E695" s="557" t="s">
        <v>307</v>
      </c>
      <c r="F695" s="556" t="s">
        <v>5193</v>
      </c>
      <c r="G695" s="556" t="s">
        <v>5194</v>
      </c>
      <c r="H695" s="556" t="s">
        <v>5195</v>
      </c>
      <c r="I695" s="557" t="s">
        <v>664</v>
      </c>
      <c r="J695" s="557">
        <v>2</v>
      </c>
      <c r="K695" s="557" t="s">
        <v>5338</v>
      </c>
    </row>
    <row r="696" spans="1:12">
      <c r="A696" s="967"/>
      <c r="B696" s="556" t="s">
        <v>5222</v>
      </c>
      <c r="C696" s="557" t="s">
        <v>306</v>
      </c>
      <c r="D696" s="557" t="s">
        <v>322</v>
      </c>
      <c r="E696" s="557" t="s">
        <v>307</v>
      </c>
      <c r="F696" s="556" t="s">
        <v>4939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5338</v>
      </c>
    </row>
    <row r="697" spans="1:12">
      <c r="A697" s="967"/>
      <c r="B697" s="558" t="s">
        <v>4914</v>
      </c>
      <c r="C697" s="557" t="s">
        <v>19</v>
      </c>
      <c r="D697" s="557" t="s">
        <v>25</v>
      </c>
      <c r="E697" s="557" t="s">
        <v>307</v>
      </c>
      <c r="F697" s="559" t="s">
        <v>4940</v>
      </c>
      <c r="G697" s="560" t="s">
        <v>482</v>
      </c>
      <c r="H697" s="556" t="s">
        <v>4942</v>
      </c>
      <c r="I697" s="557" t="s">
        <v>168</v>
      </c>
      <c r="J697" s="557">
        <v>5</v>
      </c>
      <c r="K697" s="557" t="s">
        <v>5338</v>
      </c>
    </row>
    <row r="698" spans="1:12">
      <c r="A698" s="967"/>
      <c r="B698" s="558">
        <v>46111</v>
      </c>
      <c r="C698" s="557" t="s">
        <v>49</v>
      </c>
      <c r="D698" s="557" t="s">
        <v>151</v>
      </c>
      <c r="E698" s="557" t="s">
        <v>5255</v>
      </c>
      <c r="F698" s="559" t="s">
        <v>4940</v>
      </c>
      <c r="G698" s="560" t="s">
        <v>482</v>
      </c>
      <c r="H698" s="556" t="s">
        <v>5304</v>
      </c>
      <c r="I698" s="557" t="s">
        <v>126</v>
      </c>
      <c r="J698" s="557">
        <v>1</v>
      </c>
      <c r="K698" s="557" t="s">
        <v>5338</v>
      </c>
      <c r="L698" s="569">
        <f>250000*7</f>
        <v>1750000</v>
      </c>
    </row>
    <row r="699" spans="1:12">
      <c r="A699" s="966" t="s">
        <v>1646</v>
      </c>
      <c r="B699" s="966"/>
      <c r="C699" s="966"/>
      <c r="D699" s="966"/>
      <c r="E699" s="966"/>
      <c r="F699" s="966"/>
      <c r="G699" s="966"/>
      <c r="H699" s="966"/>
      <c r="I699" s="966"/>
      <c r="J699" s="228">
        <f>SUM(J692:J698)</f>
        <v>20</v>
      </c>
      <c r="K699" s="228"/>
    </row>
    <row r="702" spans="1:12" ht="22.5">
      <c r="A702" s="660" t="s">
        <v>43</v>
      </c>
      <c r="B702" s="660" t="s">
        <v>1620</v>
      </c>
      <c r="C702" s="661" t="s">
        <v>2</v>
      </c>
      <c r="D702" s="661" t="s">
        <v>3</v>
      </c>
      <c r="E702" s="661" t="s">
        <v>4</v>
      </c>
      <c r="F702" s="661" t="s">
        <v>5</v>
      </c>
      <c r="G702" s="661" t="s">
        <v>6</v>
      </c>
      <c r="H702" s="662" t="s">
        <v>45</v>
      </c>
      <c r="I702" s="661" t="s">
        <v>8</v>
      </c>
      <c r="J702" s="663" t="s">
        <v>46</v>
      </c>
      <c r="K702" s="664" t="s">
        <v>47</v>
      </c>
    </row>
    <row r="703" spans="1:12">
      <c r="A703" s="1022" t="s">
        <v>5671</v>
      </c>
      <c r="B703" s="665" t="s">
        <v>4914</v>
      </c>
      <c r="C703" s="666" t="s">
        <v>19</v>
      </c>
      <c r="D703" s="666" t="s">
        <v>25</v>
      </c>
      <c r="E703" s="666" t="s">
        <v>307</v>
      </c>
      <c r="F703" s="667" t="s">
        <v>4940</v>
      </c>
      <c r="G703" s="668" t="s">
        <v>482</v>
      </c>
      <c r="H703" s="669" t="s">
        <v>4942</v>
      </c>
      <c r="I703" s="666" t="s">
        <v>437</v>
      </c>
      <c r="J703" s="667">
        <v>5</v>
      </c>
      <c r="K703" s="666" t="s">
        <v>631</v>
      </c>
      <c r="L703" s="519">
        <v>2500000</v>
      </c>
    </row>
    <row r="704" spans="1:12">
      <c r="A704" s="1022"/>
      <c r="B704" s="665" t="s">
        <v>4946</v>
      </c>
      <c r="C704" s="666" t="s">
        <v>19</v>
      </c>
      <c r="D704" s="666" t="s">
        <v>25</v>
      </c>
      <c r="E704" s="666" t="s">
        <v>307</v>
      </c>
      <c r="F704" s="667" t="s">
        <v>4940</v>
      </c>
      <c r="G704" s="668" t="s">
        <v>4951</v>
      </c>
      <c r="H704" s="669" t="s">
        <v>4950</v>
      </c>
      <c r="I704" s="666" t="s">
        <v>1948</v>
      </c>
      <c r="J704" s="667">
        <v>2</v>
      </c>
      <c r="K704" s="666" t="s">
        <v>631</v>
      </c>
      <c r="L704" s="544">
        <v>500000</v>
      </c>
    </row>
    <row r="705" spans="1:12">
      <c r="A705" s="1022"/>
      <c r="B705" s="665" t="s">
        <v>4914</v>
      </c>
      <c r="C705" s="666" t="s">
        <v>19</v>
      </c>
      <c r="D705" s="666" t="s">
        <v>25</v>
      </c>
      <c r="E705" s="666" t="s">
        <v>307</v>
      </c>
      <c r="F705" s="667" t="s">
        <v>4948</v>
      </c>
      <c r="G705" s="668" t="s">
        <v>115</v>
      </c>
      <c r="H705" s="669" t="s">
        <v>4950</v>
      </c>
      <c r="I705" s="666" t="s">
        <v>1948</v>
      </c>
      <c r="J705" s="667">
        <v>3</v>
      </c>
      <c r="K705" s="666" t="s">
        <v>631</v>
      </c>
      <c r="L705" s="544">
        <v>750000</v>
      </c>
    </row>
    <row r="706" spans="1:12">
      <c r="A706" s="1022"/>
      <c r="B706" s="671" t="s">
        <v>5305</v>
      </c>
      <c r="C706" s="666" t="s">
        <v>49</v>
      </c>
      <c r="D706" s="666" t="s">
        <v>151</v>
      </c>
      <c r="E706" s="666" t="s">
        <v>5255</v>
      </c>
      <c r="F706" s="667" t="s">
        <v>4940</v>
      </c>
      <c r="G706" s="668" t="s">
        <v>482</v>
      </c>
      <c r="H706" s="669" t="s">
        <v>5306</v>
      </c>
      <c r="I706" s="666" t="s">
        <v>1948</v>
      </c>
      <c r="J706" s="667">
        <v>5</v>
      </c>
      <c r="K706" s="666" t="s">
        <v>631</v>
      </c>
      <c r="L706" s="477">
        <v>1250000</v>
      </c>
    </row>
    <row r="707" spans="1:12">
      <c r="A707" s="1022"/>
      <c r="B707" s="672" t="s">
        <v>5448</v>
      </c>
      <c r="C707" s="673" t="s">
        <v>306</v>
      </c>
      <c r="D707" s="673" t="s">
        <v>322</v>
      </c>
      <c r="E707" s="674" t="s">
        <v>5406</v>
      </c>
      <c r="F707" s="674" t="s">
        <v>4939</v>
      </c>
      <c r="G707" s="674" t="s">
        <v>1911</v>
      </c>
      <c r="H707" s="674" t="s">
        <v>5407</v>
      </c>
      <c r="I707" s="675" t="s">
        <v>1111</v>
      </c>
      <c r="J707" s="676">
        <v>1</v>
      </c>
      <c r="K707" s="666" t="s">
        <v>631</v>
      </c>
      <c r="L707" s="631">
        <v>250000</v>
      </c>
    </row>
    <row r="708" spans="1:12">
      <c r="A708" s="1022"/>
      <c r="B708" s="677" t="s">
        <v>5450</v>
      </c>
      <c r="C708" s="673" t="s">
        <v>306</v>
      </c>
      <c r="D708" s="673" t="s">
        <v>322</v>
      </c>
      <c r="E708" s="674" t="s">
        <v>5406</v>
      </c>
      <c r="F708" s="678" t="s">
        <v>4939</v>
      </c>
      <c r="G708" s="678" t="s">
        <v>1911</v>
      </c>
      <c r="H708" s="678" t="s">
        <v>5408</v>
      </c>
      <c r="I708" s="675" t="s">
        <v>1111</v>
      </c>
      <c r="J708" s="676">
        <v>5</v>
      </c>
      <c r="K708" s="666" t="s">
        <v>631</v>
      </c>
      <c r="L708" s="631">
        <v>2500000</v>
      </c>
    </row>
    <row r="709" spans="1:12">
      <c r="A709" s="1022"/>
      <c r="B709" s="674" t="s">
        <v>5451</v>
      </c>
      <c r="C709" s="675" t="s">
        <v>306</v>
      </c>
      <c r="D709" s="675" t="s">
        <v>322</v>
      </c>
      <c r="E709" s="675" t="s">
        <v>5406</v>
      </c>
      <c r="F709" s="678" t="s">
        <v>4939</v>
      </c>
      <c r="G709" s="678" t="s">
        <v>1911</v>
      </c>
      <c r="H709" s="678" t="s">
        <v>5452</v>
      </c>
      <c r="I709" s="675" t="s">
        <v>5453</v>
      </c>
      <c r="J709" s="676">
        <v>3</v>
      </c>
      <c r="K709" s="666" t="s">
        <v>631</v>
      </c>
      <c r="L709" s="631">
        <v>750000</v>
      </c>
    </row>
    <row r="710" spans="1:12">
      <c r="A710" s="1022"/>
      <c r="B710" s="674" t="s">
        <v>5459</v>
      </c>
      <c r="C710" s="675" t="s">
        <v>306</v>
      </c>
      <c r="D710" s="675" t="s">
        <v>322</v>
      </c>
      <c r="E710" s="675" t="s">
        <v>5406</v>
      </c>
      <c r="F710" s="678" t="s">
        <v>5460</v>
      </c>
      <c r="G710" s="678" t="s">
        <v>3113</v>
      </c>
      <c r="H710" s="678" t="s">
        <v>5461</v>
      </c>
      <c r="I710" s="675" t="s">
        <v>5453</v>
      </c>
      <c r="J710" s="676">
        <v>2</v>
      </c>
      <c r="K710" s="666" t="s">
        <v>631</v>
      </c>
      <c r="L710" s="631">
        <v>500000</v>
      </c>
    </row>
    <row r="711" spans="1:12">
      <c r="A711" s="1022"/>
      <c r="B711" s="670">
        <v>46123</v>
      </c>
      <c r="C711" s="673" t="s">
        <v>306</v>
      </c>
      <c r="D711" s="673" t="s">
        <v>322</v>
      </c>
      <c r="E711" s="674" t="s">
        <v>5406</v>
      </c>
      <c r="F711" s="674" t="s">
        <v>4939</v>
      </c>
      <c r="G711" s="674" t="s">
        <v>1911</v>
      </c>
      <c r="H711" s="674" t="s">
        <v>5407</v>
      </c>
      <c r="I711" s="673" t="s">
        <v>1111</v>
      </c>
      <c r="J711" s="679">
        <v>1</v>
      </c>
      <c r="K711" s="666" t="s">
        <v>631</v>
      </c>
      <c r="L711" s="396">
        <v>250000</v>
      </c>
    </row>
    <row r="712" spans="1:12">
      <c r="A712" s="1022"/>
      <c r="B712" s="671" t="s">
        <v>5512</v>
      </c>
      <c r="C712" s="680" t="s">
        <v>124</v>
      </c>
      <c r="D712" s="680" t="s">
        <v>151</v>
      </c>
      <c r="E712" s="681" t="s">
        <v>5255</v>
      </c>
      <c r="F712" s="682">
        <v>1614</v>
      </c>
      <c r="G712" s="674" t="s">
        <v>1911</v>
      </c>
      <c r="H712" s="683" t="s">
        <v>1105</v>
      </c>
      <c r="I712" s="680" t="s">
        <v>1259</v>
      </c>
      <c r="J712" s="682">
        <v>4</v>
      </c>
      <c r="K712" s="666" t="s">
        <v>631</v>
      </c>
      <c r="L712" s="96">
        <v>1250000</v>
      </c>
    </row>
    <row r="713" spans="1:12">
      <c r="A713" s="1022"/>
      <c r="B713" s="671" t="s">
        <v>5512</v>
      </c>
      <c r="C713" s="680" t="s">
        <v>124</v>
      </c>
      <c r="D713" s="680" t="s">
        <v>151</v>
      </c>
      <c r="E713" s="681" t="s">
        <v>5255</v>
      </c>
      <c r="F713" s="682" t="s">
        <v>5513</v>
      </c>
      <c r="G713" s="684" t="s">
        <v>482</v>
      </c>
      <c r="H713" s="683" t="s">
        <v>378</v>
      </c>
      <c r="I713" s="680" t="s">
        <v>812</v>
      </c>
      <c r="J713" s="682">
        <v>5</v>
      </c>
      <c r="K713" s="666" t="s">
        <v>631</v>
      </c>
      <c r="L713" s="96">
        <v>1250000</v>
      </c>
    </row>
    <row r="714" spans="1:12">
      <c r="A714" s="1022"/>
      <c r="B714" s="671">
        <v>46132</v>
      </c>
      <c r="C714" s="680" t="s">
        <v>306</v>
      </c>
      <c r="D714" s="680" t="s">
        <v>322</v>
      </c>
      <c r="E714" s="683" t="s">
        <v>5406</v>
      </c>
      <c r="F714" s="669" t="s">
        <v>5093</v>
      </c>
      <c r="G714" s="669" t="s">
        <v>347</v>
      </c>
      <c r="H714" s="669" t="s">
        <v>5458</v>
      </c>
      <c r="I714" s="666" t="s">
        <v>1534</v>
      </c>
      <c r="J714" s="682">
        <v>1</v>
      </c>
      <c r="K714" s="666" t="s">
        <v>631</v>
      </c>
      <c r="L714" s="396">
        <v>500000</v>
      </c>
    </row>
    <row r="715" spans="1:12">
      <c r="A715" s="1022"/>
      <c r="B715" s="671" t="s">
        <v>5581</v>
      </c>
      <c r="C715" s="680" t="s">
        <v>306</v>
      </c>
      <c r="D715" s="680" t="s">
        <v>322</v>
      </c>
      <c r="E715" s="683" t="s">
        <v>5406</v>
      </c>
      <c r="F715" s="683" t="s">
        <v>5582</v>
      </c>
      <c r="G715" s="683" t="s">
        <v>102</v>
      </c>
      <c r="H715" s="683" t="s">
        <v>1105</v>
      </c>
      <c r="I715" s="666" t="s">
        <v>1534</v>
      </c>
      <c r="J715" s="682">
        <v>4</v>
      </c>
      <c r="K715" s="666" t="s">
        <v>631</v>
      </c>
      <c r="L715" s="396">
        <v>1000000</v>
      </c>
    </row>
    <row r="716" spans="1:12" ht="17.25" customHeight="1">
      <c r="A716" s="1023"/>
      <c r="B716" s="671" t="s">
        <v>5581</v>
      </c>
      <c r="C716" s="680" t="s">
        <v>306</v>
      </c>
      <c r="D716" s="680" t="s">
        <v>322</v>
      </c>
      <c r="E716" s="683" t="s">
        <v>5406</v>
      </c>
      <c r="F716" s="682">
        <v>8263</v>
      </c>
      <c r="G716" s="683" t="s">
        <v>482</v>
      </c>
      <c r="H716" s="683" t="s">
        <v>1105</v>
      </c>
      <c r="I716" s="666" t="s">
        <v>1534</v>
      </c>
      <c r="J716" s="680">
        <v>3</v>
      </c>
      <c r="K716" s="666" t="s">
        <v>631</v>
      </c>
      <c r="L716" s="396">
        <v>1250000</v>
      </c>
    </row>
    <row r="717" spans="1:12">
      <c r="A717" s="956" t="s">
        <v>1646</v>
      </c>
      <c r="B717" s="956"/>
      <c r="C717" s="956"/>
      <c r="D717" s="956"/>
      <c r="E717" s="956"/>
      <c r="F717" s="956"/>
      <c r="G717" s="956"/>
      <c r="H717" s="956"/>
      <c r="I717" s="956"/>
      <c r="J717" s="680">
        <f>SUM(J703:J716)</f>
        <v>44</v>
      </c>
      <c r="K717" s="686"/>
      <c r="L717" s="659">
        <f>SUM(L703:L716)</f>
        <v>14500000</v>
      </c>
    </row>
    <row r="722" spans="1:12" ht="22.5">
      <c r="A722" s="660" t="s">
        <v>43</v>
      </c>
      <c r="B722" s="660" t="s">
        <v>1620</v>
      </c>
      <c r="C722" s="661" t="s">
        <v>2</v>
      </c>
      <c r="D722" s="661" t="s">
        <v>3</v>
      </c>
      <c r="E722" s="661" t="s">
        <v>4</v>
      </c>
      <c r="F722" s="661" t="s">
        <v>5</v>
      </c>
      <c r="G722" s="661" t="s">
        <v>6</v>
      </c>
      <c r="H722" s="662" t="s">
        <v>45</v>
      </c>
      <c r="I722" s="661" t="s">
        <v>8</v>
      </c>
      <c r="J722" s="663" t="s">
        <v>46</v>
      </c>
      <c r="K722" s="664" t="s">
        <v>47</v>
      </c>
    </row>
    <row r="723" spans="1:12">
      <c r="A723" s="957" t="s">
        <v>739</v>
      </c>
      <c r="B723" s="695">
        <v>46106</v>
      </c>
      <c r="C723" s="696" t="s">
        <v>19</v>
      </c>
      <c r="D723" s="696" t="s">
        <v>151</v>
      </c>
      <c r="E723" s="696" t="s">
        <v>5255</v>
      </c>
      <c r="F723" s="697">
        <v>594</v>
      </c>
      <c r="G723" s="698" t="s">
        <v>264</v>
      </c>
      <c r="H723" s="699" t="s">
        <v>5256</v>
      </c>
      <c r="I723" s="696" t="s">
        <v>168</v>
      </c>
      <c r="J723" s="666">
        <v>1</v>
      </c>
      <c r="K723" s="666" t="s">
        <v>50</v>
      </c>
    </row>
    <row r="724" spans="1:12">
      <c r="A724" s="958"/>
      <c r="B724" s="695" t="s">
        <v>5307</v>
      </c>
      <c r="C724" s="696" t="s">
        <v>49</v>
      </c>
      <c r="D724" s="696" t="s">
        <v>151</v>
      </c>
      <c r="E724" s="696" t="s">
        <v>5255</v>
      </c>
      <c r="F724" s="697" t="s">
        <v>2959</v>
      </c>
      <c r="G724" s="698" t="s">
        <v>143</v>
      </c>
      <c r="H724" s="699" t="s">
        <v>1105</v>
      </c>
      <c r="I724" s="696" t="s">
        <v>1259</v>
      </c>
      <c r="J724" s="666">
        <v>2</v>
      </c>
      <c r="K724" s="666" t="s">
        <v>50</v>
      </c>
    </row>
    <row r="725" spans="1:12">
      <c r="A725" s="958"/>
      <c r="B725" s="695" t="s">
        <v>5308</v>
      </c>
      <c r="C725" s="696" t="s">
        <v>49</v>
      </c>
      <c r="D725" s="696" t="s">
        <v>151</v>
      </c>
      <c r="E725" s="696" t="s">
        <v>5255</v>
      </c>
      <c r="F725" s="697" t="s">
        <v>4948</v>
      </c>
      <c r="G725" s="698" t="s">
        <v>102</v>
      </c>
      <c r="H725" s="699" t="s">
        <v>2497</v>
      </c>
      <c r="I725" s="696" t="s">
        <v>1259</v>
      </c>
      <c r="J725" s="666">
        <v>2</v>
      </c>
      <c r="K725" s="666" t="s">
        <v>50</v>
      </c>
    </row>
    <row r="726" spans="1:12">
      <c r="A726" s="958"/>
      <c r="B726" s="700" t="s">
        <v>5448</v>
      </c>
      <c r="C726" s="701" t="s">
        <v>306</v>
      </c>
      <c r="D726" s="701" t="s">
        <v>322</v>
      </c>
      <c r="E726" s="700" t="s">
        <v>5406</v>
      </c>
      <c r="F726" s="699" t="s">
        <v>4965</v>
      </c>
      <c r="G726" s="699" t="s">
        <v>347</v>
      </c>
      <c r="H726" s="699" t="s">
        <v>4916</v>
      </c>
      <c r="I726" s="696" t="s">
        <v>1534</v>
      </c>
      <c r="J726" s="666">
        <v>1</v>
      </c>
      <c r="K726" s="666" t="s">
        <v>50</v>
      </c>
    </row>
    <row r="727" spans="1:12">
      <c r="A727" s="958"/>
      <c r="B727" s="700" t="s">
        <v>5454</v>
      </c>
      <c r="C727" s="701" t="s">
        <v>306</v>
      </c>
      <c r="D727" s="701" t="s">
        <v>322</v>
      </c>
      <c r="E727" s="700" t="s">
        <v>5406</v>
      </c>
      <c r="F727" s="699" t="s">
        <v>5455</v>
      </c>
      <c r="G727" s="699" t="s">
        <v>662</v>
      </c>
      <c r="H727" s="699" t="s">
        <v>5456</v>
      </c>
      <c r="I727" s="696" t="s">
        <v>1534</v>
      </c>
      <c r="J727" s="666">
        <v>1</v>
      </c>
      <c r="K727" s="666" t="s">
        <v>50</v>
      </c>
    </row>
    <row r="728" spans="1:12">
      <c r="A728" s="958"/>
      <c r="B728" s="700" t="s">
        <v>5457</v>
      </c>
      <c r="C728" s="701" t="s">
        <v>306</v>
      </c>
      <c r="D728" s="701" t="s">
        <v>322</v>
      </c>
      <c r="E728" s="700" t="s">
        <v>5406</v>
      </c>
      <c r="F728" s="699" t="s">
        <v>5093</v>
      </c>
      <c r="G728" s="699" t="s">
        <v>347</v>
      </c>
      <c r="H728" s="699" t="s">
        <v>5458</v>
      </c>
      <c r="I728" s="696" t="s">
        <v>1534</v>
      </c>
      <c r="J728" s="666">
        <v>4</v>
      </c>
      <c r="K728" s="666" t="s">
        <v>50</v>
      </c>
    </row>
    <row r="729" spans="1:12">
      <c r="A729" s="958"/>
      <c r="B729" s="695">
        <v>46125</v>
      </c>
      <c r="C729" s="701" t="s">
        <v>19</v>
      </c>
      <c r="D729" s="701" t="s">
        <v>322</v>
      </c>
      <c r="E729" s="700" t="s">
        <v>5406</v>
      </c>
      <c r="F729" s="700" t="s">
        <v>3589</v>
      </c>
      <c r="G729" s="700" t="s">
        <v>482</v>
      </c>
      <c r="H729" s="702" t="s">
        <v>5332</v>
      </c>
      <c r="I729" s="701" t="s">
        <v>168</v>
      </c>
      <c r="J729" s="680">
        <v>1</v>
      </c>
      <c r="K729" s="666" t="s">
        <v>50</v>
      </c>
    </row>
    <row r="730" spans="1:12">
      <c r="A730" s="959"/>
      <c r="B730" s="695" t="s">
        <v>5512</v>
      </c>
      <c r="C730" s="701" t="s">
        <v>19</v>
      </c>
      <c r="D730" s="701" t="s">
        <v>151</v>
      </c>
      <c r="E730" s="703" t="s">
        <v>5255</v>
      </c>
      <c r="F730" s="704">
        <v>1614</v>
      </c>
      <c r="G730" s="700" t="s">
        <v>1911</v>
      </c>
      <c r="H730" s="700" t="s">
        <v>1105</v>
      </c>
      <c r="I730" s="701" t="s">
        <v>1259</v>
      </c>
      <c r="J730" s="680">
        <v>2</v>
      </c>
      <c r="K730" s="666" t="s">
        <v>50</v>
      </c>
    </row>
    <row r="731" spans="1:12">
      <c r="A731" s="956" t="s">
        <v>1646</v>
      </c>
      <c r="B731" s="956"/>
      <c r="C731" s="956"/>
      <c r="D731" s="956"/>
      <c r="E731" s="956"/>
      <c r="F731" s="956"/>
      <c r="G731" s="956"/>
      <c r="H731" s="956"/>
      <c r="I731" s="956"/>
      <c r="J731" s="680">
        <f>SUM(J723:J730)</f>
        <v>14</v>
      </c>
      <c r="K731" s="686"/>
      <c r="L731" s="659">
        <f>SUM(L717:L730)</f>
        <v>14500000</v>
      </c>
    </row>
    <row r="735" spans="1:12" ht="22.5">
      <c r="A735" s="660" t="s">
        <v>43</v>
      </c>
      <c r="B735" s="660" t="s">
        <v>1620</v>
      </c>
      <c r="C735" s="661" t="s">
        <v>2</v>
      </c>
      <c r="D735" s="661" t="s">
        <v>3</v>
      </c>
      <c r="E735" s="661" t="s">
        <v>4</v>
      </c>
      <c r="F735" s="661" t="s">
        <v>5</v>
      </c>
      <c r="G735" s="661" t="s">
        <v>6</v>
      </c>
      <c r="H735" s="662" t="s">
        <v>45</v>
      </c>
      <c r="I735" s="661" t="s">
        <v>8</v>
      </c>
      <c r="J735" s="663" t="s">
        <v>46</v>
      </c>
      <c r="K735" s="664" t="s">
        <v>47</v>
      </c>
    </row>
    <row r="736" spans="1:12">
      <c r="A736" s="960" t="s">
        <v>5689</v>
      </c>
      <c r="B736" s="695">
        <v>46107</v>
      </c>
      <c r="C736" s="680" t="s">
        <v>21</v>
      </c>
      <c r="D736" s="680" t="s">
        <v>14</v>
      </c>
      <c r="E736" s="681" t="s">
        <v>107</v>
      </c>
      <c r="F736" s="681" t="s">
        <v>1968</v>
      </c>
      <c r="G736" s="684" t="s">
        <v>376</v>
      </c>
      <c r="H736" s="685" t="s">
        <v>303</v>
      </c>
      <c r="I736" s="681" t="s">
        <v>90</v>
      </c>
      <c r="J736" s="685">
        <v>1</v>
      </c>
      <c r="K736" s="666" t="s">
        <v>50</v>
      </c>
    </row>
    <row r="737" spans="1:12">
      <c r="A737" s="960"/>
      <c r="B737" s="700" t="s">
        <v>5465</v>
      </c>
      <c r="C737" s="701" t="s">
        <v>311</v>
      </c>
      <c r="D737" s="701" t="s">
        <v>320</v>
      </c>
      <c r="E737" s="700" t="s">
        <v>690</v>
      </c>
      <c r="F737" s="700" t="s">
        <v>5005</v>
      </c>
      <c r="G737" s="700" t="s">
        <v>1198</v>
      </c>
      <c r="H737" s="702" t="s">
        <v>5466</v>
      </c>
      <c r="I737" s="666" t="s">
        <v>638</v>
      </c>
      <c r="J737" s="666">
        <v>1</v>
      </c>
      <c r="K737" s="666" t="s">
        <v>50</v>
      </c>
    </row>
    <row r="738" spans="1:12" ht="45">
      <c r="A738" s="960"/>
      <c r="B738" s="700" t="s">
        <v>5468</v>
      </c>
      <c r="C738" s="701" t="s">
        <v>311</v>
      </c>
      <c r="D738" s="701" t="s">
        <v>675</v>
      </c>
      <c r="E738" s="700" t="s">
        <v>720</v>
      </c>
      <c r="F738" s="700">
        <v>7060</v>
      </c>
      <c r="G738" s="700" t="s">
        <v>371</v>
      </c>
      <c r="H738" s="699" t="s">
        <v>5469</v>
      </c>
      <c r="I738" s="683" t="s">
        <v>638</v>
      </c>
      <c r="J738" s="683">
        <v>1</v>
      </c>
      <c r="K738" s="666" t="s">
        <v>50</v>
      </c>
    </row>
    <row r="739" spans="1:12">
      <c r="A739" s="960"/>
      <c r="B739" s="700" t="s">
        <v>5468</v>
      </c>
      <c r="C739" s="701" t="s">
        <v>311</v>
      </c>
      <c r="D739" s="701" t="s">
        <v>320</v>
      </c>
      <c r="E739" s="700" t="s">
        <v>337</v>
      </c>
      <c r="F739" s="700" t="s">
        <v>3054</v>
      </c>
      <c r="G739" s="700" t="s">
        <v>354</v>
      </c>
      <c r="H739" s="700" t="s">
        <v>310</v>
      </c>
      <c r="I739" s="683" t="s">
        <v>5471</v>
      </c>
      <c r="J739" s="683">
        <v>2</v>
      </c>
      <c r="K739" s="666" t="s">
        <v>50</v>
      </c>
    </row>
    <row r="740" spans="1:12">
      <c r="A740" s="960"/>
      <c r="B740" s="700" t="s">
        <v>5473</v>
      </c>
      <c r="C740" s="701" t="s">
        <v>311</v>
      </c>
      <c r="D740" s="701" t="s">
        <v>320</v>
      </c>
      <c r="E740" s="700" t="s">
        <v>337</v>
      </c>
      <c r="F740" s="700" t="s">
        <v>3054</v>
      </c>
      <c r="G740" s="700" t="s">
        <v>354</v>
      </c>
      <c r="H740" s="700" t="s">
        <v>310</v>
      </c>
      <c r="I740" s="683" t="s">
        <v>5471</v>
      </c>
      <c r="J740" s="683">
        <v>2</v>
      </c>
      <c r="K740" s="666" t="s">
        <v>50</v>
      </c>
    </row>
    <row r="741" spans="1:12" ht="21">
      <c r="A741" s="960"/>
      <c r="B741" s="700" t="s">
        <v>5474</v>
      </c>
      <c r="C741" s="701" t="s">
        <v>311</v>
      </c>
      <c r="D741" s="701" t="s">
        <v>320</v>
      </c>
      <c r="E741" s="705" t="s">
        <v>5475</v>
      </c>
      <c r="F741" s="700" t="s">
        <v>5061</v>
      </c>
      <c r="G741" s="700" t="s">
        <v>354</v>
      </c>
      <c r="H741" s="700" t="s">
        <v>310</v>
      </c>
      <c r="I741" s="683" t="s">
        <v>5471</v>
      </c>
      <c r="J741" s="683">
        <v>2</v>
      </c>
      <c r="K741" s="666" t="s">
        <v>50</v>
      </c>
    </row>
    <row r="742" spans="1:12" ht="21">
      <c r="A742" s="960"/>
      <c r="B742" s="700" t="s">
        <v>5476</v>
      </c>
      <c r="C742" s="701" t="s">
        <v>311</v>
      </c>
      <c r="D742" s="701" t="s">
        <v>320</v>
      </c>
      <c r="E742" s="705" t="s">
        <v>5475</v>
      </c>
      <c r="F742" s="700" t="s">
        <v>5061</v>
      </c>
      <c r="G742" s="700" t="s">
        <v>354</v>
      </c>
      <c r="H742" s="700" t="s">
        <v>310</v>
      </c>
      <c r="I742" s="683" t="s">
        <v>5471</v>
      </c>
      <c r="J742" s="683">
        <v>2</v>
      </c>
      <c r="K742" s="666" t="s">
        <v>50</v>
      </c>
    </row>
    <row r="743" spans="1:12">
      <c r="A743" s="960"/>
      <c r="B743" s="695">
        <v>46120</v>
      </c>
      <c r="C743" s="701" t="s">
        <v>21</v>
      </c>
      <c r="D743" s="701" t="s">
        <v>14</v>
      </c>
      <c r="E743" s="703" t="s">
        <v>107</v>
      </c>
      <c r="F743" s="703" t="s">
        <v>2959</v>
      </c>
      <c r="G743" s="706" t="s">
        <v>143</v>
      </c>
      <c r="H743" s="704" t="s">
        <v>271</v>
      </c>
      <c r="I743" s="681"/>
      <c r="J743" s="681">
        <v>1</v>
      </c>
      <c r="K743" s="666" t="s">
        <v>50</v>
      </c>
    </row>
    <row r="744" spans="1:12">
      <c r="A744" s="960"/>
      <c r="B744" s="695">
        <v>46125</v>
      </c>
      <c r="C744" s="701" t="s">
        <v>24</v>
      </c>
      <c r="D744" s="701" t="s">
        <v>14</v>
      </c>
      <c r="E744" s="703" t="s">
        <v>78</v>
      </c>
      <c r="F744" s="704" t="s">
        <v>3008</v>
      </c>
      <c r="G744" s="706" t="s">
        <v>1382</v>
      </c>
      <c r="H744" s="704" t="s">
        <v>5365</v>
      </c>
      <c r="I744" s="681" t="s">
        <v>202</v>
      </c>
      <c r="J744" s="681">
        <v>1</v>
      </c>
      <c r="K744" s="666" t="s">
        <v>50</v>
      </c>
    </row>
    <row r="745" spans="1:12">
      <c r="A745" s="960"/>
      <c r="B745" s="695">
        <v>46125</v>
      </c>
      <c r="C745" s="701" t="s">
        <v>24</v>
      </c>
      <c r="D745" s="701" t="s">
        <v>14</v>
      </c>
      <c r="E745" s="681" t="s">
        <v>1787</v>
      </c>
      <c r="F745" s="703" t="s">
        <v>2135</v>
      </c>
      <c r="G745" s="684" t="s">
        <v>67</v>
      </c>
      <c r="H745" s="704" t="s">
        <v>5486</v>
      </c>
      <c r="I745" s="681" t="s">
        <v>90</v>
      </c>
      <c r="J745" s="685">
        <v>1</v>
      </c>
      <c r="K745" s="666" t="s">
        <v>50</v>
      </c>
    </row>
    <row r="746" spans="1:12" ht="36">
      <c r="A746" s="960"/>
      <c r="B746" s="695">
        <v>46126</v>
      </c>
      <c r="C746" s="701" t="s">
        <v>24</v>
      </c>
      <c r="D746" s="701" t="s">
        <v>31</v>
      </c>
      <c r="E746" s="704" t="s">
        <v>78</v>
      </c>
      <c r="F746" s="704" t="s">
        <v>3900</v>
      </c>
      <c r="G746" s="706" t="s">
        <v>36</v>
      </c>
      <c r="H746" s="704" t="s">
        <v>5489</v>
      </c>
      <c r="I746" s="685" t="s">
        <v>5490</v>
      </c>
      <c r="J746" s="685">
        <v>1</v>
      </c>
      <c r="K746" s="666" t="s">
        <v>50</v>
      </c>
    </row>
    <row r="747" spans="1:12">
      <c r="A747" s="960"/>
      <c r="B747" s="695">
        <v>46128</v>
      </c>
      <c r="C747" s="680" t="s">
        <v>21</v>
      </c>
      <c r="D747" s="680" t="s">
        <v>14</v>
      </c>
      <c r="E747" s="681" t="s">
        <v>107</v>
      </c>
      <c r="F747" s="681" t="s">
        <v>1968</v>
      </c>
      <c r="G747" s="684" t="s">
        <v>376</v>
      </c>
      <c r="H747" s="685" t="s">
        <v>4844</v>
      </c>
      <c r="I747" s="681" t="s">
        <v>90</v>
      </c>
      <c r="J747" s="681">
        <v>2</v>
      </c>
      <c r="K747" s="666" t="s">
        <v>50</v>
      </c>
    </row>
    <row r="748" spans="1:12">
      <c r="A748" s="960"/>
      <c r="B748" s="695">
        <v>46128</v>
      </c>
      <c r="C748" s="701" t="s">
        <v>24</v>
      </c>
      <c r="D748" s="701" t="s">
        <v>14</v>
      </c>
      <c r="E748" s="681" t="s">
        <v>1787</v>
      </c>
      <c r="F748" s="703" t="s">
        <v>2817</v>
      </c>
      <c r="G748" s="684" t="s">
        <v>23</v>
      </c>
      <c r="H748" s="704" t="s">
        <v>5440</v>
      </c>
      <c r="I748" s="681"/>
      <c r="J748" s="685">
        <v>2</v>
      </c>
      <c r="K748" s="666" t="s">
        <v>50</v>
      </c>
    </row>
    <row r="749" spans="1:12">
      <c r="A749" s="956" t="s">
        <v>1646</v>
      </c>
      <c r="B749" s="956"/>
      <c r="C749" s="956"/>
      <c r="D749" s="956"/>
      <c r="E749" s="956"/>
      <c r="F749" s="956"/>
      <c r="G749" s="956"/>
      <c r="H749" s="956"/>
      <c r="I749" s="956"/>
      <c r="J749" s="680">
        <f>SUM(J736:J748)</f>
        <v>19</v>
      </c>
      <c r="K749" s="686"/>
      <c r="L749" s="659">
        <f>SUM(L735:L748)</f>
        <v>0</v>
      </c>
    </row>
    <row r="750" spans="1:12">
      <c r="K750" s="109"/>
    </row>
    <row r="752" spans="1:12" ht="22.5">
      <c r="A752" s="660" t="s">
        <v>43</v>
      </c>
      <c r="B752" s="660" t="s">
        <v>1620</v>
      </c>
      <c r="C752" s="661" t="s">
        <v>2</v>
      </c>
      <c r="D752" s="661" t="s">
        <v>3</v>
      </c>
      <c r="E752" s="661" t="s">
        <v>4</v>
      </c>
      <c r="F752" s="661" t="s">
        <v>5</v>
      </c>
      <c r="G752" s="661" t="s">
        <v>6</v>
      </c>
      <c r="H752" s="662" t="s">
        <v>45</v>
      </c>
      <c r="I752" s="661" t="s">
        <v>8</v>
      </c>
      <c r="J752" s="663" t="s">
        <v>46</v>
      </c>
      <c r="K752" s="664" t="s">
        <v>47</v>
      </c>
    </row>
    <row r="753" spans="1:12">
      <c r="A753" s="961" t="s">
        <v>5692</v>
      </c>
      <c r="B753" s="707" t="s">
        <v>5690</v>
      </c>
      <c r="C753" s="667" t="s">
        <v>49</v>
      </c>
      <c r="D753" s="667" t="s">
        <v>151</v>
      </c>
      <c r="E753" s="667" t="s">
        <v>5255</v>
      </c>
      <c r="F753" s="667" t="s">
        <v>4940</v>
      </c>
      <c r="G753" s="668" t="s">
        <v>482</v>
      </c>
      <c r="H753" s="667" t="s">
        <v>5304</v>
      </c>
      <c r="I753" s="667" t="s">
        <v>126</v>
      </c>
      <c r="J753" s="667">
        <v>2</v>
      </c>
      <c r="K753" s="666" t="s">
        <v>50</v>
      </c>
    </row>
    <row r="754" spans="1:12">
      <c r="A754" s="962"/>
      <c r="B754" s="707">
        <v>46113</v>
      </c>
      <c r="C754" s="667" t="s">
        <v>49</v>
      </c>
      <c r="D754" s="667" t="s">
        <v>151</v>
      </c>
      <c r="E754" s="667" t="s">
        <v>5255</v>
      </c>
      <c r="F754" s="667">
        <v>1614</v>
      </c>
      <c r="G754" s="668" t="s">
        <v>482</v>
      </c>
      <c r="H754" s="667" t="s">
        <v>378</v>
      </c>
      <c r="I754" s="667" t="s">
        <v>126</v>
      </c>
      <c r="J754" s="667">
        <v>1</v>
      </c>
      <c r="K754" s="666" t="s">
        <v>50</v>
      </c>
    </row>
    <row r="755" spans="1:12">
      <c r="A755" s="962"/>
      <c r="B755" s="667" t="s">
        <v>5450</v>
      </c>
      <c r="C755" s="667" t="s">
        <v>306</v>
      </c>
      <c r="D755" s="667" t="s">
        <v>322</v>
      </c>
      <c r="E755" s="667" t="s">
        <v>5406</v>
      </c>
      <c r="F755" s="667" t="s">
        <v>4939</v>
      </c>
      <c r="G755" s="667" t="s">
        <v>1911</v>
      </c>
      <c r="H755" s="667" t="s">
        <v>4942</v>
      </c>
      <c r="I755" s="667" t="s">
        <v>1111</v>
      </c>
      <c r="J755" s="667">
        <v>5</v>
      </c>
      <c r="K755" s="666" t="s">
        <v>50</v>
      </c>
    </row>
    <row r="756" spans="1:12">
      <c r="A756" s="962"/>
      <c r="B756" s="707" t="s">
        <v>5512</v>
      </c>
      <c r="C756" s="667" t="s">
        <v>19</v>
      </c>
      <c r="D756" s="667" t="s">
        <v>151</v>
      </c>
      <c r="E756" s="708" t="s">
        <v>5255</v>
      </c>
      <c r="F756" s="667" t="s">
        <v>5513</v>
      </c>
      <c r="G756" s="668" t="s">
        <v>18</v>
      </c>
      <c r="H756" s="667" t="s">
        <v>378</v>
      </c>
      <c r="I756" s="667" t="s">
        <v>168</v>
      </c>
      <c r="J756" s="667">
        <v>5</v>
      </c>
      <c r="K756" s="666" t="s">
        <v>50</v>
      </c>
    </row>
    <row r="757" spans="1:12">
      <c r="A757" s="962"/>
      <c r="B757" s="707" t="s">
        <v>5584</v>
      </c>
      <c r="C757" s="667" t="s">
        <v>306</v>
      </c>
      <c r="D757" s="667" t="s">
        <v>322</v>
      </c>
      <c r="E757" s="667" t="s">
        <v>5406</v>
      </c>
      <c r="F757" s="667">
        <v>7063</v>
      </c>
      <c r="G757" s="667" t="s">
        <v>1391</v>
      </c>
      <c r="H757" s="667" t="s">
        <v>378</v>
      </c>
      <c r="I757" s="667" t="s">
        <v>168</v>
      </c>
      <c r="J757" s="667">
        <v>3</v>
      </c>
      <c r="K757" s="666" t="s">
        <v>50</v>
      </c>
    </row>
    <row r="758" spans="1:12">
      <c r="A758" s="962"/>
      <c r="B758" s="707" t="s">
        <v>5581</v>
      </c>
      <c r="C758" s="667" t="s">
        <v>306</v>
      </c>
      <c r="D758" s="667" t="s">
        <v>322</v>
      </c>
      <c r="E758" s="667" t="s">
        <v>5406</v>
      </c>
      <c r="F758" s="667">
        <v>8263</v>
      </c>
      <c r="G758" s="667" t="s">
        <v>482</v>
      </c>
      <c r="H758" s="667" t="s">
        <v>1105</v>
      </c>
      <c r="I758" s="667" t="s">
        <v>1534</v>
      </c>
      <c r="J758" s="667">
        <v>2</v>
      </c>
      <c r="K758" s="666" t="s">
        <v>50</v>
      </c>
    </row>
    <row r="759" spans="1:12">
      <c r="A759" s="962"/>
      <c r="B759" s="707">
        <v>46139</v>
      </c>
      <c r="C759" s="667" t="s">
        <v>306</v>
      </c>
      <c r="D759" s="667" t="s">
        <v>322</v>
      </c>
      <c r="E759" s="667" t="s">
        <v>5406</v>
      </c>
      <c r="F759" s="667" t="s">
        <v>3244</v>
      </c>
      <c r="G759" s="667" t="s">
        <v>23</v>
      </c>
      <c r="H759" s="667" t="s">
        <v>5609</v>
      </c>
      <c r="I759" s="667" t="s">
        <v>168</v>
      </c>
      <c r="J759" s="667">
        <v>1</v>
      </c>
      <c r="K759" s="666" t="s">
        <v>50</v>
      </c>
    </row>
    <row r="760" spans="1:12">
      <c r="A760" s="962"/>
      <c r="B760" s="707" t="s">
        <v>5611</v>
      </c>
      <c r="C760" s="667" t="s">
        <v>306</v>
      </c>
      <c r="D760" s="667" t="s">
        <v>322</v>
      </c>
      <c r="E760" s="667" t="s">
        <v>5406</v>
      </c>
      <c r="F760" s="667">
        <v>7063</v>
      </c>
      <c r="G760" s="667" t="s">
        <v>1391</v>
      </c>
      <c r="H760" s="667" t="s">
        <v>2962</v>
      </c>
      <c r="I760" s="667" t="s">
        <v>1948</v>
      </c>
      <c r="J760" s="667">
        <v>3</v>
      </c>
      <c r="K760" s="666" t="s">
        <v>50</v>
      </c>
    </row>
    <row r="761" spans="1:12">
      <c r="A761" s="963"/>
      <c r="B761" s="707">
        <v>46125</v>
      </c>
      <c r="C761" s="667" t="s">
        <v>5693</v>
      </c>
      <c r="D761" s="667" t="s">
        <v>14</v>
      </c>
      <c r="E761" s="667" t="s">
        <v>5694</v>
      </c>
      <c r="F761" s="667" t="s">
        <v>5695</v>
      </c>
      <c r="G761" s="667" t="s">
        <v>5696</v>
      </c>
      <c r="H761" s="667" t="s">
        <v>5697</v>
      </c>
      <c r="I761" s="667" t="s">
        <v>5698</v>
      </c>
      <c r="J761" s="667">
        <v>1</v>
      </c>
      <c r="K761" s="710" t="s">
        <v>5699</v>
      </c>
    </row>
    <row r="762" spans="1:12">
      <c r="A762" s="954" t="s">
        <v>1646</v>
      </c>
      <c r="B762" s="954"/>
      <c r="C762" s="954"/>
      <c r="D762" s="954"/>
      <c r="E762" s="954"/>
      <c r="F762" s="954"/>
      <c r="G762" s="954"/>
      <c r="H762" s="954"/>
      <c r="I762" s="954"/>
      <c r="J762" s="666">
        <f>SUM(J753:J761)</f>
        <v>23</v>
      </c>
      <c r="K762" s="709"/>
      <c r="L762" s="659">
        <f>SUM(L748:L760)</f>
        <v>0</v>
      </c>
    </row>
    <row r="763" spans="1:12">
      <c r="J763" s="222"/>
    </row>
    <row r="764" spans="1:12" ht="22.5">
      <c r="A764" s="660" t="s">
        <v>43</v>
      </c>
      <c r="B764" s="660" t="s">
        <v>1620</v>
      </c>
      <c r="C764" s="661" t="s">
        <v>2</v>
      </c>
      <c r="D764" s="661" t="s">
        <v>3</v>
      </c>
      <c r="E764" s="661" t="s">
        <v>4</v>
      </c>
      <c r="F764" s="661" t="s">
        <v>5</v>
      </c>
      <c r="G764" s="661" t="s">
        <v>6</v>
      </c>
      <c r="H764" s="662" t="s">
        <v>45</v>
      </c>
      <c r="I764" s="661" t="s">
        <v>8</v>
      </c>
      <c r="J764" s="663" t="s">
        <v>46</v>
      </c>
      <c r="K764" s="664" t="s">
        <v>47</v>
      </c>
    </row>
    <row r="765" spans="1:12">
      <c r="A765" s="964" t="s">
        <v>5700</v>
      </c>
      <c r="B765" s="716" t="s">
        <v>5308</v>
      </c>
      <c r="C765" s="696" t="s">
        <v>49</v>
      </c>
      <c r="D765" s="696" t="s">
        <v>151</v>
      </c>
      <c r="E765" s="696" t="s">
        <v>5255</v>
      </c>
      <c r="F765" s="699" t="s">
        <v>5582</v>
      </c>
      <c r="G765" s="698" t="s">
        <v>102</v>
      </c>
      <c r="H765" s="699" t="s">
        <v>2497</v>
      </c>
      <c r="I765" s="696" t="s">
        <v>1259</v>
      </c>
      <c r="J765" s="666">
        <v>2</v>
      </c>
      <c r="K765" s="666" t="s">
        <v>50</v>
      </c>
    </row>
    <row r="766" spans="1:12">
      <c r="A766" s="964"/>
      <c r="B766" s="716" t="s">
        <v>5610</v>
      </c>
      <c r="C766" s="696" t="s">
        <v>306</v>
      </c>
      <c r="D766" s="696" t="s">
        <v>322</v>
      </c>
      <c r="E766" s="699" t="s">
        <v>5406</v>
      </c>
      <c r="F766" s="699" t="s">
        <v>5582</v>
      </c>
      <c r="G766" s="699" t="s">
        <v>102</v>
      </c>
      <c r="H766" s="717" t="s">
        <v>5625</v>
      </c>
      <c r="I766" s="696" t="s">
        <v>1534</v>
      </c>
      <c r="J766" s="666">
        <v>2</v>
      </c>
      <c r="K766" s="666" t="s">
        <v>50</v>
      </c>
    </row>
    <row r="767" spans="1:12">
      <c r="A767" s="954" t="s">
        <v>1646</v>
      </c>
      <c r="B767" s="954"/>
      <c r="C767" s="954"/>
      <c r="D767" s="954"/>
      <c r="E767" s="954"/>
      <c r="F767" s="954"/>
      <c r="G767" s="954"/>
      <c r="H767" s="954"/>
      <c r="I767" s="954"/>
      <c r="J767" s="666">
        <f>SUM(J765:J766)</f>
        <v>4</v>
      </c>
      <c r="K767" s="709"/>
      <c r="L767" s="659">
        <f>SUM(L753:L765)</f>
        <v>0</v>
      </c>
    </row>
    <row r="769" spans="1:12" ht="22.5">
      <c r="A769" s="660" t="s">
        <v>43</v>
      </c>
      <c r="B769" s="660" t="s">
        <v>1620</v>
      </c>
      <c r="C769" s="661" t="s">
        <v>2</v>
      </c>
      <c r="D769" s="661" t="s">
        <v>3</v>
      </c>
      <c r="E769" s="661" t="s">
        <v>4</v>
      </c>
      <c r="F769" s="661" t="s">
        <v>5</v>
      </c>
      <c r="G769" s="661" t="s">
        <v>6</v>
      </c>
      <c r="H769" s="662" t="s">
        <v>45</v>
      </c>
      <c r="I769" s="661" t="s">
        <v>8</v>
      </c>
      <c r="J769" s="663" t="s">
        <v>46</v>
      </c>
      <c r="K769" s="664" t="s">
        <v>47</v>
      </c>
    </row>
    <row r="770" spans="1:12" ht="33.75">
      <c r="A770" s="955" t="s">
        <v>5701</v>
      </c>
      <c r="B770" s="716">
        <v>46111</v>
      </c>
      <c r="C770" s="696" t="s">
        <v>21</v>
      </c>
      <c r="D770" s="696" t="s">
        <v>14</v>
      </c>
      <c r="E770" s="723" t="s">
        <v>1787</v>
      </c>
      <c r="F770" s="723" t="s">
        <v>2817</v>
      </c>
      <c r="G770" s="698" t="s">
        <v>23</v>
      </c>
      <c r="H770" s="697" t="s">
        <v>5295</v>
      </c>
      <c r="I770" s="667" t="s">
        <v>90</v>
      </c>
      <c r="J770" s="667">
        <v>1</v>
      </c>
      <c r="K770" s="666" t="s">
        <v>50</v>
      </c>
    </row>
    <row r="771" spans="1:12" ht="33.75">
      <c r="A771" s="955"/>
      <c r="B771" s="716">
        <v>46113</v>
      </c>
      <c r="C771" s="666" t="s">
        <v>21</v>
      </c>
      <c r="D771" s="666" t="s">
        <v>14</v>
      </c>
      <c r="E771" s="708" t="s">
        <v>1788</v>
      </c>
      <c r="F771" s="667" t="s">
        <v>3332</v>
      </c>
      <c r="G771" s="668" t="s">
        <v>23</v>
      </c>
      <c r="H771" s="667" t="s">
        <v>5235</v>
      </c>
      <c r="I771" s="708"/>
      <c r="J771" s="667">
        <v>2</v>
      </c>
      <c r="K771" s="666" t="s">
        <v>50</v>
      </c>
    </row>
    <row r="772" spans="1:12" ht="33.75">
      <c r="A772" s="955"/>
      <c r="B772" s="716">
        <v>46114</v>
      </c>
      <c r="C772" s="696" t="s">
        <v>21</v>
      </c>
      <c r="D772" s="696" t="s">
        <v>14</v>
      </c>
      <c r="E772" s="723" t="s">
        <v>1788</v>
      </c>
      <c r="F772" s="697" t="s">
        <v>3332</v>
      </c>
      <c r="G772" s="698" t="s">
        <v>23</v>
      </c>
      <c r="H772" s="697" t="s">
        <v>5235</v>
      </c>
      <c r="I772" s="723"/>
      <c r="J772" s="667">
        <v>2</v>
      </c>
      <c r="K772" s="666" t="s">
        <v>50</v>
      </c>
    </row>
    <row r="773" spans="1:12">
      <c r="A773" s="955"/>
      <c r="B773" s="716">
        <v>46124</v>
      </c>
      <c r="C773" s="696" t="s">
        <v>21</v>
      </c>
      <c r="D773" s="696" t="s">
        <v>17</v>
      </c>
      <c r="E773" s="697" t="s">
        <v>5282</v>
      </c>
      <c r="F773" s="723" t="s">
        <v>2329</v>
      </c>
      <c r="G773" s="668" t="s">
        <v>23</v>
      </c>
      <c r="H773" s="697" t="s">
        <v>5539</v>
      </c>
      <c r="I773" s="723" t="s">
        <v>202</v>
      </c>
      <c r="J773" s="708">
        <v>2</v>
      </c>
      <c r="K773" s="666" t="s">
        <v>50</v>
      </c>
    </row>
    <row r="774" spans="1:12">
      <c r="A774" s="955"/>
      <c r="B774" s="707">
        <v>46136</v>
      </c>
      <c r="C774" s="666" t="s">
        <v>21</v>
      </c>
      <c r="D774" s="666" t="s">
        <v>14</v>
      </c>
      <c r="E774" s="708" t="s">
        <v>107</v>
      </c>
      <c r="F774" s="708" t="s">
        <v>1968</v>
      </c>
      <c r="G774" s="668" t="s">
        <v>376</v>
      </c>
      <c r="H774" s="667" t="s">
        <v>5403</v>
      </c>
      <c r="I774" s="708" t="s">
        <v>90</v>
      </c>
      <c r="J774" s="708">
        <v>1</v>
      </c>
      <c r="K774" s="666" t="s">
        <v>50</v>
      </c>
    </row>
    <row r="775" spans="1:12">
      <c r="A775" s="954" t="s">
        <v>1646</v>
      </c>
      <c r="B775" s="954"/>
      <c r="C775" s="954"/>
      <c r="D775" s="954"/>
      <c r="E775" s="954"/>
      <c r="F775" s="954"/>
      <c r="G775" s="954"/>
      <c r="H775" s="954"/>
      <c r="I775" s="954"/>
      <c r="J775" s="666">
        <f>SUM(J770:J774)</f>
        <v>8</v>
      </c>
      <c r="K775" s="709"/>
      <c r="L775" s="659">
        <f>SUM(L761:L773)</f>
        <v>0</v>
      </c>
    </row>
    <row r="778" spans="1:12" ht="22.5">
      <c r="A778" s="660" t="s">
        <v>43</v>
      </c>
      <c r="B778" s="660" t="s">
        <v>1620</v>
      </c>
      <c r="C778" s="661" t="s">
        <v>2</v>
      </c>
      <c r="D778" s="661" t="s">
        <v>3</v>
      </c>
      <c r="E778" s="661" t="s">
        <v>4</v>
      </c>
      <c r="F778" s="661" t="s">
        <v>5</v>
      </c>
      <c r="G778" s="661" t="s">
        <v>6</v>
      </c>
      <c r="H778" s="662" t="s">
        <v>45</v>
      </c>
      <c r="I778" s="661" t="s">
        <v>8</v>
      </c>
      <c r="J778" s="663" t="s">
        <v>46</v>
      </c>
      <c r="K778" s="664" t="s">
        <v>47</v>
      </c>
    </row>
    <row r="779" spans="1:12">
      <c r="A779" s="955" t="s">
        <v>228</v>
      </c>
      <c r="B779" s="727">
        <v>46115</v>
      </c>
      <c r="C779" s="723" t="s">
        <v>5712</v>
      </c>
      <c r="D779" s="723" t="s">
        <v>14</v>
      </c>
      <c r="E779" s="723" t="s">
        <v>1893</v>
      </c>
      <c r="F779" s="723" t="s">
        <v>5713</v>
      </c>
      <c r="G779" s="723" t="s">
        <v>34</v>
      </c>
      <c r="H779" s="723" t="s">
        <v>5714</v>
      </c>
      <c r="I779" s="723" t="s">
        <v>5698</v>
      </c>
      <c r="J779" s="723">
        <v>3</v>
      </c>
      <c r="K779" s="723" t="s">
        <v>1280</v>
      </c>
    </row>
    <row r="780" spans="1:12">
      <c r="A780" s="955"/>
      <c r="B780" s="727">
        <v>46125</v>
      </c>
      <c r="C780" s="723" t="s">
        <v>5712</v>
      </c>
      <c r="D780" s="723" t="s">
        <v>14</v>
      </c>
      <c r="E780" s="723" t="s">
        <v>1893</v>
      </c>
      <c r="F780" s="723" t="s">
        <v>5713</v>
      </c>
      <c r="G780" s="723" t="s">
        <v>34</v>
      </c>
      <c r="H780" s="723" t="s">
        <v>5714</v>
      </c>
      <c r="I780" s="723" t="s">
        <v>5698</v>
      </c>
      <c r="J780" s="723">
        <v>3</v>
      </c>
      <c r="K780" s="723" t="s">
        <v>1280</v>
      </c>
    </row>
    <row r="781" spans="1:12">
      <c r="A781" s="955"/>
      <c r="B781" s="727">
        <v>46127</v>
      </c>
      <c r="C781" s="723" t="s">
        <v>5712</v>
      </c>
      <c r="D781" s="723" t="s">
        <v>14</v>
      </c>
      <c r="E781" s="723" t="s">
        <v>1893</v>
      </c>
      <c r="F781" s="723" t="s">
        <v>5713</v>
      </c>
      <c r="G781" s="723" t="s">
        <v>34</v>
      </c>
      <c r="H781" s="723" t="s">
        <v>5714</v>
      </c>
      <c r="I781" s="723" t="s">
        <v>5698</v>
      </c>
      <c r="J781" s="723">
        <v>3</v>
      </c>
      <c r="K781" s="723" t="s">
        <v>1280</v>
      </c>
    </row>
    <row r="782" spans="1:12">
      <c r="A782" s="955"/>
      <c r="B782" s="727">
        <v>46128</v>
      </c>
      <c r="C782" s="723" t="s">
        <v>5712</v>
      </c>
      <c r="D782" s="723" t="s">
        <v>14</v>
      </c>
      <c r="E782" s="723" t="s">
        <v>1893</v>
      </c>
      <c r="F782" s="723" t="s">
        <v>5713</v>
      </c>
      <c r="G782" s="723" t="s">
        <v>5717</v>
      </c>
      <c r="H782" s="723" t="s">
        <v>5714</v>
      </c>
      <c r="I782" s="723" t="s">
        <v>5698</v>
      </c>
      <c r="J782" s="723">
        <v>3</v>
      </c>
      <c r="K782" s="723" t="s">
        <v>1280</v>
      </c>
    </row>
    <row r="783" spans="1:12">
      <c r="A783" s="955"/>
      <c r="B783" s="727">
        <v>46132</v>
      </c>
      <c r="C783" s="723" t="s">
        <v>5712</v>
      </c>
      <c r="D783" s="723" t="s">
        <v>14</v>
      </c>
      <c r="E783" s="723" t="s">
        <v>1893</v>
      </c>
      <c r="F783" s="723" t="s">
        <v>5713</v>
      </c>
      <c r="G783" s="723" t="s">
        <v>5716</v>
      </c>
      <c r="H783" s="723" t="s">
        <v>5714</v>
      </c>
      <c r="I783" s="723" t="s">
        <v>5698</v>
      </c>
      <c r="J783" s="723">
        <v>3</v>
      </c>
      <c r="K783" s="723" t="s">
        <v>1280</v>
      </c>
    </row>
    <row r="784" spans="1:12">
      <c r="A784" s="955"/>
      <c r="B784" s="727">
        <v>46135</v>
      </c>
      <c r="C784" s="723" t="s">
        <v>5712</v>
      </c>
      <c r="D784" s="723" t="s">
        <v>14</v>
      </c>
      <c r="E784" s="723" t="s">
        <v>1893</v>
      </c>
      <c r="F784" s="723" t="s">
        <v>5713</v>
      </c>
      <c r="G784" s="723" t="s">
        <v>5716</v>
      </c>
      <c r="H784" s="723" t="s">
        <v>5714</v>
      </c>
      <c r="I784" s="723" t="s">
        <v>5698</v>
      </c>
      <c r="J784" s="723">
        <v>3</v>
      </c>
      <c r="K784" s="723" t="s">
        <v>1280</v>
      </c>
    </row>
    <row r="785" spans="1:11">
      <c r="A785" s="955"/>
      <c r="B785" s="727">
        <v>46136</v>
      </c>
      <c r="C785" s="723" t="s">
        <v>5712</v>
      </c>
      <c r="D785" s="723" t="s">
        <v>14</v>
      </c>
      <c r="E785" s="723" t="s">
        <v>1893</v>
      </c>
      <c r="F785" s="723" t="s">
        <v>5713</v>
      </c>
      <c r="G785" s="723" t="s">
        <v>5716</v>
      </c>
      <c r="H785" s="723" t="s">
        <v>5714</v>
      </c>
      <c r="I785" s="723" t="s">
        <v>5698</v>
      </c>
      <c r="J785" s="723">
        <v>3</v>
      </c>
      <c r="K785" s="723" t="s">
        <v>1280</v>
      </c>
    </row>
    <row r="786" spans="1:11">
      <c r="A786" s="955"/>
      <c r="B786" s="727">
        <v>46137</v>
      </c>
      <c r="C786" s="723" t="s">
        <v>5712</v>
      </c>
      <c r="D786" s="723" t="s">
        <v>14</v>
      </c>
      <c r="E786" s="723" t="s">
        <v>1893</v>
      </c>
      <c r="F786" s="723" t="s">
        <v>5713</v>
      </c>
      <c r="G786" s="723" t="s">
        <v>5716</v>
      </c>
      <c r="H786" s="723" t="s">
        <v>5714</v>
      </c>
      <c r="I786" s="723" t="s">
        <v>5698</v>
      </c>
      <c r="J786" s="723">
        <v>3</v>
      </c>
      <c r="K786" s="723" t="s">
        <v>1280</v>
      </c>
    </row>
    <row r="787" spans="1:11">
      <c r="A787" s="954" t="s">
        <v>1646</v>
      </c>
      <c r="B787" s="954"/>
      <c r="C787" s="954"/>
      <c r="D787" s="954"/>
      <c r="E787" s="954"/>
      <c r="F787" s="954"/>
      <c r="G787" s="954"/>
      <c r="H787" s="954"/>
      <c r="I787" s="954"/>
      <c r="J787" s="666">
        <f>SUM(J779:J786)</f>
        <v>24</v>
      </c>
      <c r="K787" s="709"/>
    </row>
    <row r="789" spans="1:11">
      <c r="B789" s="724" t="s">
        <v>5702</v>
      </c>
    </row>
    <row r="790" spans="1:11">
      <c r="B790" s="725"/>
    </row>
    <row r="791" spans="1:11">
      <c r="B791" s="726" t="s">
        <v>5703</v>
      </c>
    </row>
    <row r="792" spans="1:11">
      <c r="B792" s="726" t="s">
        <v>5704</v>
      </c>
    </row>
    <row r="793" spans="1:11">
      <c r="B793" s="726" t="s">
        <v>5715</v>
      </c>
    </row>
    <row r="794" spans="1:11">
      <c r="B794" s="726" t="s">
        <v>5705</v>
      </c>
    </row>
    <row r="795" spans="1:11">
      <c r="B795" s="726" t="s">
        <v>5706</v>
      </c>
    </row>
    <row r="796" spans="1:11">
      <c r="B796" s="726" t="s">
        <v>5707</v>
      </c>
    </row>
    <row r="797" spans="1:11">
      <c r="B797" s="726"/>
    </row>
    <row r="798" spans="1:11">
      <c r="B798" s="726" t="s">
        <v>5708</v>
      </c>
    </row>
    <row r="799" spans="1:11">
      <c r="B799" s="726" t="s">
        <v>5709</v>
      </c>
    </row>
    <row r="800" spans="1:11">
      <c r="B800" s="726" t="s">
        <v>5710</v>
      </c>
    </row>
    <row r="801" spans="2:2">
      <c r="B801" s="726" t="s">
        <v>5711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5377</v>
      </c>
      <c r="D4" t="s">
        <v>5378</v>
      </c>
    </row>
    <row r="5" spans="2:13">
      <c r="B5" t="s">
        <v>5373</v>
      </c>
      <c r="C5" s="109">
        <v>160000</v>
      </c>
      <c r="D5" s="109"/>
    </row>
    <row r="6" spans="2:13">
      <c r="B6" t="s">
        <v>5374</v>
      </c>
      <c r="C6" s="109">
        <f>59500*2</f>
        <v>119000</v>
      </c>
      <c r="D6" s="109">
        <f>186000*2</f>
        <v>372000</v>
      </c>
      <c r="H6" t="s">
        <v>5393</v>
      </c>
    </row>
    <row r="7" spans="2:13">
      <c r="B7" t="s">
        <v>5375</v>
      </c>
      <c r="C7" s="109">
        <v>250000</v>
      </c>
      <c r="D7" s="109"/>
      <c r="H7" s="55" t="s">
        <v>162</v>
      </c>
      <c r="I7" s="55" t="s">
        <v>5382</v>
      </c>
      <c r="J7" s="55" t="s">
        <v>5383</v>
      </c>
      <c r="K7" s="55" t="s">
        <v>5389</v>
      </c>
      <c r="L7" s="55" t="s">
        <v>1458</v>
      </c>
      <c r="M7" s="55" t="s">
        <v>3320</v>
      </c>
    </row>
    <row r="8" spans="2:13">
      <c r="B8" t="s">
        <v>5376</v>
      </c>
      <c r="C8" s="109">
        <v>500000</v>
      </c>
      <c r="D8" s="109"/>
      <c r="H8" s="55" t="s">
        <v>5385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5398</v>
      </c>
    </row>
    <row r="9" spans="2:13">
      <c r="C9" s="109"/>
      <c r="D9" s="109"/>
      <c r="H9" s="55" t="s">
        <v>5386</v>
      </c>
      <c r="I9" s="374">
        <f>70000*2</f>
        <v>140000</v>
      </c>
      <c r="J9" s="374"/>
      <c r="K9" s="374"/>
      <c r="L9" s="374">
        <f>SUM(I9:J9)</f>
        <v>140000</v>
      </c>
      <c r="M9" s="55" t="s">
        <v>5397</v>
      </c>
    </row>
    <row r="10" spans="2:13">
      <c r="C10" s="109"/>
      <c r="D10" s="109"/>
      <c r="H10" s="55" t="s">
        <v>5379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5399</v>
      </c>
    </row>
    <row r="11" spans="2:13">
      <c r="C11" s="109"/>
      <c r="D11" s="109"/>
      <c r="H11" s="55" t="s">
        <v>5380</v>
      </c>
      <c r="I11" s="374">
        <v>550000</v>
      </c>
      <c r="J11" s="55"/>
      <c r="K11" s="572"/>
      <c r="L11" s="374">
        <f>SUM(I11:J11)</f>
        <v>550000</v>
      </c>
      <c r="M11" s="55" t="s">
        <v>5381</v>
      </c>
    </row>
    <row r="12" spans="2:13">
      <c r="C12" s="109"/>
      <c r="D12" s="109"/>
      <c r="H12" s="760" t="s">
        <v>5391</v>
      </c>
      <c r="I12" s="760"/>
      <c r="J12" s="760"/>
      <c r="K12" s="760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5394</v>
      </c>
    </row>
    <row r="15" spans="2:13">
      <c r="H15" s="55" t="s">
        <v>162</v>
      </c>
      <c r="I15" s="55" t="s">
        <v>5382</v>
      </c>
      <c r="J15" s="55" t="s">
        <v>5383</v>
      </c>
      <c r="K15" s="55" t="s">
        <v>5390</v>
      </c>
      <c r="L15" s="55" t="s">
        <v>1458</v>
      </c>
      <c r="M15" s="55" t="s">
        <v>3320</v>
      </c>
    </row>
    <row r="16" spans="2:13">
      <c r="H16" s="55" t="s">
        <v>5385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5384</v>
      </c>
    </row>
    <row r="17" spans="8:13">
      <c r="H17" s="55" t="s">
        <v>5387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5396</v>
      </c>
    </row>
    <row r="18" spans="8:13">
      <c r="H18" s="55" t="s">
        <v>5379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5388</v>
      </c>
    </row>
    <row r="19" spans="8:13">
      <c r="H19" s="55" t="s">
        <v>5380</v>
      </c>
      <c r="I19" s="374">
        <v>550000</v>
      </c>
      <c r="J19" s="55"/>
      <c r="K19" s="55"/>
      <c r="L19" s="374">
        <f>SUM(I19:J19)</f>
        <v>550000</v>
      </c>
      <c r="M19" s="55" t="s">
        <v>5381</v>
      </c>
    </row>
    <row r="20" spans="8:13">
      <c r="H20" s="760" t="s">
        <v>5392</v>
      </c>
      <c r="I20" s="760"/>
      <c r="J20" s="760"/>
      <c r="K20" s="760"/>
      <c r="L20" s="573">
        <f>SUM(L16:L19)</f>
        <v>3647500</v>
      </c>
    </row>
    <row r="22" spans="8:13">
      <c r="H22" s="574" t="s">
        <v>5395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C3" sqref="C3"/>
    </sheetView>
  </sheetViews>
  <sheetFormatPr defaultRowHeight="16.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2026-05-14T07:55:31Z</dcterms:modified>
</cp:coreProperties>
</file>