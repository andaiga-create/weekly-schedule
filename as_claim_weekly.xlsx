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<sst xmlns="http://schemas.openxmlformats.org/spreadsheetml/2006/main" count="23142" uniqueCount="6157">
  <si>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</si>
  <si>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</si>
  <si>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</si>
  <si>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</si>
  <si>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</si>
  <si>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</si>
  <si>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</si>
  <si>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</si>
  <si>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</si>
  <si>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</si>
  <si>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</si>
  <si>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</si>
  <si>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</si>
  <si>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</si>
  <si>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</si>
  <si>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</si>
  <si>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</si>
  <si>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</si>
  <si>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</si>
  <si>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</si>
  <si>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</si>
  <si>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</si>
  <si>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</si>
  <si>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</si>
  <si>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</si>
  <si>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</si>
  <si>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</si>
  <si>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</si>
  <si>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</si>
  <si>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</si>
  <si>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</si>
  <si>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</si>
  <si>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</si>
  <si>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</si>
  <si>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</si>
  <si>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</si>
  <si>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</si>
  <si>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</si>
  <si>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</si>
  <si>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</si>
  <si>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</si>
  <si>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</si>
  <si>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</si>
  <si>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</si>
  <si>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</si>
  <si>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</si>
  <si>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</si>
  <si>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</si>
  <si>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</si>
  <si>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</si>
  <si>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</si>
  <si>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</si>
  <si>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</si>
  <si>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</si>
  <si>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</si>
  <si>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</si>
  <si>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</si>
  <si>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</si>
  <si>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</si>
  <si>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</si>
  <si>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</si>
  <si>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</si>
  <si>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</si>
  <si>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</si>
  <si>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</si>
  <si>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</si>
  <si>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</si>
  <si>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</si>
  <si>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</si>
  <si>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</si>
  <si>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</si>
  <si>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</si>
  <si>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</si>
  <si>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</si>
  <si>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</si>
  <si>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</si>
  <si>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</si>
  <si>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</si>
  <si>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</si>
  <si>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</si>
  <si>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</si>
  <si>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</si>
  <si>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</si>
  <si>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</si>
  <si>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</si>
  <si>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</si>
  <si>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</si>
  <si>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</si>
  <si>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</si>
  <si>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</si>
  <si>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</si>
  <si>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</si>
  <si>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</si>
  <si>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</si>
  <si>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</si>
  <si>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</si>
  <si>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</si>
  <si>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</si>
  <si>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</si>
  <si>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</si>
  <si>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</si>
  <si>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</si>
  <si>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</si>
  <si>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</si>
  <si>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</si>
  <si>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</si>
  <si>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</si>
  <si>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</si>
  <si>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</si>
  <si>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</si>
  <si>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</si>
  <si>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</si>
  <si>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</si>
  <si>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</si>
  <si>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</si>
  <si>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</si>
  <si>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</si>
  <si>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</si>
  <si>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</si>
  <si>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</si>
  <si>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</si>
  <si>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</si>
  <si>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</si>
  <si>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</si>
  <si>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</si>
  <si>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</si>
  <si>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</si>
  <si>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</si>
  <si>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</si>
  <si>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</si>
  <si>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</si>
  <si>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</si>
  <si>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</si>
  <si>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</si>
  <si>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</si>
  <si>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</si>
  <si>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</si>
  <si>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</si>
  <si>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</si>
  <si>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</si>
  <si>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</si>
  <si>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</si>
  <si>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</si>
  <si>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</si>
  <si>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</si>
  <si>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</si>
  <si>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</si>
  <si>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</si>
  <si>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</si>
  <si>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</si>
  <si>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</si>
  <si>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</si>
  <si>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</si>
  <si>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</si>
  <si>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</si>
  <si>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</si>
  <si>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</si>
  <si>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</si>
  <si>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</si>
  <si>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</si>
  <si>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</si>
  <si>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</si>
  <si>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</si>
  <si>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</si>
  <si>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</si>
  <si>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</si>
  <si>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</si>
  <si>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</si>
  <si>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</si>
  <si>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</si>
  <si>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</si>
  <si>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</si>
  <si>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</si>
  <si>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</si>
  <si>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</si>
  <si>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</si>
  <si>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</si>
  <si>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</si>
  <si>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</si>
  <si>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</si>
  <si>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</si>
  <si>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</si>
  <si>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</si>
  <si>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</si>
  <si>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</si>
  <si>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</si>
  <si>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</si>
  <si>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</si>
  <si>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</si>
  <si>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</si>
  <si>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</si>
  <si>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</si>
  <si>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</si>
  <si>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</si>
  <si>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</si>
  <si>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</si>
  <si>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</si>
  <si>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</si>
  <si>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</si>
  <si>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</si>
  <si>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</si>
  <si>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</si>
  <si>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</si>
  <si>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</si>
  <si>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</si>
  <si>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</si>
  <si>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</si>
  <si>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</si>
  <si>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</si>
  <si>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</si>
  <si>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</si>
  <si>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</si>
  <si>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</si>
  <si>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</si>
  <si>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</si>
  <si>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</si>
  <si>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</si>
  <si>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</si>
  <si>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</si>
  <si>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</si>
  <si>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</si>
  <si>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</si>
  <si>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</si>
  <si>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</si>
  <si>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</si>
  <si>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</si>
  <si>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</si>
  <si>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</si>
  <si>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</si>
  <si>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</si>
  <si>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</si>
  <si>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</si>
  <si>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</si>
  <si>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</si>
  <si>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</si>
  <si>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</si>
  <si>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</si>
  <si>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</si>
  <si>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</si>
  <si>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</si>
  <si>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</si>
  <si>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</si>
  <si>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</si>
  <si>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</si>
  <si>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</si>
  <si>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</si>
  <si>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</si>
  <si>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</si>
  <si>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</si>
  <si>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</si>
  <si>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</si>
  <si>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</si>
  <si>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</si>
  <si>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</si>
  <si>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</si>
  <si>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</si>
  <si>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</si>
  <si>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</si>
  <si>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</si>
  <si>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</si>
  <si>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</si>
  <si>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</si>
  <si>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</si>
  <si>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</si>
  <si>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</si>
  <si>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</si>
  <si>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</si>
  <si>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</si>
  <si>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</si>
  <si>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</si>
  <si>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</si>
  <si>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</si>
  <si>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</si>
  <si>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</si>
  <si>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</si>
  <si>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</si>
  <si>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</si>
  <si>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</si>
  <si>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</si>
  <si>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</si>
  <si>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</si>
  <si>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</si>
  <si>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</si>
  <si>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</si>
  <si>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</si>
  <si>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</si>
  <si>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</si>
  <si>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</si>
  <si>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</si>
  <si>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</si>
  <si>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</si>
  <si>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</si>
  <si>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</si>
  <si>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</si>
  <si>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</si>
  <si>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</si>
  <si>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</si>
  <si>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</si>
  <si>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</si>
  <si>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</si>
  <si>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</si>
  <si>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</si>
  <si>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</si>
  <si>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</si>
  <si>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</si>
  <si>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</si>
  <si>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</si>
  <si>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</si>
  <si>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</si>
  <si>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</si>
  <si>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</si>
  <si>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</si>
  <si>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</si>
  <si>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</si>
  <si>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</si>
  <si>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</si>
  <si>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</si>
  <si>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</si>
  <si>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</si>
  <si>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</si>
  <si>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</si>
  <si>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</si>
  <si>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</si>
  <si>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</si>
  <si>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</si>
  <si>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</si>
  <si>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</si>
  <si>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</si>
  <si>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</si>
  <si>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</si>
  <si>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</si>
  <si>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</si>
  <si>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</si>
  <si>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</si>
  <si>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</si>
  <si>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</si>
  <si>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</si>
  <si>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</si>
  <si>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</si>
  <si>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</si>
  <si>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</si>
  <si>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</si>
  <si>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</si>
  <si>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</si>
  <si>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</si>
  <si>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</si>
  <si>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</si>
  <si>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</si>
  <si>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</si>
  <si>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</si>
  <si>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</si>
  <si>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</si>
  <si>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</si>
  <si>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</si>
  <si>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</si>
  <si>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</si>
  <si>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</si>
  <si>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</si>
  <si>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</si>
  <si>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</si>
  <si>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</si>
  <si>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</si>
  <si>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</si>
  <si>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</si>
  <si>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</si>
  <si>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</si>
  <si>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</si>
  <si>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</si>
  <si>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</si>
  <si>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</si>
  <si>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</si>
  <si>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</si>
  <si>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</si>
  <si>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</si>
  <si>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</si>
  <si>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</si>
  <si>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</si>
  <si>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</si>
  <si>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</si>
  <si>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</si>
  <si>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</si>
  <si>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</si>
  <si>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</si>
  <si>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</si>
  <si>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</si>
  <si>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</si>
  <si>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</si>
  <si>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</si>
  <si>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</si>
  <si>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</si>
  <si>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</si>
  <si>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</si>
  <si>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</si>
  <si>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</si>
  <si>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</si>
  <si>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</si>
  <si>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</si>
  <si>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</si>
  <si>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</si>
  <si>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</si>
  <si>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</si>
  <si>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</si>
  <si>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</si>
  <si>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</si>
  <si>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</si>
  <si>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</si>
  <si>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</si>
  <si>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</si>
  <si>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</si>
  <si>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</si>
  <si>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</si>
  <si>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</si>
  <si>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</si>
  <si>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</si>
  <si>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</si>
  <si>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</si>
  <si>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</si>
  <si>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</si>
  <si>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</si>
  <si>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</si>
  <si>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</si>
  <si>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</si>
  <si>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</si>
  <si>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</si>
  <si>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</si>
  <si>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</si>
  <si>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</si>
  <si>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</si>
  <si>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</si>
  <si>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</si>
  <si>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</si>
  <si>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</si>
  <si>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</si>
  <si>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</si>
  <si>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</si>
  <si>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</si>
  <si>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</si>
  <si>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</si>
  <si>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</si>
  <si>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</si>
  <si>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</si>
  <si>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</si>
  <si>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</si>
  <si>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</si>
  <si>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</si>
  <si>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</si>
  <si>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</si>
  <si>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</si>
  <si>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</si>
  <si>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</si>
  <si>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</si>
  <si>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</si>
  <si>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</si>
  <si>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</si>
  <si>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</si>
  <si>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</si>
  <si>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</si>
  <si>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</si>
  <si>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</si>
  <si>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</si>
  <si>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</si>
  <si>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</si>
  <si>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</si>
  <si>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</si>
  <si>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</si>
  <si>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</si>
  <si>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</si>
  <si>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</si>
  <si>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</si>
  <si>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</si>
  <si>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</si>
  <si>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</si>
  <si>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</si>
  <si>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</si>
  <si>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</si>
  <si>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</si>
  <si>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</si>
  <si>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</si>
  <si>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</si>
  <si>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</si>
  <si>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</si>
  <si>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</si>
  <si>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</si>
  <si>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</si>
  <si>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</si>
  <si>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</si>
  <si>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</si>
  <si>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</si>
  <si>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</si>
  <si>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</si>
  <si>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</si>
  <si>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</si>
  <si>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</si>
  <si>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</si>
  <si>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</si>
  <si>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</si>
  <si>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</si>
  <si>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</si>
  <si>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</si>
  <si>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</si>
  <si>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</si>
  <si>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</si>
  <si>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</si>
  <si>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</si>
  <si>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</si>
  <si>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</si>
  <si>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</si>
  <si>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</si>
  <si>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</si>
  <si>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</si>
  <si>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</si>
  <si>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</si>
  <si>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</si>
  <si>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</si>
  <si>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</si>
  <si>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</si>
  <si>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</si>
  <si>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</si>
  <si>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</si>
  <si>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</si>
  <si>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</si>
  <si>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</si>
  <si>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</si>
  <si>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</si>
  <si>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</si>
  <si>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</si>
  <si>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</si>
  <si>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</si>
  <si>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</si>
  <si>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</si>
  <si>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</si>
  <si>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</si>
  <si>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</si>
  <si>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</si>
  <si>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</si>
  <si>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</si>
  <si>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</si>
  <si>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</si>
  <si>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</si>
  <si>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</si>
  <si>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</si>
  <si>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</si>
  <si>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</si>
  <si>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</si>
  <si>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</si>
  <si>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</si>
  <si>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</si>
  <si>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</si>
  <si>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</si>
  <si>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</si>
  <si>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</si>
  <si>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</si>
  <si>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</si>
  <si>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</si>
  <si>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</si>
  <si>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</si>
  <si>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</si>
  <si>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</si>
  <si>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</si>
  <si>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</si>
  <si>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</si>
  <si>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</si>
  <si>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</si>
  <si>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</si>
  <si>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</si>
  <si>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</si>
  <si>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</si>
  <si>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</si>
  <si>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</si>
  <si>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</si>
  <si>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</si>
  <si>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</si>
  <si>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</si>
  <si>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</si>
  <si>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</si>
  <si>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</si>
  <si>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</si>
  <si>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</si>
  <si>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</si>
  <si>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</si>
  <si>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</si>
  <si>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</si>
  <si>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</si>
  <si>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</si>
  <si>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</si>
  <si>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</si>
  <si>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</si>
  <si>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</si>
  <si>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</si>
  <si>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</si>
  <si>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</si>
  <si>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</si>
  <si>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</si>
  <si>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</si>
  <si>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</si>
  <si>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</si>
  <si>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</si>
  <si>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</si>
  <si>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</si>
  <si>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</si>
  <si>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</si>
  <si>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</si>
  <si>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</si>
  <si>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</si>
  <si>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</si>
  <si>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</si>
  <si>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</si>
  <si>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</si>
  <si>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</si>
  <si>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</si>
  <si>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</si>
  <si>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</si>
  <si>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</si>
  <si>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</si>
  <si>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</si>
  <si>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</si>
  <si>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</si>
  <si>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</si>
  <si>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</si>
  <si>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</si>
  <si>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</si>
  <si>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</si>
  <si>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</si>
  <si>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</si>
  <si>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</si>
  <si>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</si>
  <si>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</si>
  <si>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</si>
  <si>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</si>
  <si>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</si>
  <si>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</si>
  <si>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</si>
  <si>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</si>
  <si>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</si>
  <si>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</si>
  <si>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</si>
  <si>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</si>
  <si>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</si>
  <si>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</si>
  <si>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</si>
  <si>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</si>
  <si>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</si>
  <si>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</si>
  <si>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</si>
  <si>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</si>
  <si>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</si>
  <si>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</si>
  <si>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</si>
  <si>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</si>
  <si>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</si>
  <si>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</si>
  <si>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</si>
  <si>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</si>
  <si>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</si>
  <si>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</si>
  <si>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</si>
  <si>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</si>
  <si>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</si>
  <si>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</si>
  <si>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</si>
  <si>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</si>
  <si>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</si>
  <si>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</si>
  <si>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</si>
  <si>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</si>
  <si>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</si>
  <si>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</si>
  <si>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</si>
  <si>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</si>
  <si>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</si>
  <si>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</si>
  <si>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</si>
  <si>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</si>
  <si>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</si>
  <si>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</si>
  <si>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</si>
  <si>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</si>
  <si>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</si>
  <si>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</si>
  <si>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</si>
  <si>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</si>
  <si>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</si>
  <si>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</si>
  <si>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</si>
  <si>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</si>
  <si>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</si>
  <si>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</si>
  <si>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</si>
  <si>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</si>
  <si>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</si>
  <si>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</si>
  <si>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</si>
  <si>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</si>
  <si>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</si>
  <si>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</si>
  <si>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</si>
  <si>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</si>
  <si>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</si>
  <si>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</si>
  <si>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</si>
  <si>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</si>
  <si>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</si>
  <si>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</si>
  <si>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</si>
  <si>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</si>
  <si>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</si>
  <si>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</si>
  <si>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</si>
  <si>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</si>
  <si>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</si>
  <si>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</si>
  <si>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</si>
  <si>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</si>
  <si>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</si>
  <si>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</si>
  <si>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</si>
  <si>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</si>
  <si>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</si>
  <si>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</si>
  <si>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</si>
  <si>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</si>
  <si>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</si>
  <si>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</si>
  <si>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</si>
  <si>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</si>
  <si>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</si>
  <si>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</si>
  <si>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</si>
  <si>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</si>
  <si>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</si>
  <si>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</si>
  <si>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</si>
  <si>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</si>
  <si>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</si>
  <si>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</si>
  <si>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</si>
  <si>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</si>
  <si>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</si>
  <si>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</si>
  <si>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</si>
  <si>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</si>
  <si>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</si>
  <si>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</si>
  <si>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</si>
  <si>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</si>
  <si>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</si>
  <si>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</si>
  <si>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</si>
  <si>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</si>
  <si>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</si>
  <si>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</si>
  <si>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</si>
  <si>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</si>
  <si>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</si>
  <si>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</si>
  <si>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</si>
  <si>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</si>
  <si>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</si>
  <si>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</si>
  <si>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</si>
  <si>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</si>
  <si>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</si>
  <si>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</si>
  <si>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</si>
  <si>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</si>
  <si>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</si>
  <si>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</si>
  <si>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</si>
  <si>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</si>
  <si>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</si>
  <si>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</si>
  <si>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</si>
  <si>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</si>
  <si>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</si>
  <si>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</si>
  <si>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</si>
  <si>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</si>
  <si>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</si>
  <si>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</si>
  <si>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</si>
  <si>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</si>
  <si>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</si>
  <si>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</si>
  <si>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</si>
  <si>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</si>
  <si>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</si>
  <si>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</si>
  <si>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</si>
  <si>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</si>
  <si>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</si>
  <si>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</si>
  <si>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</si>
  <si>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</si>
  <si>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</si>
  <si>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</si>
  <si>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</si>
  <si>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</si>
  <si>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</si>
  <si>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</si>
  <si>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</si>
  <si>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</si>
  <si>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</si>
  <si>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</si>
  <si>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</si>
  <si>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</si>
  <si>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</si>
  <si>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</si>
  <si>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</si>
  <si>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</si>
  <si>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</si>
  <si>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</si>
  <si>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</si>
  <si>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</si>
  <si>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</si>
  <si>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</si>
  <si>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</si>
  <si>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</si>
  <si>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</si>
  <si>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</si>
  <si>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</si>
  <si>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</si>
  <si>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</si>
  <si>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</si>
  <si>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</si>
  <si>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</si>
  <si>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</si>
  <si>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</si>
  <si>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</si>
  <si>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</si>
  <si>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</si>
  <si>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</si>
  <si>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</si>
  <si>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</si>
  <si>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</si>
  <si>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</si>
  <si>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</si>
  <si>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</si>
  <si>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</si>
  <si>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</si>
  <si>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</si>
  <si>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</si>
  <si>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</si>
  <si>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</si>
  <si>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</si>
  <si>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</si>
  <si>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</si>
  <si>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</si>
  <si>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</si>
  <si>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</si>
  <si>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</si>
  <si>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</si>
  <si>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</si>
  <si>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</si>
  <si>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</si>
  <si>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</si>
  <si>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</si>
  <si>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</si>
  <si>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</si>
  <si>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</si>
  <si>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</si>
  <si>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</si>
  <si>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</si>
  <si>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</si>
  <si>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</si>
  <si>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</si>
  <si>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</si>
  <si>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</si>
  <si>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</si>
  <si>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</si>
  <si>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</si>
  <si>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</si>
  <si>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</si>
  <si>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</si>
  <si>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</si>
  <si>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</si>
  <si>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</si>
  <si>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</si>
  <si>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</si>
  <si>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</si>
  <si>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</si>
  <si>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</si>
  <si>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</si>
  <si>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</si>
  <si>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</si>
  <si>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</si>
  <si>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</si>
  <si>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</si>
  <si>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</si>
  <si>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</si>
  <si>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</si>
  <si>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</si>
  <si>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</si>
  <si>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</si>
  <si>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</si>
  <si>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</si>
  <si>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</si>
  <si>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</si>
  <si>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</si>
  <si>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</si>
  <si>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</si>
  <si>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</si>
  <si>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</si>
  <si>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</si>
  <si>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</si>
  <si>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</si>
  <si>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</si>
  <si>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</si>
  <si>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</si>
  <si>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</si>
  <si>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</si>
  <si>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</si>
  <si>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</si>
  <si>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</si>
  <si>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</si>
  <si>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</si>
  <si>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</si>
  <si>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</si>
  <si>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</si>
  <si>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</si>
  <si>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</si>
  <si>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</si>
  <si>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</si>
  <si>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</si>
  <si>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</si>
  <si>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</si>
  <si>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</si>
  <si>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</si>
  <si>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</si>
  <si>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</si>
  <si>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</si>
  <si>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</si>
  <si>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</si>
  <si>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</si>
  <si>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</si>
  <si>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</si>
  <si>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</si>
  <si>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</si>
  <si>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</si>
  <si>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</si>
  <si>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</si>
  <si>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</si>
  <si>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</si>
  <si>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</si>
  <si>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</si>
  <si>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</si>
  <si>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</si>
  <si>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</si>
  <si>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</si>
  <si>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</si>
  <si>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</si>
  <si>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</si>
  <si>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</si>
  <si>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</si>
  <si>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</si>
  <si>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</si>
  <si>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</si>
  <si>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</si>
  <si>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</si>
  <si>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</si>
  <si>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</si>
  <si>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</si>
  <si>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</si>
  <si>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</si>
  <si>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</si>
  <si>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</si>
  <si>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</si>
  <si>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</si>
  <si>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</si>
  <si>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</si>
  <si>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</si>
  <si>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</si>
  <si>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</si>
  <si>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</si>
  <si>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</si>
  <si>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</si>
  <si>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</si>
  <si>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</si>
  <si>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</si>
  <si>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</si>
  <si>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</si>
  <si>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</si>
  <si>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</si>
  <si>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</si>
  <si>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</si>
  <si>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</si>
  <si>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</si>
  <si>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</si>
  <si>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</si>
  <si>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</si>
  <si>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</si>
  <si>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</si>
  <si>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</si>
  <si>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</si>
  <si>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</si>
  <si>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</si>
  <si>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</si>
  <si>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</si>
  <si>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</si>
  <si>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</si>
  <si>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</si>
  <si>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</si>
  <si>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</si>
  <si>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</si>
  <si>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</si>
  <si>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</si>
  <si>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</si>
  <si>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</si>
  <si>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</si>
  <si>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</si>
  <si>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</si>
  <si>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</si>
  <si>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</si>
  <si>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</si>
  <si>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</si>
  <si>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</si>
  <si>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</si>
  <si>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</si>
  <si>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</si>
  <si>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</si>
  <si>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</si>
  <si>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</si>
  <si>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</si>
  <si>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</si>
  <si>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</si>
  <si>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</si>
  <si>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</si>
  <si>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</si>
  <si>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</si>
  <si>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</si>
  <si>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</si>
  <si>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</si>
  <si>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</si>
  <si>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</si>
  <si>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</si>
  <si>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</si>
  <si>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</si>
  <si>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</si>
  <si>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</si>
  <si>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</si>
  <si>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</si>
  <si>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</si>
  <si>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</si>
  <si>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</si>
  <si>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</si>
  <si>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</si>
  <si>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</si>
  <si>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</si>
  <si>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</si>
  <si>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</si>
  <si>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</si>
  <si>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</si>
  <si>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</si>
  <si>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</si>
  <si>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</si>
  <si>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</si>
  <si>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</si>
  <si>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</si>
  <si>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</si>
  <si>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</si>
  <si>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</si>
  <si>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</si>
  <si>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</si>
  <si>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</si>
  <si>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</si>
  <si>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</si>
  <si>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</si>
  <si>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</si>
  <si>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</si>
  <si>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</si>
  <si>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</si>
  <si>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</si>
  <si>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</si>
  <si>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</si>
  <si>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</si>
  <si>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</si>
  <si>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</si>
  <si>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</si>
  <si>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</si>
  <si>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</si>
  <si>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</si>
  <si>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</si>
  <si>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</si>
  <si>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</si>
  <si>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</si>
  <si>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</si>
  <si>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</si>
  <si>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</si>
  <si>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</si>
  <si>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</si>
  <si>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</si>
  <si>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</si>
  <si>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</si>
  <si>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</si>
  <si>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</si>
  <si>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</si>
  <si>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</si>
  <si>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</si>
  <si>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</si>
  <si>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</si>
  <si>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</si>
  <si>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</si>
  <si>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</si>
  <si>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</si>
  <si>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</si>
  <si>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</si>
  <si>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</si>
  <si>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</si>
  <si>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</si>
  <si>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</si>
  <si>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</si>
  <si>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</si>
  <si>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</si>
  <si>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</si>
  <si>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</si>
  <si>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</si>
  <si>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</si>
  <si>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</si>
  <si>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</si>
  <si>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</si>
  <si>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</si>
  <si>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</si>
  <si>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</si>
  <si>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</si>
  <si>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</si>
  <si>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</si>
  <si>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</si>
  <si>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</si>
  <si>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</si>
  <si>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</si>
  <si>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</si>
  <si>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</si>
  <si>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</si>
  <si>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</si>
  <si>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</si>
  <si>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</si>
  <si>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</si>
  <si>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</si>
  <si>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</si>
  <si>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</si>
  <si>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</si>
  <si>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</si>
  <si>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</si>
  <si>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</si>
  <si>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</si>
  <si>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</si>
  <si>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</si>
  <si>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</si>
  <si>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</si>
  <si>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</si>
  <si>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</si>
  <si>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</si>
  <si>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</si>
  <si>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</si>
  <si>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</si>
  <si>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</si>
  <si>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</si>
  <si>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</si>
  <si>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</si>
  <si>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</si>
  <si>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</si>
  <si>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</si>
  <si>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</si>
  <si>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</si>
  <si>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</si>
  <si>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</si>
  <si>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</si>
  <si>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</si>
  <si>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</si>
  <si>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</si>
  <si>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</si>
  <si>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</si>
  <si>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</si>
  <si>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</si>
  <si>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</si>
  <si>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</si>
  <si>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</si>
  <si>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</si>
  <si>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</si>
  <si>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</si>
  <si>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</si>
  <si>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</si>
  <si>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</si>
  <si>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</si>
  <si>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</si>
  <si>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</si>
  <si>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</si>
  <si>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</si>
  <si>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</si>
  <si>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</si>
  <si>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</si>
  <si>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</si>
  <si>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</si>
  <si>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</si>
  <si>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</si>
  <si>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</si>
  <si>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</si>
  <si>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</si>
  <si>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</si>
  <si>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</si>
  <si>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</si>
  <si>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</si>
  <si>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</si>
  <si>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</si>
  <si>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</si>
  <si>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</si>
  <si>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</si>
  <si>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</si>
  <si>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</si>
  <si>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</si>
  <si>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</si>
  <si>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</si>
  <si>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</si>
  <si>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</si>
  <si>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</si>
  <si>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</si>
  <si>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</si>
  <si>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</si>
  <si>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</si>
  <si>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</si>
  <si>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</si>
  <si>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</si>
  <si>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</si>
  <si>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</si>
  <si>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</si>
  <si>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</si>
  <si>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</si>
  <si>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</si>
  <si>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</si>
  <si>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</si>
  <si>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</si>
  <si>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</si>
  <si>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</si>
  <si>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</si>
  <si>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</si>
  <si>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</si>
  <si>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</si>
  <si>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</si>
  <si>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</si>
  <si>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</si>
  <si>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</si>
  <si>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</si>
  <si>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</si>
  <si>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</si>
  <si>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</si>
  <si>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</si>
  <si>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</si>
  <si>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</si>
  <si>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</si>
  <si>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</si>
  <si>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</si>
  <si>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</si>
  <si>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</si>
  <si>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</si>
  <si>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</si>
  <si>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</si>
  <si>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</si>
  <si>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</si>
  <si>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</si>
  <si>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</si>
  <si>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</si>
  <si>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</si>
  <si>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</si>
  <si>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</si>
  <si>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</si>
  <si>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</si>
  <si>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</si>
  <si>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</si>
  <si>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</si>
  <si>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</si>
  <si>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</si>
  <si>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</si>
  <si>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</si>
  <si>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</si>
  <si>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</si>
  <si>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</si>
  <si>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</si>
  <si>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</si>
  <si>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</si>
  <si>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</si>
  <si>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</si>
  <si>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</si>
  <si>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</si>
  <si>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</si>
  <si>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</si>
  <si>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</si>
  <si>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</si>
  <si>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</si>
  <si>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</si>
  <si>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</si>
  <si>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</si>
  <si>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</si>
  <si>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</si>
  <si>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</si>
  <si>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</si>
  <si>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</si>
  <si>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</si>
  <si>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</si>
  <si>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</si>
  <si>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</si>
  <si>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</si>
  <si>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</si>
  <si>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</si>
  <si>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</si>
  <si>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</si>
  <si>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</si>
  <si>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</si>
  <si>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</si>
  <si>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</si>
  <si>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</si>
  <si>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</si>
  <si>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</si>
  <si>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</si>
  <si>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</si>
  <si>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</si>
  <si>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</si>
  <si>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</si>
  <si>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</si>
  <si>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</si>
  <si>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</si>
  <si>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</si>
  <si>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</si>
  <si>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</si>
  <si>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</si>
  <si>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</si>
  <si>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</si>
  <si>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</si>
  <si>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</si>
  <si>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</si>
  <si>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</si>
  <si>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</si>
  <si>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</si>
  <si>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</si>
  <si>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</si>
  <si>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</si>
  <si>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</si>
  <si>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</si>
  <si>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</si>
  <si>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</si>
  <si>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</si>
  <si>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</si>
  <si>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</si>
  <si>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</si>
  <si>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</si>
  <si>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</si>
  <si>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</si>
  <si>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</si>
  <si>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</si>
  <si>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</si>
  <si>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</si>
  <si>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</si>
  <si>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</si>
  <si>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</si>
  <si>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</si>
  <si>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</si>
  <si>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</si>
  <si>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</si>
  <si>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</si>
  <si>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</si>
  <si>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</si>
  <si>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</si>
  <si>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</si>
  <si>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</si>
  <si>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</si>
  <si>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</si>
  <si>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</si>
  <si>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</si>
  <si>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</si>
  <si>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</si>
  <si>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</si>
  <si>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</si>
  <si>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</si>
  <si>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</si>
  <si>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</si>
  <si>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</si>
  <si>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</si>
  <si>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</si>
  <si>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</si>
  <si>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</si>
  <si>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</si>
  <si>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</si>
  <si>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</si>
  <si>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</si>
  <si>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</si>
  <si>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</si>
  <si>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</si>
  <si>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</si>
  <si>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</si>
  <si>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</si>
  <si>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</si>
  <si>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</si>
  <si>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</si>
  <si>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</si>
  <si>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</si>
  <si>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</si>
  <si>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</si>
  <si>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</si>
  <si>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</si>
  <si>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</si>
  <si>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</si>
  <si>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</si>
  <si>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</si>
  <si>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</si>
  <si>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</si>
  <si>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</si>
  <si>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</si>
  <si>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</si>
  <si>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</si>
  <si>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</si>
  <si>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</si>
  <si>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</si>
  <si>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</si>
  <si>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</si>
  <si>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</si>
  <si>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</si>
  <si>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</si>
  <si>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</si>
  <si>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</si>
  <si>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</si>
  <si>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</si>
  <si>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</si>
  <si>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</si>
  <si>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</si>
  <si>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</si>
  <si>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</si>
  <si>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</si>
  <si>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</si>
  <si>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</si>
  <si>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</si>
  <si>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</si>
  <si>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</si>
  <si>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</si>
  <si>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</si>
  <si>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</si>
  <si>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</si>
  <si>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</si>
  <si>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</si>
  <si>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</si>
  <si>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</si>
  <si>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</si>
  <si>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</si>
  <si>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</si>
  <si>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</si>
  <si>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</si>
  <si>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</si>
  <si>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</si>
  <si>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</si>
  <si>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</si>
  <si>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</si>
  <si>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</si>
  <si>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</si>
  <si>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</si>
  <si>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</si>
  <si>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</si>
  <si>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</si>
  <si>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</si>
  <si>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</si>
  <si>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</si>
  <si>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</si>
  <si>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</si>
  <si>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</si>
  <si>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</si>
  <si>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</si>
  <si>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</si>
  <si>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</si>
  <si>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</si>
  <si>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</si>
  <si>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</si>
  <si>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</si>
  <si>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</si>
  <si>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</si>
  <si>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</si>
  <si>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</si>
  <si>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</si>
  <si>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</si>
  <si>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</si>
  <si>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</si>
  <si>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</si>
  <si>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</si>
  <si>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</si>
  <si>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</si>
  <si>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</si>
  <si>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</si>
  <si>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</si>
  <si>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</si>
  <si>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</si>
  <si>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</si>
  <si>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</si>
  <si>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</si>
  <si>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</si>
  <si>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</si>
  <si>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</si>
  <si>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</si>
  <si>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</si>
  <si>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</si>
  <si>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</si>
  <si>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</si>
  <si>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</si>
  <si>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</si>
  <si>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</si>
  <si>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</si>
  <si>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</si>
  <si>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</si>
  <si>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</si>
  <si>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</si>
  <si>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</si>
  <si>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</si>
  <si>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</si>
  <si>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</si>
  <si>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</si>
  <si>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</si>
  <si>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</si>
  <si>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</si>
  <si>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</si>
  <si>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</si>
  <si>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</si>
  <si>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</si>
  <si>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</si>
  <si>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</si>
  <si>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</si>
  <si>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</si>
  <si>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</si>
  <si>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</si>
  <si>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</si>
  <si>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</si>
  <si>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</si>
  <si>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</si>
  <si>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</si>
  <si>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</si>
  <si>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</si>
  <si>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</si>
  <si>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</si>
  <si>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</si>
  <si>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</si>
  <si>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</si>
  <si>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</si>
  <si>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</si>
  <si>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</si>
  <si>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</si>
  <si>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</si>
  <si>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</si>
  <si>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</si>
  <si>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</si>
  <si>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</si>
  <si>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</si>
  <si>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</si>
  <si>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</si>
  <si>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</si>
  <si>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</si>
  <si>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</si>
  <si>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</si>
  <si>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</si>
  <si>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</si>
  <si>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</si>
  <si>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</si>
  <si>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</si>
  <si>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</si>
  <si>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</si>
  <si>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</si>
  <si>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</si>
  <si>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</si>
  <si>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</si>
  <si>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</si>
  <si>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</si>
  <si>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</si>
  <si>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</si>
  <si>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</si>
  <si>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</si>
  <si>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</si>
  <si>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</si>
  <si>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</si>
  <si>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</si>
  <si>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</si>
  <si>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</si>
  <si>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</si>
  <si>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</si>
  <si>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</si>
  <si>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</si>
  <si>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</si>
  <si>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</si>
  <si>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</si>
  <si>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</si>
  <si>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</si>
  <si>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</si>
  <si>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</si>
  <si>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</si>
  <si>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</si>
  <si>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</si>
  <si>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</si>
  <si>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</si>
  <si>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</si>
  <si>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</si>
  <si>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</si>
  <si>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</si>
  <si>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</si>
  <si>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</si>
  <si>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</si>
  <si>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</si>
  <si>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</si>
  <si>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</si>
  <si>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</si>
  <si>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</si>
  <si>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</si>
  <si>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</si>
  <si>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</si>
  <si>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</si>
  <si>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</si>
  <si>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</si>
  <si>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</si>
  <si>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</si>
  <si>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</si>
  <si>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</si>
  <si>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</si>
  <si>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</si>
  <si>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</si>
  <si>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</si>
  <si>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</si>
  <si>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</si>
  <si>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</si>
  <si>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</si>
  <si>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</si>
  <si>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</si>
  <si>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</si>
  <si>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</si>
  <si>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</si>
  <si>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</si>
  <si>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</si>
  <si>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</si>
  <si>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</si>
  <si>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</si>
  <si>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</si>
  <si>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</si>
  <si>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</si>
  <si>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</si>
  <si>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</si>
  <si>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</si>
  <si>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</si>
  <si>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</si>
  <si>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</si>
  <si>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</si>
  <si>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</si>
  <si>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</si>
  <si>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</si>
  <si>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</si>
  <si>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</si>
  <si>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</si>
  <si>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</si>
  <si>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</si>
  <si>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</si>
  <si>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</si>
  <si>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</si>
  <si>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</si>
  <si>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</si>
  <si>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</si>
  <si>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</si>
  <si>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</si>
  <si>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</si>
  <si>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</si>
  <si>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</si>
  <si>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</si>
  <si>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</si>
  <si>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</si>
  <si>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</si>
  <si>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</si>
  <si>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</si>
  <si>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</si>
  <si>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</si>
  <si>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</si>
  <si>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</si>
  <si>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</si>
  <si>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</si>
  <si>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</si>
  <si>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</si>
  <si>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</si>
  <si>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</si>
  <si>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</si>
  <si>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</si>
  <si>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</si>
  <si>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</si>
  <si>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</si>
  <si>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</si>
  <si>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</si>
  <si>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</si>
  <si>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</si>
  <si>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</si>
  <si>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</si>
  <si>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</si>
  <si>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</si>
  <si>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</si>
  <si>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</si>
  <si>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</si>
  <si>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</si>
  <si>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</si>
  <si>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</si>
  <si>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</si>
  <si>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</si>
  <si>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</si>
  <si>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</si>
  <si>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</si>
  <si>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</si>
  <si>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</si>
  <si>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</si>
  <si>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</si>
  <si>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</si>
  <si>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</si>
  <si>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</si>
  <si>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</si>
  <si>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</si>
  <si>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</si>
  <si>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</si>
  <si>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</si>
  <si>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</si>
  <si>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</si>
  <si>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</si>
  <si>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</si>
  <si>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</si>
  <si>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</si>
  <si>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</si>
  <si>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</si>
  <si>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</si>
  <si>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</si>
  <si>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</si>
  <si>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</si>
  <si>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</si>
  <si>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</si>
  <si>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</si>
  <si>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</si>
  <si>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</si>
  <si>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</si>
  <si>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</si>
  <si>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</si>
  <si>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</si>
  <si>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</si>
  <si>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</si>
  <si>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</si>
  <si>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</si>
  <si>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</si>
  <si>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</si>
  <si>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</si>
  <si>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</si>
  <si>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</si>
  <si>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</si>
  <si>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</si>
  <si>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</si>
  <si>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</si>
  <si>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</si>
  <si>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</si>
  <si>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</si>
  <si>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</si>
  <si>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</si>
  <si>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</si>
  <si>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</si>
  <si>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</si>
  <si>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</si>
  <si>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</si>
  <si>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</si>
  <si>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</si>
  <si>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</si>
  <si>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</si>
  <si>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</si>
  <si>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</si>
  <si>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</si>
  <si>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</si>
  <si>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</si>
  <si>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</si>
  <si>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</si>
  <si>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</si>
  <si>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</si>
  <si>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</si>
  <si>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</si>
  <si>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</si>
  <si>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</si>
  <si>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</si>
  <si>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</si>
  <si>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</si>
  <si>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</si>
  <si>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</si>
  <si>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</si>
  <si>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</si>
  <si>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</si>
  <si>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</si>
  <si>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</si>
  <si>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</si>
  <si>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</si>
  <si>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</si>
  <si>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</si>
  <si>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</si>
  <si>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</si>
  <si>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</si>
  <si>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</si>
  <si>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</si>
  <si>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</si>
  <si>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</si>
  <si>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</si>
  <si>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</si>
  <si>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</si>
  <si>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</si>
  <si>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</si>
  <si>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</si>
  <si>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</si>
  <si>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</si>
  <si>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</si>
  <si>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</si>
  <si>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</si>
  <si>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</si>
  <si>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</si>
  <si>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</si>
  <si>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</si>
  <si>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</si>
  <si>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</si>
  <si>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</si>
  <si>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</si>
  <si>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</si>
  <si>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</si>
  <si>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</si>
  <si>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</si>
  <si>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</si>
  <si>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</si>
  <si>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</si>
  <si>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</si>
  <si>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</si>
  <si>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</si>
  <si>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</si>
  <si>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</si>
  <si>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</si>
  <si>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</si>
  <si>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</si>
  <si>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</si>
  <si>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</si>
  <si>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</si>
  <si>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</si>
  <si>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</si>
  <si>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</si>
  <si>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</si>
  <si>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</si>
  <si>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</si>
  <si>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</si>
  <si>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</si>
  <si>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</si>
  <si>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</si>
  <si>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</si>
  <si>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</si>
  <si>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</si>
  <si>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</si>
  <si>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</si>
  <si>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</si>
  <si>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</si>
  <si>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</si>
  <si>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</si>
  <si>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</si>
  <si>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</si>
  <si>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</si>
  <si>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</si>
  <si>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</si>
  <si>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</si>
  <si>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</si>
  <si>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</si>
  <si>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</si>
  <si>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</si>
  <si>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</si>
  <si>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</si>
  <si>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</si>
  <si>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</si>
  <si>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</si>
  <si>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</si>
  <si>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</si>
  <si>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</si>
  <si>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</si>
  <si>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</si>
  <si>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</si>
  <si>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</si>
  <si>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</si>
  <si>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</si>
  <si>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</si>
  <si>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</si>
  <si>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</si>
  <si>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</si>
  <si>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</si>
  <si>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</si>
  <si>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</si>
  <si>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</si>
  <si>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</si>
  <si>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</si>
  <si>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</si>
  <si>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</si>
  <si>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</si>
  <si>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</si>
  <si>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</si>
  <si>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</si>
  <si>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</si>
  <si>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</si>
  <si>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</si>
  <si>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</si>
  <si>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</si>
  <si>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</si>
  <si>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</si>
  <si>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</si>
  <si>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</si>
  <si>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</si>
  <si>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</si>
  <si>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</si>
  <si>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</si>
  <si>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</si>
  <si>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</si>
  <si>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</si>
  <si>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</si>
  <si>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</si>
  <si>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</si>
  <si>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</si>
  <si>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</si>
  <si>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</si>
  <si>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</si>
  <si>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</si>
  <si>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</si>
  <si>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</si>
  <si>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</si>
  <si>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</si>
  <si>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</si>
  <si>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</si>
  <si>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</si>
  <si>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</si>
  <si>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</si>
  <si>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</si>
  <si>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</si>
  <si>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</si>
  <si>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</si>
  <si>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</si>
  <si>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</si>
  <si>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</si>
  <si>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</si>
  <si>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</si>
  <si>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</si>
  <si>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</si>
  <si>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</si>
  <si>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</si>
  <si>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</si>
  <si>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</si>
  <si>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</si>
  <si>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</si>
  <si>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</si>
  <si>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</si>
  <si>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</si>
  <si>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</si>
  <si>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</si>
  <si>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</si>
  <si>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</si>
  <si>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</si>
  <si>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</si>
  <si>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</si>
  <si>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</si>
  <si>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</si>
  <si>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</si>
  <si>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</si>
  <si>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</si>
  <si>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</si>
  <si>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</si>
  <si>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</si>
  <si>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</si>
  <si>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</si>
  <si>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</si>
  <si>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</si>
  <si>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</si>
  <si>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</si>
  <si>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</si>
  <si>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</si>
  <si>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</si>
  <si>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</si>
  <si>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</si>
  <si>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</si>
  <si>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</si>
  <si>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</si>
  <si>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</si>
  <si>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</si>
  <si>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</si>
  <si>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</si>
  <si>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</si>
  <si>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</si>
  <si>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</si>
  <si>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</si>
  <si>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</si>
  <si>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</si>
  <si>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</si>
  <si>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</si>
  <si>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</si>
  <si>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</si>
  <si>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</si>
  <si>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</si>
  <si>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</si>
  <si>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</si>
  <si>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</si>
  <si>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</si>
  <si>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</si>
  <si>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</si>
  <si>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</si>
  <si>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</si>
  <si>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</si>
  <si>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</si>
  <si>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</si>
  <si>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</si>
  <si>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</si>
  <si>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</si>
  <si>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</si>
  <si>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</si>
  <si>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</si>
  <si>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</si>
  <si>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</si>
  <si>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</si>
  <si>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</si>
  <si>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</si>
  <si>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</si>
  <si>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</si>
  <si>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</si>
  <si>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</si>
  <si>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</si>
  <si>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</si>
  <si>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</si>
  <si>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</si>
  <si>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</si>
  <si>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</si>
  <si>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</si>
  <si>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</si>
  <si>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</si>
  <si>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</si>
  <si>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</si>
  <si>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</si>
  <si>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</si>
  <si>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</si>
  <si>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</si>
  <si>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</si>
  <si>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</si>
  <si>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</si>
  <si>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</si>
  <si>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</si>
  <si>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</si>
  <si>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</si>
  <si>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</si>
  <si>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</si>
  <si>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</si>
  <si>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</si>
  <si>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</si>
  <si>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</si>
  <si>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</si>
  <si>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</si>
  <si>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</si>
  <si>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</si>
  <si>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</si>
  <si>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</si>
  <si>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</si>
  <si>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</si>
  <si>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</si>
  <si>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</si>
  <si>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</si>
  <si>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</si>
  <si>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</si>
  <si>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</si>
  <si>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</si>
  <si>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</si>
  <si>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</si>
  <si>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</si>
  <si>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</si>
  <si>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</si>
  <si>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</si>
  <si>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</si>
  <si>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</si>
  <si>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</si>
  <si>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</si>
  <si>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</si>
  <si>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</si>
  <si>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</si>
  <si>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</si>
  <si>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</si>
  <si>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</si>
  <si>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</si>
  <si>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</si>
  <si>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</si>
  <si>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</si>
  <si>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</si>
  <si>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</si>
  <si>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</si>
  <si>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</si>
  <si>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</si>
  <si>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</si>
  <si>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</si>
  <si>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</si>
  <si>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</si>
  <si>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</si>
  <si>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</si>
  <si>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</si>
  <si>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</si>
  <si>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</si>
  <si>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</si>
  <si>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</si>
  <si>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</si>
  <si>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</si>
  <si>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</si>
  <si>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</si>
  <si>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</si>
  <si>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</si>
  <si>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</si>
  <si>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</si>
  <si>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</si>
  <si>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</si>
  <si>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</si>
  <si>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</si>
  <si>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</si>
  <si>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</si>
  <si>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</si>
  <si>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</si>
  <si>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</si>
  <si>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</si>
  <si>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</si>
  <si>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</si>
  <si>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</si>
  <si>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</si>
  <si>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</si>
  <si>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</si>
  <si>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</si>
  <si>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</si>
  <si>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</si>
  <si>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</si>
  <si>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</si>
  <si>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</si>
  <si>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</si>
  <si>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</si>
  <si>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</si>
  <si>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</si>
  <si>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</si>
  <si>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</si>
  <si>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</si>
  <si>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</si>
  <si>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</si>
  <si>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</si>
  <si>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</si>
  <si>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</si>
  <si>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</si>
  <si>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</si>
  <si>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</si>
  <si>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</si>
  <si>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</si>
  <si>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</si>
  <si>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</si>
  <si>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</si>
  <si>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</si>
  <si>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</si>
  <si>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</si>
  <si>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</si>
  <si>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</si>
  <si>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</si>
  <si>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</si>
  <si>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</si>
  <si>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</si>
  <si>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</si>
  <si>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</si>
  <si>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</si>
  <si>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</si>
  <si>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</si>
  <si>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</si>
  <si>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</si>
  <si>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</si>
  <si>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</si>
  <si>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</si>
  <si>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</si>
  <si>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</si>
  <si>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</si>
  <si>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</si>
  <si>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</si>
  <si>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</si>
  <si>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</si>
  <si>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</si>
  <si>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</si>
  <si>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</si>
  <si>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</si>
  <si>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</si>
  <si>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</si>
  <si>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</si>
  <si>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</si>
  <si>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</si>
  <si>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</si>
  <si>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</si>
  <si>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</si>
  <si>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</si>
  <si>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</si>
  <si>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</si>
  <si>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</si>
  <si>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</si>
  <si>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</si>
  <si>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</si>
  <si>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</si>
  <si>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</si>
  <si>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</si>
  <si>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</si>
  <si>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</si>
  <si>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</si>
  <si>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</si>
  <si>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</si>
  <si>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</si>
  <si>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</si>
  <si>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</si>
  <si>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</si>
  <si>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</si>
  <si>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</si>
  <si>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</si>
  <si>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</si>
  <si>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</si>
  <si>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</si>
  <si>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</si>
  <si>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</si>
  <si>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</si>
  <si>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</si>
  <si>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</si>
  <si>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</si>
  <si>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</si>
  <si>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</si>
  <si>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</si>
  <si>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</si>
  <si>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</si>
  <si>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</si>
  <si>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</si>
  <si>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</si>
  <si>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</si>
  <si>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</si>
  <si>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</si>
  <si>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</si>
  <si>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</si>
  <si>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</si>
  <si>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</si>
  <si>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</si>
  <si>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</si>
  <si>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</si>
  <si>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</si>
  <si>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</si>
  <si>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</si>
  <si>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</si>
  <si>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</si>
  <si>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</si>
  <si>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</si>
  <si>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</si>
  <si>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</si>
  <si>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</si>
  <si>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</si>
  <si>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</si>
  <si>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</si>
  <si>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</si>
  <si>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</si>
  <si>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</si>
  <si>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</si>
  <si>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</si>
  <si>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</si>
  <si>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</si>
  <si>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</si>
  <si>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</si>
  <si>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</si>
  <si>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</si>
  <si>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</si>
  <si>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</si>
  <si>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</si>
  <si>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</si>
  <si>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</si>
  <si>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</si>
  <si>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</si>
  <si>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</si>
  <si>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</si>
  <si>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</si>
  <si>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</si>
  <si>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</si>
  <si>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</si>
  <si>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</si>
  <si>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</si>
  <si>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</si>
  <si>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</si>
  <si>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</si>
  <si>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</si>
  <si>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</si>
  <si>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</si>
  <si>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</si>
  <si>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</si>
  <si>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</si>
  <si>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</si>
  <si>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</si>
  <si>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</si>
  <si>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</si>
  <si>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</si>
  <si>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</si>
  <si>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</si>
  <si>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</si>
  <si>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</si>
  <si>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</si>
  <si>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</si>
  <si>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</si>
  <si>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</si>
  <si>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</si>
  <si>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</si>
  <si>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</si>
  <si>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</si>
  <si>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</si>
  <si>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</si>
  <si>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</si>
  <si>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</si>
  <si>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</si>
  <si>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</si>
  <si>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</si>
  <si>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</si>
  <si>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</si>
  <si>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</si>
  <si>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</si>
  <si>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</si>
  <si>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</si>
  <si>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</si>
  <si>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</si>
  <si>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</si>
  <si>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</si>
  <si>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</si>
  <si>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</si>
  <si>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</si>
  <si>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</si>
  <si>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</si>
  <si>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</si>
  <si>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</si>
  <si>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</si>
  <si>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</si>
  <si>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</si>
  <si>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</si>
  <si>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</si>
  <si>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</si>
  <si>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</si>
  <si>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</si>
  <si>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</si>
  <si>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</si>
  <si>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</si>
  <si>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</si>
  <si>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</si>
  <si>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</si>
  <si>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</si>
  <si>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</si>
  <si>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</si>
  <si>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</si>
  <si>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</si>
  <si>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</si>
  <si>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</si>
  <si>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</si>
  <si>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</si>
  <si>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</si>
  <si>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</si>
  <si>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</si>
  <si>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</si>
  <si>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</si>
  <si>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</si>
  <si>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</si>
  <si>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</si>
  <si>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</si>
  <si>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</si>
  <si>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</si>
  <si>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</si>
  <si>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</si>
  <si>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</si>
  <si>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</si>
  <si>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</si>
  <si>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</si>
  <si>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</si>
  <si>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</si>
  <si>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</si>
  <si>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</si>
  <si>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</si>
  <si>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</si>
  <si>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</si>
  <si>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</si>
  <si>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</si>
  <si>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</si>
  <si>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</si>
  <si>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</si>
  <si>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</si>
  <si>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</si>
  <si>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</si>
  <si>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</si>
  <si>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</si>
  <si>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</si>
  <si>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</si>
  <si>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</si>
  <si>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</si>
  <si>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</si>
  <si>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</si>
  <si>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</si>
  <si>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</si>
  <si>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</si>
  <si>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</si>
  <si>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</si>
  <si>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</si>
  <si>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</si>
  <si>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</si>
  <si>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</si>
  <si>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</si>
  <si>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</si>
  <si>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</si>
  <si>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</si>
  <si>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</si>
  <si>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</si>
  <si>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</si>
  <si>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</si>
  <si>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</si>
  <si>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</si>
  <si>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</si>
  <si>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</si>
  <si>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</si>
  <si>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</si>
  <si>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</si>
  <si>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</si>
  <si>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</si>
  <si>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</si>
  <si>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</si>
  <si>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</si>
  <si>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</si>
  <si>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</si>
  <si>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</si>
  <si>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</si>
  <si>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</si>
  <si>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</si>
  <si>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</si>
  <si>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</si>
  <si>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</si>
  <si>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</si>
  <si>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</si>
  <si>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</si>
  <si>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</si>
  <si>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</si>
  <si>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</si>
  <si>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</si>
  <si>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</si>
  <si>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</si>
  <si>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</si>
  <si>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</si>
  <si>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</si>
  <si>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</si>
  <si>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</si>
  <si>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</si>
  <si>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</si>
  <si>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</si>
  <si>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</si>
  <si>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</si>
  <si>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</si>
  <si>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</si>
  <si>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</si>
  <si>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</si>
  <si>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</si>
  <si>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</si>
  <si>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</si>
  <si>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</si>
  <si>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</si>
  <si>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</si>
  <si>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</si>
  <si>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</si>
  <si>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</si>
  <si>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</si>
  <si>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</si>
  <si>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</si>
  <si>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</si>
  <si>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</si>
  <si>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</si>
  <si>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</si>
  <si>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</si>
  <si>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</si>
  <si>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</si>
  <si>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</si>
  <si>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</si>
  <si>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</si>
  <si>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</si>
  <si>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</si>
  <si>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</si>
  <si>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</si>
  <si>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</si>
  <si>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</si>
  <si>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</si>
  <si>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</si>
  <si>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</si>
  <si>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</si>
  <si>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</si>
  <si>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</si>
  <si>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</si>
  <si>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</si>
  <si>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</si>
  <si>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</si>
  <si>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</si>
  <si>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</si>
  <si>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</si>
  <si>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</si>
  <si>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</si>
  <si>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</si>
  <si>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</si>
  <si>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</si>
  <si>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</si>
  <si>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</si>
  <si>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</si>
  <si>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</si>
  <si>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</si>
  <si>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</si>
  <si>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</si>
  <si>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</si>
  <si>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</si>
  <si>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</si>
  <si>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</si>
  <si>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</si>
  <si>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</si>
  <si>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</si>
  <si>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</si>
  <si>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</si>
  <si>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</si>
  <si>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</si>
  <si>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</si>
  <si>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</si>
  <si>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</si>
  <si>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</si>
  <si>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</si>
  <si>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</si>
  <si>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</si>
  <si>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</si>
  <si>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</si>
  <si>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</si>
  <si>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</si>
  <si>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</si>
  <si>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</si>
  <si>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</si>
  <si>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</si>
  <si>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</si>
  <si>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</si>
  <si>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</si>
  <si>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</si>
  <si>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</si>
  <si>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</si>
  <si>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</si>
  <si>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</si>
  <si>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</si>
  <si>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</si>
  <si>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</si>
  <si>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</si>
  <si>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</si>
  <si>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</si>
  <si>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</si>
  <si>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</si>
  <si>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</si>
  <si>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</si>
  <si>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</si>
  <si>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</si>
  <si>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</si>
  <si>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</si>
  <si>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</si>
  <si>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</si>
  <si>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</si>
  <si>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</si>
  <si>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</si>
  <si>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</si>
  <si>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</si>
  <si>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</si>
  <si>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</si>
  <si>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</si>
  <si>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</si>
  <si>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</si>
  <si>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</si>
  <si>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</si>
  <si>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</si>
  <si>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</si>
  <si>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</si>
  <si>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</si>
  <si>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</si>
  <si>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</si>
  <si>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</si>
  <si>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</si>
  <si>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</si>
  <si>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</si>
  <si>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</si>
  <si>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</si>
  <si>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</si>
  <si>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</si>
  <si>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</si>
  <si>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</si>
  <si>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</si>
  <si>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</si>
  <si>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</si>
  <si>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</si>
  <si>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</si>
  <si>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</si>
  <si>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</si>
  <si>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</si>
  <si>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</si>
  <si>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</si>
  <si>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</si>
  <si>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</si>
  <si>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</si>
  <si>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</si>
  <si>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</si>
  <si>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</si>
  <si>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</si>
  <si>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</si>
  <si>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</si>
  <si>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</si>
  <si>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</si>
  <si>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</si>
  <si>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</si>
  <si>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</si>
  <si>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</si>
  <si>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</si>
  <si>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</si>
  <si>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</si>
  <si>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</si>
  <si>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</si>
  <si>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</si>
  <si>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</si>
  <si>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</si>
  <si>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</si>
  <si>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</si>
  <si>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</si>
  <si>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</si>
  <si>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</si>
  <si>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</si>
  <si>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</si>
  <si>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</si>
  <si>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</si>
  <si>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</si>
  <si>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</si>
  <si>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</si>
  <si>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</si>
  <si>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</si>
  <si>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</si>
  <si>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</si>
  <si>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</si>
  <si>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</si>
  <si>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</si>
  <si>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</si>
  <si>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</si>
  <si>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</si>
  <si>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</si>
  <si>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</si>
  <si>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</si>
  <si>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</si>
  <si>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</si>
  <si>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</si>
  <si>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</si>
  <si>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</si>
  <si>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</si>
  <si>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</si>
  <si>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</si>
  <si>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</si>
  <si>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</si>
  <si>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</si>
  <si>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</si>
  <si>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</si>
  <si>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</si>
  <si>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</si>
  <si>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</si>
  <si>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</si>
  <si>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</si>
  <si>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</si>
  <si>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</si>
  <si>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</si>
  <si>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</si>
  <si>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</si>
  <si>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</si>
  <si>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</si>
  <si>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</si>
  <si>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</si>
  <si>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</si>
  <si>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</si>
  <si>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</si>
  <si>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</si>
  <si>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</si>
  <si>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</si>
  <si>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</si>
  <si>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</si>
  <si>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</si>
  <si>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</si>
  <si>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</si>
  <si>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</si>
  <si>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</si>
  <si>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</si>
  <si>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</si>
  <si>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</si>
  <si>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</si>
  <si>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</si>
  <si>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</si>
  <si>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</si>
  <si>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</si>
  <si>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</si>
  <si>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</si>
  <si>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</si>
  <si>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</si>
  <si>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</si>
  <si>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</si>
  <si>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</si>
  <si>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</si>
  <si>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</si>
  <si>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</si>
  <si>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</si>
  <si>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</si>
  <si>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</si>
  <si>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</si>
  <si>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</si>
  <si>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</si>
  <si>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</si>
  <si>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</si>
  <si>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</si>
  <si>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</si>
  <si>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</si>
  <si>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</si>
  <si>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</si>
  <si>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</si>
  <si>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</si>
  <si>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</si>
  <si>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</si>
  <si>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</si>
  <si>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</si>
  <si>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</si>
  <si>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</si>
  <si>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</si>
  <si>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</si>
  <si>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</si>
  <si>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</si>
  <si>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</si>
  <si>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</si>
  <si>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</si>
  <si>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</si>
  <si>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</si>
  <si>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</si>
  <si>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</si>
  <si>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</si>
  <si>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</si>
  <si>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</si>
  <si>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</si>
  <si>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</si>
  <si>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</si>
  <si>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</si>
  <si>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</si>
  <si>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</si>
  <si>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</si>
  <si>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</si>
  <si>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</si>
  <si>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</si>
  <si>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</si>
  <si>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</si>
  <si>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</si>
  <si>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</si>
  <si>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</si>
  <si>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</si>
  <si>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</si>
  <si>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</si>
  <si>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</si>
  <si>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</si>
  <si>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</si>
  <si>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</si>
  <si>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</si>
  <si>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</si>
  <si>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</si>
  <si>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</si>
  <si>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</si>
  <si>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</si>
  <si>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</si>
  <si>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</si>
  <si>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</si>
  <si>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</si>
  <si>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</si>
  <si>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</si>
  <si>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</si>
  <si>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</si>
  <si>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</si>
  <si>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</si>
  <si>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</si>
  <si>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</si>
  <si>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</si>
  <si>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</si>
  <si>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</si>
  <si>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</si>
  <si>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</si>
  <si>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</si>
  <si>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</si>
  <si>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</si>
  <si>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</si>
  <si>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</si>
  <si>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</si>
  <si>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</si>
  <si>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</si>
  <si>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</si>
  <si>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</si>
  <si>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</si>
  <si>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</si>
  <si>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</si>
  <si>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</si>
  <si>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</si>
  <si>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</si>
  <si>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</si>
  <si>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</si>
  <si>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</si>
  <si>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</si>
  <si>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</si>
  <si>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</si>
  <si>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</si>
  <si>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</si>
  <si>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</si>
  <si>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</si>
  <si>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</si>
  <si>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</si>
  <si>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</si>
  <si>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</si>
  <si>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</si>
  <si>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</si>
  <si>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</si>
  <si>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</si>
  <si>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</si>
  <si>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</si>
  <si>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</si>
  <si>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</si>
  <si>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</si>
  <si>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</si>
  <si>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</si>
  <si>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</si>
  <si>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</si>
  <si>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</si>
  <si>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</si>
  <si>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</si>
  <si>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</si>
  <si>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</si>
  <si>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</si>
  <si>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</si>
  <si>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</si>
  <si>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</si>
  <si>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</si>
  <si>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</si>
  <si>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</si>
  <si>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</si>
  <si>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</si>
  <si>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</si>
  <si>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</si>
  <si>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</si>
  <si>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</si>
  <si>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</si>
  <si>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</si>
  <si>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</si>
  <si>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</si>
  <si>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</si>
  <si>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</si>
  <si>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</si>
  <si>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</si>
  <si>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</si>
  <si>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</si>
  <si>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</si>
  <si>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</si>
  <si>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</si>
  <si>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</si>
  <si>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</si>
  <si>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</si>
  <si>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</si>
  <si>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</si>
  <si>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</si>
  <si>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</si>
  <si>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</si>
  <si>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</si>
  <si>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</si>
  <si>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</si>
  <si>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</si>
  <si>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</si>
  <si>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</si>
  <si>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</si>
  <si>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</si>
  <si>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</si>
  <si>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</si>
  <si>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</si>
  <si>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</si>
  <si>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</si>
  <si>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</si>
  <si>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</si>
  <si>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</si>
  <si>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</si>
  <si>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</si>
  <si>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</si>
  <si>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</si>
  <si>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</si>
  <si>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</si>
  <si>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</si>
  <si>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</si>
  <si>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</si>
  <si>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</si>
  <si>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</si>
  <si>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</si>
  <si>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</si>
  <si>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</si>
  <si>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</si>
  <si>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</si>
  <si>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</si>
  <si>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</si>
  <si>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</si>
  <si>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</si>
  <si>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</si>
  <si>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</si>
  <si>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</si>
  <si>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</si>
  <si>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</si>
  <si>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</si>
  <si>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</si>
  <si>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</si>
  <si>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</si>
  <si>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</si>
  <si>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</si>
  <si>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</si>
  <si>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</si>
  <si>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</si>
  <si>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</si>
  <si>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</si>
  <si>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</si>
  <si>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</si>
  <si>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</si>
  <si>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</si>
  <si>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</si>
  <si>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</si>
  <si>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</si>
  <si>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</si>
  <si>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</si>
  <si>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</si>
  <si>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</si>
  <si>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</si>
  <si>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</si>
  <si>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</si>
  <si>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</si>
  <si>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</si>
  <si>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</si>
  <si>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</si>
  <si>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</si>
  <si>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</si>
  <si>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</si>
  <si>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</si>
  <si>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</si>
  <si>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</si>
  <si>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</si>
  <si>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</si>
  <si>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</si>
  <si>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</si>
  <si>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</si>
  <si>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</si>
  <si>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</si>
  <si>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</si>
  <si>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</si>
  <si>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</si>
  <si>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</si>
  <si>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</si>
  <si>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</si>
  <si>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</si>
  <si>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</si>
  <si>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</si>
  <si>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</si>
  <si>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</si>
  <si>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</si>
  <si>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</si>
  <si>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</si>
  <si>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</si>
  <si>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</si>
  <si>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</si>
  <si>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</si>
  <si>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</si>
  <si>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</si>
  <si>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</si>
  <si>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</si>
  <si>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</si>
  <si>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</si>
  <si>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</si>
  <si>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</si>
  <si>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</si>
  <si>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</si>
  <si>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</si>
  <si>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</si>
  <si>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</si>
  <si>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</si>
  <si>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</si>
  <si>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</si>
  <si>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</si>
  <si>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</si>
  <si>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</si>
  <si>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</si>
  <si>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</si>
  <si>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</si>
  <si>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</si>
  <si>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</si>
  <si>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</si>
  <si>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</si>
  <si>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</si>
  <si>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</si>
  <si>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</si>
  <si>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</si>
  <si>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</si>
  <si>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</si>
  <si>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</si>
  <si>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</si>
  <si>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</si>
  <si>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</si>
  <si>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</si>
  <si>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</si>
  <si>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</si>
  <si>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</si>
  <si>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</si>
  <si>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</si>
  <si>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</si>
  <si>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</si>
  <si>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</si>
  <si>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</si>
  <si>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</si>
  <si>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</si>
  <si>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</si>
  <si>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</si>
  <si>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</si>
  <si>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</si>
  <si>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</si>
  <si>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</si>
  <si>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</si>
  <si>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</si>
  <si>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</si>
  <si>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</si>
  <si>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</si>
  <si>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</si>
  <si>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</si>
  <si>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</si>
  <si>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</si>
  <si>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</si>
  <si>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</si>
  <si>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</si>
  <si>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</si>
  <si>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</si>
  <si>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</si>
  <si>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</si>
  <si>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</si>
  <si>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</si>
  <si>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</si>
  <si>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</si>
  <si>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</si>
  <si>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</si>
  <si>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</si>
  <si>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</si>
  <si>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</si>
  <si>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</si>
  <si>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</si>
  <si>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</si>
  <si>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</si>
  <si>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</si>
  <si>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</si>
  <si>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</si>
  <si>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</si>
  <si>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</si>
  <si>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</si>
  <si>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</si>
  <si>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</si>
  <si>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</si>
  <si>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</si>
  <si>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</si>
  <si>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</si>
  <si>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</si>
  <si>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</si>
  <si>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</si>
  <si>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</si>
  <si>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</si>
  <si>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</si>
  <si>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</si>
  <si>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</si>
  <si>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</si>
  <si>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</si>
  <si>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</si>
  <si>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</si>
  <si>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</si>
  <si>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</si>
  <si>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</si>
  <si>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</si>
  <si>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</si>
  <si>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</si>
  <si>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</si>
  <si>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</si>
  <si>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</si>
  <si>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</si>
  <si>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</si>
  <si>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</si>
  <si>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</si>
  <si>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</si>
  <si>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</si>
  <si>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</si>
  <si>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</si>
  <si>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</si>
  <si>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</si>
  <si>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</si>
  <si>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</si>
  <si>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</si>
  <si>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</si>
  <si>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</si>
  <si>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</si>
  <si>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</si>
  <si>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</si>
  <si>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</si>
  <si>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</si>
  <si>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</si>
  <si>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</si>
  <si>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</si>
  <si>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</si>
  <si>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</si>
  <si>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</si>
  <si>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</si>
  <si>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</si>
  <si>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</si>
  <si>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</si>
  <si>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</si>
  <si>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</si>
  <si>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</si>
  <si>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</si>
  <si>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</si>
  <si>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</si>
  <si>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</si>
  <si>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</si>
  <si>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</si>
  <si>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</si>
  <si>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</si>
  <si>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</si>
  <si>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</si>
  <si>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</si>
  <si>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</si>
  <si>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</si>
  <si>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</si>
  <si>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</si>
  <si>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</si>
  <si>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</si>
  <si>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</si>
  <si>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</si>
  <si>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</si>
  <si>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</si>
  <si>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</si>
  <si>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</si>
  <si>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</si>
  <si>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</si>
  <si>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</si>
  <si>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</si>
  <si>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</si>
  <si>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</si>
  <si>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</si>
  <si>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</si>
  <si>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</si>
  <si>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</si>
  <si>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</si>
  <si>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</si>
  <si>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</si>
  <si>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</si>
  <si>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</si>
  <si>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</si>
  <si>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</si>
  <si>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</si>
  <si>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</si>
  <si>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</si>
  <si>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</si>
  <si>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</si>
  <si>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</si>
  <si>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</si>
  <si>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</si>
  <si>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</si>
  <si>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</si>
  <si>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</si>
  <si>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</si>
  <si>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</si>
  <si>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</si>
  <si>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</si>
  <si>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</si>
  <si>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</si>
  <si>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</si>
  <si>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</si>
  <si>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</si>
  <si>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</si>
  <si>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</si>
  <si>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</si>
  <si>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</si>
  <si>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</si>
  <si>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</si>
  <si>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</si>
  <si>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</si>
  <si>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</si>
  <si>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</si>
  <si>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</si>
  <si>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</si>
  <si>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</si>
  <si>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</si>
  <si>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</si>
  <si>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</si>
  <si>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</si>
  <si>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</si>
  <si>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</si>
  <si>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</si>
  <si>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</si>
  <si>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</si>
  <si>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</si>
  <si>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</si>
  <si>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</si>
  <si>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</si>
  <si>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</si>
  <si>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</si>
  <si>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</si>
  <si>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</si>
  <si>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</si>
  <si>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</si>
  <si>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</si>
  <si>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</si>
  <si>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</si>
  <si>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</si>
  <si>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</si>
  <si>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</si>
  <si>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</si>
  <si>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</si>
  <si>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</si>
  <si>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</si>
  <si>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</si>
  <si>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</si>
  <si>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</si>
  <si>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</si>
  <si>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</si>
  <si>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</si>
  <si>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</si>
  <si>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</si>
  <si>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</si>
  <si>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</si>
  <si>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</si>
  <si>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</si>
  <si>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</si>
  <si>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</si>
  <si>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</si>
  <si>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</si>
  <si>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</si>
  <si>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</si>
  <si>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</si>
  <si>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</si>
  <si>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</si>
  <si>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</si>
  <si>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</si>
  <si>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</si>
  <si>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</si>
  <si>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</si>
  <si>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</si>
  <si>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</si>
  <si>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</si>
  <si>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</si>
  <si>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</si>
  <si>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</si>
  <si>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</si>
  <si>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</si>
  <si>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</si>
  <si>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</si>
  <si>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</si>
  <si>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</si>
  <si>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</si>
  <si>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</si>
  <si>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</si>
  <si>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</si>
  <si>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</si>
  <si>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</si>
  <si>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</si>
  <si>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</si>
  <si>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</si>
  <si>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</si>
  <si>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</si>
  <si>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</si>
  <si>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</si>
  <si>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</si>
  <si>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</si>
  <si>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</si>
  <si>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</si>
  <si>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</si>
  <si>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</si>
  <si>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</si>
  <si>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</si>
  <si>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</si>
  <si>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</si>
  <si>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</si>
  <si>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</si>
  <si>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</si>
  <si>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</si>
  <si>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</si>
  <si>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</si>
  <si>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</si>
  <si>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</si>
  <si>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</si>
  <si>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</si>
  <si>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</si>
  <si>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</si>
  <si>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</si>
  <si>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</si>
  <si>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</si>
  <si>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</si>
  <si>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</si>
  <si>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</si>
  <si>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</si>
  <si>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</si>
  <si>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</si>
  <si>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</si>
  <si>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</si>
  <si>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</si>
  <si>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</si>
  <si>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</si>
  <si>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</si>
  <si>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</si>
  <si>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</si>
  <si>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</si>
  <si>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</si>
  <si>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</si>
  <si>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</si>
  <si>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</si>
  <si>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</si>
  <si>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</si>
  <si>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</si>
  <si>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</si>
  <si>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</si>
  <si>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</si>
  <si>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</si>
  <si>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</si>
  <si>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</si>
  <si>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</si>
  <si>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</si>
  <si>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</si>
  <si>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</si>
  <si>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</si>
  <si>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</si>
  <si>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</si>
  <si>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</si>
  <si>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</si>
  <si>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</si>
  <si>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</si>
  <si>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</si>
  <si>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</si>
  <si>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</si>
  <si>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</si>
  <si>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</si>
  <si>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</si>
  <si>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</si>
  <si>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</si>
  <si>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</si>
  <si>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</si>
  <si>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</si>
  <si>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</si>
  <si>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</si>
  <si>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</si>
  <si>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</si>
  <si>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</si>
  <si>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</si>
  <si>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</si>
  <si>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</si>
  <si>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</si>
  <si>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</si>
  <si>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</si>
  <si>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</si>
  <si>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</si>
  <si>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</si>
  <si>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</si>
  <si>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</si>
  <si>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</si>
  <si>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</si>
  <si>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</si>
  <si>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</si>
  <si>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</si>
  <si>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</si>
  <si>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</si>
  <si>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</si>
  <si>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</si>
  <si>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</si>
  <si>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</si>
  <si>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</si>
  <si>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</si>
  <si>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</si>
  <si>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</si>
  <si>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</si>
  <si>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</si>
  <si>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</si>
  <si>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</si>
  <si>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</si>
  <si>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</si>
  <si>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</si>
  <si>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</si>
  <si>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</si>
  <si>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</si>
  <si>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</si>
  <si>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</si>
  <si>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</si>
  <si>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</si>
  <si>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</si>
  <si>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</si>
  <si>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</si>
  <si>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</si>
  <si>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</si>
  <si>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</si>
  <si>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</si>
  <si>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</si>
  <si>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</si>
  <si>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</si>
  <si>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</si>
  <si>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</si>
  <si>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</si>
  <si>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</si>
  <si>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</si>
  <si>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</si>
  <si>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</si>
  <si>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</si>
  <si>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</si>
  <si>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</si>
  <si>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</si>
  <si>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</si>
  <si>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</si>
  <si>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</si>
  <si>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</si>
  <si>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</si>
  <si>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</si>
  <si>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</si>
  <si>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</si>
  <si>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</si>
  <si>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</si>
  <si>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</si>
  <si>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</si>
  <si>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</si>
  <si>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</si>
  <si>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</si>
  <si>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</si>
  <si>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</si>
  <si>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</si>
  <si>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</si>
  <si>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</si>
  <si>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</si>
  <si>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</si>
  <si>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</si>
  <si>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</si>
  <si>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</si>
  <si>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</si>
  <si>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</si>
  <si>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</si>
  <si>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</si>
  <si>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</si>
  <si>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</si>
  <si>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</si>
  <si>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</si>
  <si>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</si>
  <si>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</si>
  <si>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</si>
  <si>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</si>
  <si>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</si>
  <si>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</si>
  <si>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</si>
  <si>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</si>
  <si>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</si>
  <si>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</si>
  <si>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</si>
  <si>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</si>
  <si>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</si>
  <si>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</si>
  <si>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</si>
  <si>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</si>
  <si>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</si>
  <si>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</si>
  <si>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</si>
  <si>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</si>
  <si>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</si>
  <si>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</si>
  <si>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</si>
  <si>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</si>
  <si>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</si>
  <si>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</si>
  <si>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</si>
  <si>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</si>
  <si>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</si>
  <si>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</si>
  <si>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</si>
  <si>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</si>
  <si>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</si>
  <si>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</si>
  <si>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</si>
  <si>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</si>
  <si>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</si>
  <si>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</si>
  <si>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</si>
  <si>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</si>
  <si>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</si>
  <si>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</si>
  <si>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</si>
  <si>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</si>
  <si>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</si>
  <si>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</si>
  <si>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</si>
  <si>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</si>
  <si>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</si>
  <si>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</si>
  <si>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</si>
  <si>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</si>
  <si>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</si>
  <si>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</si>
  <si>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</si>
  <si>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</si>
  <si>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</si>
  <si>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</si>
  <si>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</si>
  <si>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</si>
  <si>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</si>
  <si>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</si>
  <si>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</si>
  <si>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</si>
  <si>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</si>
  <si>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</si>
  <si>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</si>
  <si>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</si>
  <si>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</si>
  <si>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</si>
  <si>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</si>
  <si>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</si>
  <si>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</si>
  <si>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</si>
  <si>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</si>
  <si>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</si>
  <si>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</si>
  <si>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</si>
  <si>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</si>
  <si>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</si>
  <si>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</si>
  <si>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</si>
  <si>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</si>
  <si>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</si>
  <si>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</si>
  <si>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</si>
  <si>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</si>
  <si>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</si>
  <si>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</si>
  <si>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</si>
  <si>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</si>
  <si>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</si>
  <si>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</si>
  <si>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</si>
  <si>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</si>
  <si>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</si>
  <si>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</si>
  <si>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</si>
  <si>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</si>
  <si>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</si>
  <si>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</si>
  <si>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</si>
  <si>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</si>
  <si>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</si>
  <si>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</si>
  <si>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</si>
  <si>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</si>
  <si>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</si>
  <si>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</si>
  <si>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</si>
  <si>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</si>
  <si>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</si>
  <si>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</si>
  <si>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</si>
  <si>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</si>
  <si>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</si>
  <si>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</si>
  <si>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</si>
  <si>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</si>
  <si>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</si>
  <si>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</si>
  <si>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</si>
  <si>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</si>
  <si>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</si>
  <si>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</si>
  <si>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</si>
  <si>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</si>
  <si>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</si>
  <si>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</si>
  <si>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</si>
  <si>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</si>
  <si>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</si>
  <si>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</si>
  <si>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</si>
  <si>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</si>
  <si>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</si>
  <si>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</si>
  <si>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</si>
  <si>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</si>
  <si>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</si>
  <si>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</si>
  <si>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</si>
  <si>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</si>
  <si>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</si>
  <si>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</si>
  <si>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</si>
  <si>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</si>
  <si>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</si>
  <si>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</si>
  <si>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</si>
  <si>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</si>
  <si>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</si>
  <si>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</si>
  <si>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</si>
  <si>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</si>
  <si>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</si>
  <si>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</si>
  <si>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</si>
  <si>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</si>
  <si>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</si>
  <si>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</si>
  <si>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</si>
  <si>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</si>
  <si>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</si>
  <si>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</si>
  <si>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</si>
  <si>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</si>
  <si>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</si>
  <si>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</si>
  <si>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</si>
  <si>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</si>
  <si>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</si>
  <si>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</si>
  <si>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</si>
  <si>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</si>
  <si>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</si>
  <si>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</si>
  <si>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</si>
  <si>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</si>
  <si>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</si>
  <si>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</si>
  <si>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</si>
  <si>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</si>
  <si>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</si>
  <si>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</si>
  <si>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</si>
  <si>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</si>
  <si>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</si>
  <si>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</si>
  <si>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</si>
  <si>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</si>
  <si>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</si>
  <si>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</si>
  <si>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</si>
  <si>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</si>
  <si>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</si>
  <si>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</si>
  <si>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</si>
  <si>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</si>
  <si>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</si>
  <si>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</si>
  <si>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</si>
  <si>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</si>
  <si>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</si>
  <si>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</si>
  <si>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</si>
  <si>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</si>
  <si>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</si>
  <si>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</si>
  <si>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</si>
  <si>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</si>
  <si>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</si>
  <si>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</si>
  <si>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</si>
  <si>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</si>
  <si>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</si>
  <si>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</si>
  <si>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</si>
  <si>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</si>
  <si>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</si>
  <si>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</si>
  <si>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</si>
  <si>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</si>
  <si>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</si>
  <si>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</si>
  <si>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</si>
  <si>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</si>
  <si>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</si>
  <si>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</si>
  <si>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</si>
  <si>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</si>
  <si>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</si>
  <si>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</si>
  <si>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</si>
  <si>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</si>
  <si>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</si>
  <si>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</si>
  <si>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</si>
  <si>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</si>
  <si>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</si>
  <si>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</si>
  <si>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</si>
  <si>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</si>
  <si>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</si>
  <si>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</si>
  <si>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</si>
  <si>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</si>
  <si>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</si>
  <si>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</si>
  <si>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</si>
  <si>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</si>
  <si>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</si>
  <si>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</si>
  <si>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</si>
  <si>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</si>
  <si>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</si>
  <si>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</si>
  <si>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</si>
  <si>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</si>
  <si>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</si>
  <si>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</si>
  <si>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</si>
  <si>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</si>
  <si>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</si>
  <si>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</si>
  <si>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</si>
  <si>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</si>
  <si>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</si>
  <si>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</si>
  <si>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</si>
  <si>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</si>
  <si>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</si>
  <si>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</si>
  <si>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</si>
  <si>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</si>
  <si>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</si>
  <si>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</si>
  <si>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</si>
  <si>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</si>
  <si>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</si>
  <si>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</si>
  <si>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</si>
  <si>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</si>
  <si>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</si>
  <si>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</si>
  <si>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</si>
  <si>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</si>
  <si>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</si>
  <si>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</si>
  <si>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</si>
  <si>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</si>
  <si>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</si>
  <si>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</si>
  <si>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</si>
  <si>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</si>
  <si>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</si>
  <si>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</si>
  <si>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</si>
  <si>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</si>
  <si>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</si>
  <si>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</si>
  <si>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</si>
  <si>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</si>
  <si>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</si>
  <si>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</si>
  <si>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</si>
  <si>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</si>
  <si>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</si>
  <si>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</si>
  <si>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</si>
  <si>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</si>
  <si>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</si>
  <si>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</si>
  <si>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</si>
  <si>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</si>
  <si>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</si>
  <si>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</si>
  <si>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</si>
  <si>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</si>
  <si>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</si>
  <si>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</si>
  <si>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</si>
  <si>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</si>
  <si>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</si>
  <si>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</si>
  <si>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</si>
  <si>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</si>
  <si>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</si>
  <si>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</si>
  <si>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</si>
  <si>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</si>
  <si>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</si>
  <si>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</si>
  <si>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</si>
  <si>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</si>
  <si>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</si>
  <si>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</si>
  <si>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</si>
  <si>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</si>
  <si>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</si>
  <si>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</si>
  <si>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</si>
  <si>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</si>
  <si>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</si>
  <si>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</si>
  <si>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</si>
  <si>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</si>
  <si>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</si>
  <si>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</si>
  <si>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</si>
  <si>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</si>
  <si>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</si>
  <si>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</si>
  <si>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</si>
  <si>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</si>
  <si>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</si>
  <si>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</si>
  <si>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</si>
  <si>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</si>
  <si>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</si>
  <si>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</si>
  <si>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</si>
  <si>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</si>
  <si>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</si>
  <si>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</si>
  <si>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</si>
  <si>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</si>
  <si>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</si>
  <si>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</si>
  <si>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</si>
  <si>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</si>
  <si>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</si>
  <si>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</si>
  <si>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</si>
  <si>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</si>
  <si>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</si>
  <si>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</si>
  <si>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</si>
  <si>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</si>
  <si>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</si>
  <si>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</si>
  <si>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</si>
  <si>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</si>
  <si>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</si>
  <si>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</si>
  <si>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</si>
  <si>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</si>
  <si>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</si>
  <si>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</si>
  <si>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</si>
  <si>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</si>
  <si>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</si>
  <si>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</si>
  <si>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</si>
  <si>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</si>
  <si>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</si>
  <si>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</si>
  <si>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</si>
  <si>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</si>
  <si>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</si>
  <si>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</si>
  <si>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</si>
  <si>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</si>
  <si>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</si>
  <si>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</si>
  <si>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</si>
  <si>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</si>
  <si>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</si>
  <si>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</si>
  <si>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</si>
  <si>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</si>
  <si>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</si>
  <si>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</si>
  <si>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</si>
  <si>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</si>
  <si>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</si>
  <si>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</si>
  <si>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</si>
  <si>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</si>
  <si>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</si>
  <si>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</si>
  <si>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</si>
  <si>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</si>
  <si>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</si>
  <si>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</si>
  <si>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</si>
  <si>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</si>
  <si>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</si>
  <si>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</si>
  <si>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</si>
  <si>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</si>
  <si>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</si>
  <si>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</si>
  <si>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</si>
  <si>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</si>
  <si>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</si>
  <si>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</si>
  <si>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</si>
  <si>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</si>
  <si>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</si>
  <si>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</si>
  <si>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</si>
  <si>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</si>
  <si>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</si>
  <si>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</si>
  <si>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</si>
  <si>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</si>
  <si>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</si>
  <si>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</si>
  <si>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</si>
  <si>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</si>
  <si>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</si>
  <si>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</si>
  <si>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</si>
  <si>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</si>
  <si>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</si>
  <si>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</si>
  <si>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</si>
  <si>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</si>
  <si>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</si>
  <si>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</si>
  <si>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</si>
  <si>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</si>
  <si>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</si>
  <si>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</si>
  <si>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</si>
  <si>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</si>
  <si>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</si>
  <si>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</si>
  <si>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</si>
  <si>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</si>
  <si>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</si>
  <si>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</si>
  <si>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</si>
  <si>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</si>
  <si>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</si>
  <si>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</si>
  <si>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</si>
  <si>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</si>
  <si>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</si>
  <si>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</si>
  <si>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</si>
  <si>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</si>
  <si>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</si>
  <si>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</si>
  <si>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</si>
  <si>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</si>
  <si>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</si>
  <si>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</si>
  <si>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</si>
  <si>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</si>
  <si>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</si>
  <si>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</si>
  <si>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</si>
  <si>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</si>
  <si>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</si>
  <si>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</si>
  <si>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</si>
  <si>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</si>
  <si>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</si>
  <si>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</si>
  <si>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</si>
  <si>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</si>
  <si>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</si>
  <si>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</si>
  <si>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</si>
  <si>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</si>
  <si>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</si>
  <si>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</si>
  <si>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</si>
  <si>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</si>
  <si>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</si>
  <si>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</si>
  <si>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</si>
  <si>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</si>
  <si>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</si>
  <si>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</si>
  <si>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</si>
  <si>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</si>
  <si>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</si>
  <si>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</si>
  <si>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</si>
  <si>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</si>
  <si>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</si>
  <si>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</si>
  <si>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</si>
  <si>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</si>
  <si>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</si>
  <si>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</si>
  <si>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</si>
  <si>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</si>
  <si>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</si>
  <si>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</si>
  <si>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</si>
  <si>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</si>
  <si>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</si>
  <si>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</si>
  <si>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</si>
  <si>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</si>
  <si>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</si>
  <si>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</si>
  <si>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</si>
  <si>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</si>
  <si>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</si>
  <si>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</si>
  <si>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</si>
  <si>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</si>
  <si>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</si>
  <si>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</si>
  <si>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</si>
  <si>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</si>
  <si>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</si>
  <si>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</si>
  <si>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</si>
  <si>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</si>
  <si>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</si>
  <si>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</si>
  <si>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</si>
  <si>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</si>
  <si>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</si>
  <si>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</si>
  <si>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</si>
  <si>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</si>
  <si>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</si>
  <si>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</si>
  <si>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</si>
  <si>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</si>
  <si>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</si>
  <si>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</si>
  <si>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</si>
  <si>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</si>
  <si>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</si>
  <si>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</si>
  <si>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</si>
  <si>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</si>
  <si>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</si>
  <si>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</si>
  <si>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</si>
  <si>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</si>
  <si>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</si>
  <si>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</si>
  <si>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</si>
  <si>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</si>
  <si>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</si>
  <si>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</si>
  <si>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</si>
  <si>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</si>
  <si>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</si>
  <si>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</si>
  <si>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</si>
  <si>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</si>
  <si>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</si>
  <si>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</si>
  <si>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</si>
  <si>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</si>
  <si>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</si>
  <si>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</si>
  <si>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</si>
  <si>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</si>
  <si>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</si>
  <si>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</si>
  <si>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</si>
  <si>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</si>
  <si>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</si>
  <si>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</si>
  <si>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</si>
  <si>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</si>
  <si>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</si>
  <si>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</si>
  <si>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</si>
  <si>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</si>
  <si>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</si>
  <si>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</si>
  <si>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</si>
  <si>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</si>
  <si>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</si>
  <si>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</si>
  <si>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</si>
  <si>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</si>
  <si>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</si>
  <si>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</si>
  <si>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</si>
  <si>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</si>
  <si>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</si>
  <si>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</si>
  <si>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</si>
  <si>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</si>
  <si>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</si>
  <si>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</si>
  <si>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</si>
  <si>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</si>
  <si>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</si>
  <si>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</si>
  <si>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</si>
  <si>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</si>
  <si>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</si>
  <si>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</si>
  <si>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</si>
  <si>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</si>
  <si>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</si>
  <si>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</si>
  <si>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</si>
  <si>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</si>
  <si>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</si>
  <si>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</si>
  <si>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</si>
  <si>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</si>
  <si>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</si>
  <si>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</si>
  <si>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</si>
  <si>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</si>
  <si>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</si>
  <si>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</si>
  <si>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</si>
  <si>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</si>
  <si>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</si>
  <si>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</si>
  <si>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</si>
  <si>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</si>
  <si>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</si>
  <si>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</si>
  <si>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</si>
  <si>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</si>
  <si>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</si>
  <si>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</si>
  <si>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</si>
  <si>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</si>
  <si>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</si>
  <si>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</si>
  <si>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</si>
  <si>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</si>
  <si>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</si>
  <si>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</si>
  <si>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</si>
  <si>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</si>
  <si>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</si>
  <si>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</si>
  <si>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</si>
  <si>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</si>
  <si>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</si>
  <si>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</si>
  <si>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</si>
  <si>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</si>
  <si>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</si>
  <si>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</si>
  <si>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</si>
  <si>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</si>
  <si>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</si>
  <si>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</si>
  <si>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</si>
  <si>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</si>
  <si>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</si>
  <si>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</si>
  <si>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</si>
  <si>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</si>
  <si>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</si>
  <si>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</si>
  <si>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</si>
  <si>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</si>
  <si>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</si>
  <si>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</si>
  <si>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</si>
  <si>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</si>
  <si>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</si>
  <si>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</si>
  <si>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</si>
  <si>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</si>
  <si>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</si>
  <si>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</si>
  <si>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</si>
  <si>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</si>
  <si>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</si>
  <si>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</si>
  <si>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</si>
  <si>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</si>
  <si>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</si>
  <si>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</si>
  <si>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</si>
  <si>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</si>
  <si>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</si>
  <si>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</si>
  <si>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</si>
  <si>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</si>
  <si>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</si>
  <si>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</si>
  <si>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</si>
  <si>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</si>
  <si>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</si>
  <si>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</si>
  <si>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</si>
  <si>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</si>
  <si>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</si>
  <si>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</si>
  <si>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</si>
  <si>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</si>
  <si>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</si>
  <si>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</si>
  <si>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</si>
  <si>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</si>
  <si>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</si>
  <si>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</si>
  <si>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</si>
  <si>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</si>
  <si>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</si>
  <si>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</si>
  <si>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</si>
  <si>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</si>
  <si>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</si>
  <si>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</si>
  <si>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</si>
  <si>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</si>
  <si>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</si>
  <si>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</si>
  <si>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</si>
  <si>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</si>
  <si>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</si>
  <si>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</si>
  <si>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</si>
  <si>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</si>
  <si>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</si>
  <si>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</si>
  <si>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</si>
  <si>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</si>
  <si>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</si>
  <si>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</si>
  <si>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</si>
  <si>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</si>
  <si>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</si>
  <si>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</si>
  <si>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</si>
  <si>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</si>
  <si>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</si>
  <si>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</si>
  <si>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</si>
  <si>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</si>
  <si>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</si>
  <si>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</si>
  <si>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</si>
  <si>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</si>
  <si>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</si>
  <si>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</si>
  <si>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</si>
  <si>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</si>
  <si>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</si>
  <si>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</si>
  <si>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</si>
  <si>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</si>
  <si>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</si>
  <si>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</si>
  <si>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</si>
  <si>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</si>
  <si>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</si>
  <si>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</si>
  <si>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</si>
  <si>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</si>
  <si>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</si>
  <si>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</si>
  <si>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</si>
  <si>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</si>
  <si>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</si>
  <si>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</si>
  <si>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</si>
  <si>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</si>
  <si>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</si>
  <si>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</si>
  <si>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</si>
  <si>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</si>
  <si>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</si>
  <si>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</si>
  <si>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</si>
  <si>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</si>
  <si>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</si>
  <si>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</si>
  <si>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</si>
  <si>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</si>
  <si>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</si>
  <si>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</si>
  <si>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</si>
  <si>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</si>
  <si>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</si>
  <si>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</si>
  <si>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</si>
  <si>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</si>
  <si>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</si>
  <si>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</si>
  <si>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</si>
  <si>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</si>
  <si>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</si>
  <si>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</si>
  <si>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</si>
  <si>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</si>
  <si>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</si>
  <si>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</si>
  <si>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</si>
  <si>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</si>
  <si>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</si>
  <si>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</si>
  <si>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</si>
  <si>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</si>
  <si>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</si>
  <si>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</si>
  <si>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</si>
  <si>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</si>
  <si>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</si>
  <si>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</si>
  <si>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</si>
  <si>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</si>
  <si>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</si>
  <si>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</si>
  <si>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</si>
  <si>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</si>
  <si>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</si>
  <si>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</si>
  <si>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</si>
  <si>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</si>
  <si>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</si>
  <si>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</si>
  <si>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</si>
  <si>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</si>
  <si>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</si>
  <si>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</si>
  <si>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</si>
  <si>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</si>
  <si>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</si>
  <si>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</si>
  <si>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</si>
  <si>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</si>
  <si>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</si>
  <si>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</si>
  <si>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</si>
  <si>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</si>
  <si>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</si>
  <si>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</si>
  <si>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</si>
  <si>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</si>
  <si>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</si>
  <si>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</si>
  <si>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</si>
  <si>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</si>
  <si>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</si>
  <si>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</si>
  <si>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</si>
  <si>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</si>
  <si>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</si>
  <si>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</si>
  <si>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</si>
  <si>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</si>
  <si>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</si>
  <si>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</si>
  <si>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</si>
  <si>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</si>
  <si>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</si>
  <si>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</si>
  <si>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</si>
  <si>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</si>
  <si>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</si>
  <si>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</si>
  <si>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</si>
  <si>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</si>
  <si>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</si>
  <si>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</si>
  <si>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</si>
  <si>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</si>
  <si>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</si>
  <si>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</si>
  <si>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</si>
  <si>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</si>
  <si>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</si>
  <si>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</si>
  <si>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</si>
  <si>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</si>
  <si>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</si>
  <si>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</si>
  <si>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</si>
  <si>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</si>
  <si>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</si>
  <si>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</si>
  <si>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</si>
  <si>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</si>
  <si>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</si>
  <si>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</si>
  <si>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</si>
  <si>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</si>
  <si>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</si>
  <si>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</si>
  <si>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</si>
  <si>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</si>
  <si>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</si>
  <si>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</si>
  <si>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</si>
  <si>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</si>
  <si>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</si>
  <si>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</si>
  <si>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</si>
  <si>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</si>
  <si>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</si>
  <si>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</si>
  <si>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</si>
  <si>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</si>
  <si>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</si>
  <si>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</si>
  <si>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</si>
  <si>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</si>
  <si>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</si>
  <si>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</si>
  <si>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</si>
  <si>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</si>
  <si>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</si>
  <si>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</si>
  <si>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</si>
  <si>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</si>
  <si>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</si>
  <si>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</si>
  <si>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</si>
  <si>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</si>
  <si>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</si>
  <si>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</si>
  <si>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</si>
  <si>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</si>
  <si>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</si>
  <si>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</si>
  <si>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</si>
  <si>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</si>
  <si>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</si>
  <si>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</si>
  <si>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</si>
  <si>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</si>
  <si>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</si>
  <si>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</si>
  <si>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</si>
  <si>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</si>
  <si>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</si>
  <si>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</si>
  <si>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</si>
  <si>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</si>
  <si>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</si>
  <si>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</si>
  <si>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</si>
  <si>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</si>
  <si>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</si>
  <si>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</si>
  <si>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</si>
  <si>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</si>
  <si>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</si>
  <si>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</si>
  <si>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</si>
  <si>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</si>
  <si>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</si>
  <si>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</si>
  <si>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</si>
  <si>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</si>
  <si>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</si>
  <si>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</si>
  <si>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</si>
  <si>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</si>
  <si>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</si>
  <si>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</si>
  <si>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</si>
  <si>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</si>
  <si>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</si>
  <si>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</si>
  <si>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</si>
  <si>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</si>
  <si>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</si>
  <si>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</si>
  <si>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</si>
  <si>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</si>
  <si>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</si>
  <si>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</si>
  <si>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</si>
  <si>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</si>
  <si>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</si>
  <si>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</si>
  <si>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</si>
  <si>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</si>
  <si>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</si>
  <si>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</si>
  <si>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</si>
  <si>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</si>
  <si>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</si>
  <si>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</si>
  <si>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</si>
  <si>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</si>
  <si>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</si>
  <si>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</si>
  <si>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</si>
  <si>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</si>
  <si>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</si>
  <si>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</si>
  <si>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</si>
  <si>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</si>
  <si>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</si>
  <si>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</si>
  <si>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</si>
  <si>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</si>
  <si>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</si>
  <si>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</si>
  <si>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</si>
  <si>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</si>
  <si>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</si>
  <si>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</si>
  <si>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</si>
  <si>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</si>
  <si>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</si>
  <si>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</si>
  <si>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</si>
  <si>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</si>
  <si>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</si>
  <si>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</si>
  <si>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</si>
  <si>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</si>
  <si>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</si>
  <si>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</si>
  <si>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</si>
  <si>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</si>
  <si>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</si>
  <si>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</si>
  <si>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</si>
  <si>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</si>
  <si>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</si>
  <si>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</si>
  <si>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</si>
  <si>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</si>
  <si>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</si>
  <si>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</si>
  <si>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</si>
  <si>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</si>
  <si>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</si>
  <si>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</si>
  <si>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</si>
  <si>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</si>
  <si>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</si>
  <si>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</si>
  <si>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</si>
  <si>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</si>
  <si>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</si>
  <si>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</si>
  <si>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</si>
  <si>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</si>
  <si>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</si>
  <si>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</si>
  <si>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</si>
  <si>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</si>
  <si>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</si>
  <si>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</si>
  <si>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</si>
  <si>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</si>
  <si>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</si>
  <si>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</si>
  <si>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</si>
  <si>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</si>
  <si>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</si>
  <si>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</si>
  <si>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</si>
  <si>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</si>
  <si>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</si>
  <si>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</si>
  <si>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</si>
  <si>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</si>
  <si>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</si>
  <si>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</si>
  <si>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</si>
  <si>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</si>
  <si>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</si>
  <si>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</si>
  <si>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</si>
  <si>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</si>
  <si>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</si>
  <si>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</si>
  <si>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</si>
  <si>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</si>
  <si>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</si>
  <si>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</si>
  <si>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</si>
  <si>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</si>
  <si>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</si>
  <si>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</si>
  <si>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</si>
  <si>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</si>
  <si>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</si>
  <si>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</si>
  <si>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</si>
  <si>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</si>
  <si>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</si>
  <si>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</si>
  <si>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</si>
  <si>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</si>
  <si>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</si>
  <si>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</si>
  <si>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</si>
  <si>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</si>
  <si>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</si>
  <si>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</si>
  <si>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</si>
  <si>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</si>
  <si>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</si>
  <si>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</si>
  <si>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</si>
  <si>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</si>
  <si>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</si>
  <si>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</si>
  <si>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</si>
  <si>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</si>
  <si>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</si>
  <si>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</si>
  <si>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</si>
  <si>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</si>
  <si>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</si>
  <si>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</si>
  <si>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</si>
  <si>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</si>
  <si>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</si>
  <si>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</si>
  <si>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</si>
  <si>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</si>
  <si>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</si>
  <si>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</si>
  <si>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</si>
  <si>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</si>
  <si>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</si>
  <si>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</si>
  <si>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</si>
  <si>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</si>
  <si>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</si>
  <si>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</si>
  <si>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</si>
  <si>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</si>
  <si>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</si>
  <si>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</si>
  <si>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</si>
  <si>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</si>
  <si>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</si>
  <si>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</si>
  <si>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</si>
  <si>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</si>
  <si>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</si>
  <si>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</si>
  <si>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</si>
  <si>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</si>
  <si>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</si>
  <si>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</si>
  <si>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</si>
  <si>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</si>
  <si>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</si>
  <si>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</si>
  <si>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</si>
  <si>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</si>
  <si>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</si>
  <si>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</si>
  <si>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</si>
  <si>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</si>
  <si>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</si>
  <si>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</si>
  <si>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</si>
  <si>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</si>
  <si>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</si>
  <si>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</si>
  <si>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</si>
  <si>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</si>
  <si>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</si>
  <si>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</si>
  <si>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</si>
  <si>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</si>
  <si>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</si>
  <si>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</si>
  <si>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</si>
  <si>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</si>
  <si>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</si>
  <si>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</si>
  <si>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</si>
  <si>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</si>
  <si>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</si>
  <si>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</si>
  <si>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</si>
  <si>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</si>
  <si>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</si>
  <si>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</si>
  <si>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</si>
  <si>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</si>
  <si>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</si>
  <si>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</si>
  <si>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</si>
  <si>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</si>
  <si>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</si>
  <si>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</si>
  <si>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</si>
  <si>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</si>
  <si>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</si>
  <si>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</si>
  <si>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</si>
  <si>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</si>
  <si>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</si>
  <si>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</si>
  <si>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</si>
  <si>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</si>
  <si>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</si>
  <si>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</si>
  <si>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</si>
  <si>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</si>
  <si>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</si>
  <si>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</si>
  <si>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</si>
  <si>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</si>
  <si>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</si>
  <si>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</si>
  <si>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</si>
  <si>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</si>
  <si>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</si>
  <si>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</si>
  <si>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</si>
  <si>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</si>
  <si>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</si>
  <si>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</si>
  <si>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</si>
  <si>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</si>
  <si>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</si>
  <si>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</si>
  <si>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</si>
  <si>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</si>
  <si>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</si>
  <si>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</si>
  <si>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</si>
  <si>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</si>
  <si>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</si>
  <si>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</si>
  <si>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</si>
  <si>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</si>
  <si>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</si>
  <si>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</si>
  <si>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</si>
  <si>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</si>
  <si>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</si>
  <si>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</si>
  <si>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</si>
  <si>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</si>
  <si>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</si>
  <si>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</si>
  <si>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</si>
  <si>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</si>
  <si>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</si>
  <si>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</si>
  <si>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</si>
  <si>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</si>
  <si>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</si>
  <si>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</si>
  <si>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</si>
  <si>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</si>
  <si>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</si>
  <si>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</si>
  <si>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</si>
  <si>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</si>
  <si>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</si>
  <si>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</si>
  <si>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</si>
  <si>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</si>
  <si>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</si>
  <si>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</si>
  <si>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</si>
  <si>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</si>
  <si>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</si>
  <si>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</si>
  <si>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</si>
  <si>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</si>
  <si>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</si>
  <si>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</si>
  <si>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</si>
  <si>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</si>
  <si>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</si>
  <si>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</si>
  <si>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</si>
  <si>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</si>
  <si>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</si>
  <si>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</si>
  <si>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</si>
  <si>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</si>
  <si>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</si>
  <si>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</si>
  <si>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</si>
  <si>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</si>
  <si>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</si>
  <si>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</si>
  <si>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</si>
  <si>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</si>
  <si>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</si>
  <si>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</si>
  <si>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</si>
  <si>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</si>
  <si>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</si>
  <si>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</si>
  <si>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</si>
  <si>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</si>
  <si>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</si>
  <si>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</si>
  <si>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</si>
  <si>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</si>
  <si>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</si>
  <si>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</si>
  <si>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</si>
  <si>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</si>
  <si>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</si>
  <si>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</si>
  <si>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</si>
  <si>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</si>
  <si>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</si>
  <si>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</si>
  <si>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</si>
  <si>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</si>
  <si>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</si>
  <si>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</si>
  <si>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</si>
  <si>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</si>
  <si>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</si>
  <si>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</si>
  <si>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</si>
  <si>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</si>
  <si>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</si>
  <si>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</si>
  <si>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</si>
  <si>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</si>
  <si>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</si>
  <si>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</si>
  <si>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</si>
  <si>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</si>
  <si>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</si>
  <si>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</si>
  <si>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</si>
  <si>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</si>
  <si>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</si>
  <si>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</si>
  <si>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</si>
  <si>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</si>
  <si>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</si>
  <si>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</si>
  <si>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</si>
  <si>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</si>
  <si>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</si>
  <si>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</si>
  <si>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</si>
  <si>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</si>
  <si>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</si>
  <si>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</si>
  <si>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</si>
  <si>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</si>
  <si>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</si>
  <si>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</si>
  <si>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</si>
  <si>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</si>
  <si>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</si>
  <si>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</si>
  <si>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</si>
  <si>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</si>
  <si>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</si>
  <si>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</si>
  <si>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</si>
  <si>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</si>
  <si>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</si>
  <si>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</si>
  <si>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</si>
  <si>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</si>
  <si>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</si>
  <si>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</si>
  <si>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</si>
  <si>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</si>
  <si>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</si>
  <si>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</si>
  <si>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</si>
  <si>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</si>
  <si>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</si>
  <si>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</si>
  <si>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</si>
  <si>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</si>
  <si>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</si>
  <si>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</si>
  <si>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</si>
  <si>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</si>
  <si>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</si>
  <si>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</si>
  <si>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</si>
  <si>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</si>
  <si>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</si>
  <si>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</si>
  <si>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</si>
  <si>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</si>
  <si>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</si>
  <si>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</si>
  <si>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</si>
  <si>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</si>
  <si>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</si>
  <si>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</si>
  <si>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</si>
  <si>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</si>
  <si>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</si>
  <si>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</si>
  <si>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</si>
  <si>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</si>
  <si>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</si>
  <si>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</si>
  <si>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</si>
  <si>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</si>
  <si>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</si>
  <si>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</si>
  <si>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</si>
  <si>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</si>
  <si>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</si>
  <si>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</si>
  <si>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</si>
  <si>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</si>
  <si>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</si>
  <si>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</si>
  <si>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</si>
  <si>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</si>
  <si>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</si>
  <si>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</si>
  <si>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</si>
  <si>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</si>
  <si>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</si>
  <si>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</si>
  <si>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</si>
  <si>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</si>
  <si>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</si>
  <si>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</si>
  <si>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</si>
  <si>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</si>
  <si>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</si>
  <si>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</si>
  <si>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</si>
  <si>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</si>
  <si>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</si>
  <si>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</si>
  <si>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</si>
  <si>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</si>
  <si>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</si>
  <si>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</si>
  <si>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</si>
  <si>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</si>
  <si>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</si>
  <si>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</si>
  <si>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</si>
  <si>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</si>
  <si>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</si>
  <si>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</si>
  <si>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</si>
  <si>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</si>
  <si>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</si>
  <si>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</si>
  <si>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</si>
  <si>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</si>
  <si>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</si>
  <si>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</si>
  <si>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</si>
  <si>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</si>
  <si>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</si>
  <si>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</si>
  <si>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</si>
  <si>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</si>
  <si>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</si>
  <si>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</si>
  <si>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</si>
  <si>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</si>
  <si>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</si>
  <si>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</si>
  <si>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</si>
  <si>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</si>
  <si>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</si>
  <si>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</si>
  <si>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</si>
  <si>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</si>
  <si>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</si>
  <si>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</si>
  <si>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</si>
  <si>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</si>
  <si>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</si>
  <si>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</si>
  <si>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</si>
  <si>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</si>
  <si>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</si>
  <si>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</si>
  <si>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</si>
  <si>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</si>
  <si>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</si>
  <si>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</si>
  <si>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</si>
  <si>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</si>
  <si>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</si>
  <si>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</si>
  <si>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</si>
  <si>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</si>
  <si>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</si>
  <si>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</si>
  <si>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</si>
  <si>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</si>
  <si>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</si>
  <si>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</si>
  <si>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</si>
  <si>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</si>
  <si>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</si>
  <si>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</si>
  <si>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</si>
  <si>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</si>
  <si>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</si>
  <si>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</si>
  <si>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</si>
  <si>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</si>
  <si>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</si>
  <si>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</si>
  <si>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</si>
  <si>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</si>
  <si>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</si>
  <si>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</si>
  <si>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</si>
  <si>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</si>
  <si>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</si>
  <si>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</si>
  <si>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</si>
  <si>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</si>
  <si>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</si>
  <si>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</si>
  <si>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</si>
  <si>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</si>
  <si>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</si>
  <si>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</si>
  <si>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</si>
  <si>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</si>
  <si>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</si>
  <si>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</si>
  <si>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</si>
  <si>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</si>
  <si>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</si>
  <si>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</si>
  <si>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</si>
  <si>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</si>
  <si>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</si>
  <si>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</si>
  <si>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</si>
  <si>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</si>
  <si>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</si>
  <si>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</si>
  <si>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</si>
  <si>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</si>
  <si>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</si>
  <si>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</si>
  <si>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</si>
  <si>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</si>
  <si>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</si>
  <si>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</si>
  <si>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</si>
  <si>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</si>
  <si>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</si>
  <si>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</si>
  <si>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</si>
  <si>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</si>
  <si>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</si>
  <si>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</si>
  <si>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</si>
  <si>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</si>
  <si>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</si>
  <si>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</si>
  <si>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</si>
  <si>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</si>
  <si>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</si>
  <si>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</si>
  <si>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</si>
  <si>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</si>
  <si>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</si>
  <si>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</si>
  <si>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</si>
  <si>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</si>
  <si>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</si>
  <si>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</si>
  <si>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</si>
  <si>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</si>
  <si>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</si>
  <si>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</si>
  <si>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</si>
  <si>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</si>
  <si>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</si>
  <si>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</si>
  <si>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</si>
  <si>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</si>
  <si>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</si>
  <si>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</si>
  <si>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</si>
  <si>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</si>
  <si>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</si>
  <si>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</si>
  <si>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</si>
  <si>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</si>
  <si>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</si>
  <si>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</si>
  <si>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</si>
  <si>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</si>
  <si>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</si>
  <si>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</si>
  <si>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</si>
  <si>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</si>
  <si>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</si>
  <si>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</si>
  <si>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</si>
  <si>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</si>
  <si>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</si>
  <si>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</si>
  <si>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</si>
  <si>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</si>
  <si>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</si>
  <si>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</si>
  <si>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</si>
  <si>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</si>
  <si>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</si>
  <si>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</si>
  <si>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</si>
  <si>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</si>
  <si>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</si>
  <si>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</si>
  <si>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</si>
  <si>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</si>
  <si>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</si>
  <si>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</si>
  <si>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</si>
  <si>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</si>
  <si>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</si>
  <si>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</si>
  <si>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</si>
  <si>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</si>
  <si>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</si>
  <si>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</si>
  <si>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</si>
  <si>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</si>
  <si>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</si>
  <si>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</si>
  <si>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</si>
  <si>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</si>
  <si>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</si>
  <si>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</si>
  <si>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</si>
  <si>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</si>
  <si>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</si>
  <si>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</si>
  <si>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</si>
  <si>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</si>
  <si>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</si>
  <si>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</si>
  <si>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</si>
  <si>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</si>
  <si>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</si>
  <si>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</si>
  <si>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</si>
  <si>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</si>
  <si>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</si>
  <si>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</si>
  <si>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</si>
  <si>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</si>
  <si>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</si>
  <si>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</si>
  <si>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</si>
  <si>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</si>
  <si>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</si>
  <si>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</si>
  <si>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</si>
  <si>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</si>
  <si>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</si>
  <si>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</si>
  <si>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</si>
  <si>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</si>
  <si>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</si>
  <si>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</si>
  <si>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</si>
  <si>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</si>
  <si>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</si>
  <si>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</si>
  <si>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</si>
  <si>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</si>
  <si>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</si>
  <si>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</si>
  <si>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</si>
  <si>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</si>
  <si>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</si>
  <si>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</si>
  <si>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</si>
  <si>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</si>
  <si>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</si>
  <si>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</si>
  <si>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</si>
  <si>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</si>
  <si>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</si>
  <si>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</si>
  <si>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</si>
  <si>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</si>
  <si>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</si>
  <si>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</si>
  <si>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</si>
  <si>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</si>
  <si>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</si>
  <si>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</si>
  <si>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</si>
  <si>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</si>
  <si>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</si>
  <si>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</si>
  <si>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</si>
  <si>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</si>
  <si>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</si>
  <si>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</si>
  <si>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</si>
  <si>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</si>
  <si>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</si>
  <si>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</si>
  <si>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</si>
  <si>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</si>
  <si>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</si>
  <si>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</si>
  <si>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</si>
  <si>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</si>
  <si>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</si>
  <si>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</si>
  <si>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</si>
  <si>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</si>
  <si>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</si>
  <si>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</si>
  <si>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</si>
  <si>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</si>
  <si>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</si>
  <si>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</si>
  <si>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</si>
  <si>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</si>
  <si>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</si>
  <si>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</si>
  <si>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</si>
  <si>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</si>
  <si>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</si>
  <si>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</si>
  <si>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</si>
  <si>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</si>
  <si>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</si>
  <si>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</si>
  <si>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</si>
  <si>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</si>
  <si>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</si>
  <si>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</si>
  <si>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</si>
  <si>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</si>
  <si>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</si>
  <si>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</si>
  <si>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</si>
  <si>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</si>
  <si>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</si>
  <si>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</si>
  <si>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</si>
  <si>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</si>
  <si>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</si>
  <si>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</si>
  <si>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</si>
  <si>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</si>
  <si>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</si>
  <si>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</si>
  <si>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</si>
  <si>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</si>
  <si>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</si>
  <si>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</si>
  <si>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</si>
  <si>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</si>
  <si>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</si>
  <si>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</si>
  <si>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</si>
  <si>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</si>
  <si>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</si>
  <si>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</si>
  <si>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</si>
  <si>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</si>
  <si>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</si>
  <si>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</si>
  <si>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</si>
  <si>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</si>
  <si>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</si>
  <si>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</si>
  <si>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</si>
  <si>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</si>
  <si>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</si>
  <si>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</si>
  <si>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</si>
  <si>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</si>
  <si>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</si>
  <si>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</si>
  <si>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</si>
  <si>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</si>
  <si>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</si>
  <si>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</si>
  <si>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</si>
  <si>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</si>
  <si>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</si>
  <si>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</si>
  <si>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</si>
  <si>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</si>
  <si>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</si>
  <si>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</si>
  <si>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</si>
  <si>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</si>
  <si>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</si>
  <si>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</si>
  <si>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</si>
  <si>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</si>
  <si>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</si>
  <si>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</si>
  <si>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</si>
  <si>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</si>
  <si>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</si>
  <si>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</si>
  <si>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</si>
  <si>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</si>
  <si>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</si>
  <si>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</si>
  <si>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</si>
  <si>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</si>
  <si>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</si>
  <si>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</si>
  <si>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</si>
  <si>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</si>
  <si>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</si>
  <si>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</si>
  <si>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</si>
  <si>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</si>
  <si>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</si>
  <si>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</si>
  <si>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</si>
  <si>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</si>
  <si>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</si>
  <si>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</si>
  <si>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</si>
  <si>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</si>
  <si>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</si>
  <si>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</si>
  <si>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</si>
  <si>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</si>
  <si>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</si>
  <si>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</si>
  <si>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</si>
  <si>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</si>
  <si>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</si>
  <si>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</si>
  <si>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</si>
  <si>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</si>
  <si>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</si>
  <si>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</si>
  <si>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</si>
  <si>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</si>
  <si>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</si>
  <si>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</si>
  <si>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</si>
  <si>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</si>
  <si>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</si>
  <si>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</si>
  <si>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</si>
  <si>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</si>
  <si>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</si>
  <si>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</si>
  <si>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</si>
  <si>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</si>
  <si>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</si>
  <si>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</si>
  <si>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</si>
  <si>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</si>
  <si>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</si>
  <si>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</si>
  <si>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</si>
  <si>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</si>
  <si>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</si>
  <si>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</si>
  <si>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</si>
  <si>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</si>
  <si>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</si>
  <si>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</si>
  <si>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</si>
  <si>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</si>
  <si>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</si>
  <si>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</si>
  <si>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</si>
  <si>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</si>
  <si>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</si>
  <si>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</si>
  <si>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</si>
  <si>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</si>
  <si>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</si>
  <si>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</si>
  <si>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</si>
  <si>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</si>
  <si>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</si>
  <si>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</si>
  <si>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</si>
  <si>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</si>
  <si>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</si>
  <si>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</si>
  <si>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</si>
  <si>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</si>
  <si>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</si>
  <si>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</si>
  <si>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</si>
  <si>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</si>
  <si>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</si>
  <si>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</si>
  <si>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</si>
  <si>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</si>
  <si>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</si>
  <si>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</si>
  <si>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</si>
  <si>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</si>
  <si>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</si>
  <si>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</si>
  <si>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</si>
  <si>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</si>
  <si>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</si>
  <si>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</si>
  <si>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</si>
  <si>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</si>
  <si>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</si>
  <si>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</si>
  <si>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</si>
  <si>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</si>
  <si>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</si>
  <si>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</si>
  <si>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</si>
  <si>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</si>
  <si>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</si>
  <si>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</si>
  <si>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</si>
  <si>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</si>
  <si>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</si>
  <si>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</si>
  <si>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</si>
  <si>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</si>
  <si>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</si>
  <si>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</si>
  <si>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</si>
  <si>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</si>
  <si>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</si>
  <si>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</si>
  <si>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</si>
  <si>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</si>
  <si>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</si>
  <si>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</si>
  <si>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</si>
  <si>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</si>
  <si>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</si>
  <si>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</si>
  <si>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</si>
  <si>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</si>
  <si>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</si>
  <si>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</si>
  <si>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</si>
  <si>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</si>
  <si>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</si>
  <si>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</si>
  <si>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</si>
  <si>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</si>
  <si>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</si>
  <si>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</si>
  <si>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</si>
  <si>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</si>
  <si>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</si>
  <si>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</si>
  <si>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</si>
  <si>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</si>
  <si>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</si>
  <si>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</si>
  <si>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</si>
  <si>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</si>
  <si>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</si>
  <si>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</si>
  <si>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</si>
  <si>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</si>
  <si>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</si>
  <si>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</si>
  <si>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</si>
  <si>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</si>
  <si>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</si>
  <si>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</si>
  <si>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</si>
  <si>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</si>
  <si>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</si>
  <si>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</si>
  <si>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</si>
  <si>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</si>
  <si>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</si>
  <si>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</si>
  <si>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</si>
  <si>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</si>
  <si>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</si>
  <si>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</si>
  <si>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</si>
  <si>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</si>
  <si>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</si>
  <si>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</si>
  <si>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</si>
  <si>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</si>
  <si>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</si>
  <si>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</si>
  <si>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</si>
  <si>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</si>
  <si>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</si>
  <si>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</si>
  <si>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</si>
  <si>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</si>
  <si>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</si>
  <si>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</si>
  <si>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</si>
  <si>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</si>
  <si>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</si>
  <si>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</si>
  <si>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</si>
  <si>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</si>
  <si>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</si>
  <si>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</si>
  <si>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</si>
  <si>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</si>
  <si>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</si>
  <si>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</si>
  <si>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</si>
  <si>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</si>
  <si>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</si>
  <si>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</si>
  <si>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</si>
  <si>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</si>
  <si>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</si>
  <si>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</si>
  <si>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</si>
  <si>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</si>
  <si>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</si>
  <si>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</si>
  <si>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</si>
  <si>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</si>
  <si>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</si>
  <si>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</si>
  <si>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</si>
  <si>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</si>
  <si>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</si>
  <si>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</si>
  <si>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</si>
  <si>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</si>
  <si>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</si>
  <si>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</si>
  <si>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</si>
  <si>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</si>
  <si>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</si>
  <si>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</si>
  <si>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</si>
  <si>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</si>
  <si>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</si>
  <si>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</si>
  <si>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</si>
  <si>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</si>
  <si>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</si>
  <si>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</si>
  <si>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</si>
  <si>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</si>
  <si>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</si>
  <si>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</si>
  <si>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</si>
  <si>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</si>
  <si>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</si>
  <si>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</si>
  <si>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</si>
  <si>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</si>
  <si>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</si>
  <si>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</si>
  <si>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</si>
  <si>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</si>
  <si>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</si>
  <si>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</si>
  <si>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</si>
  <si>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</si>
  <si>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</si>
  <si>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</si>
  <si>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</si>
  <si>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</si>
  <si>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</si>
  <si>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</si>
  <si>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</si>
  <si>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</si>
  <si>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</si>
  <si>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</si>
  <si>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</si>
  <si>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</si>
  <si>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</si>
  <si>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</si>
  <si>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</si>
  <si>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</si>
  <si>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</si>
  <si>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</si>
  <si>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</si>
  <si>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</si>
  <si>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</si>
  <si>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</si>
  <si>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</si>
  <si>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</si>
  <si>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</si>
  <si>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</si>
  <si>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</si>
  <si>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</si>
  <si>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</si>
  <si>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</si>
  <si>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</si>
  <si>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</si>
  <si>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</si>
  <si>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</si>
  <si>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</si>
  <si>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</si>
  <si>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</si>
  <si>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</si>
  <si>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</si>
  <si>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</si>
  <si>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</si>
  <si>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</si>
  <si>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</si>
  <si>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</si>
  <si>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</si>
  <si>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</si>
  <si>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</si>
  <si>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</si>
  <si>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</si>
  <si>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</si>
  <si>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</si>
  <si>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</si>
  <si>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</si>
  <si>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</si>
  <si>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</si>
  <si>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</si>
  <si>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</si>
  <si>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</si>
  <si>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</si>
  <si>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</si>
  <si>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</si>
  <si>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</si>
  <si>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</si>
  <si>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</si>
  <si>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</si>
  <si>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</si>
  <si>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</si>
  <si>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</si>
  <si>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</si>
  <si>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</si>
  <si>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</si>
  <si>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</si>
  <si>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</si>
  <si>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</si>
  <si>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</si>
  <si>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</si>
  <si>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</si>
  <si>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</si>
  <si>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</si>
  <si>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</si>
  <si>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</si>
  <si>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</si>
  <si>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</si>
  <si>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</si>
  <si>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</si>
  <si>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</si>
  <si>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</si>
  <si>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</si>
  <si>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</si>
  <si>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</si>
  <si>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</si>
  <si>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</si>
  <si>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</si>
  <si>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</si>
  <si>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</si>
  <si>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</si>
  <si>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</si>
  <si>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</si>
  <si>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</si>
  <si>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</si>
  <si>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</si>
  <si>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</si>
  <si>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</si>
  <si>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</si>
  <si>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</si>
  <si>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</si>
  <si>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</si>
  <si>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</si>
  <si>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</si>
  <si>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</si>
  <si>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</si>
  <si>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</si>
  <si>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</si>
  <si>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</si>
  <si>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</si>
  <si>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</si>
  <si>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</si>
  <si>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</si>
  <si>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</si>
  <si>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</si>
  <si>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</si>
  <si>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</si>
  <si>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</si>
  <si>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</si>
  <si>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</si>
  <si>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</si>
  <si>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</si>
  <si>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</si>
  <si>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</si>
  <si>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</si>
  <si>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</si>
  <si>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</si>
  <si>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</si>
  <si>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</si>
  <si>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</si>
  <si>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</si>
  <si>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</si>
  <si>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</si>
  <si>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</si>
  <si>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</si>
  <si>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</si>
  <si>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</si>
  <si>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</si>
  <si>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</si>
  <si>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</si>
  <si>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</si>
  <si>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</si>
  <si>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</si>
  <si>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</si>
  <si>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</si>
  <si>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</si>
  <si>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</si>
  <si>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</si>
  <si>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</si>
  <si>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</si>
  <si>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</si>
  <si>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</si>
  <si>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</si>
  <si>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</si>
  <si>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</si>
  <si>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</si>
  <si>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</si>
  <si>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</si>
  <si>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</si>
  <si>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</si>
  <si>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</si>
  <si>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</si>
  <si>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</si>
  <si>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</si>
  <si>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</si>
  <si>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</si>
  <si>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</si>
  <si>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</si>
  <si>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</si>
  <si>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</si>
  <si>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</si>
  <si>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</si>
  <si>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</si>
  <si>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</si>
  <si>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</si>
  <si>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</si>
  <si>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</si>
  <si>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</si>
  <si>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</si>
  <si>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</si>
  <si>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</si>
  <si>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</si>
  <si>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</si>
  <si>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</si>
  <si>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</si>
  <si>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</si>
  <si>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</si>
  <si>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</si>
  <si>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</si>
  <si>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</si>
  <si>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</si>
  <si>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</si>
  <si>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</si>
  <si>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</si>
  <si>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</si>
  <si>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</si>
  <si>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</si>
  <si>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</si>
  <si>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</si>
  <si>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</si>
  <si>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</si>
  <si>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</si>
  <si>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</si>
  <si>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</si>
  <si>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</si>
  <si>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</si>
  <si>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</si>
  <si>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</si>
  <si>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</si>
  <si>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</si>
  <si>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</si>
  <si>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</si>
  <si>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</si>
  <si>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</si>
  <si>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</si>
  <si>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</si>
  <si>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</si>
  <si>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</si>
  <si>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</si>
  <si>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</si>
  <si>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</si>
  <si>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</si>
  <si>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</si>
  <si>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</si>
  <si>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</si>
  <si>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</si>
  <si>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</si>
  <si>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</si>
  <si>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</si>
  <si>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</si>
  <si>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</si>
  <si>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</si>
  <si>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</si>
  <si>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</si>
  <si>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</si>
  <si>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</si>
  <si>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</si>
  <si>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</si>
  <si>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</si>
  <si>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</si>
  <si>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</si>
  <si>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</si>
  <si>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</si>
  <si>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</si>
  <si>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</si>
  <si>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</si>
  <si>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</si>
  <si>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</si>
  <si>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</si>
  <si>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</si>
  <si>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</si>
  <si>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</si>
  <si>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</si>
  <si>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</si>
  <si>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</si>
  <si>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</si>
  <si>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</si>
  <si>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</si>
  <si>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</si>
  <si>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</si>
  <si>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</si>
  <si>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</si>
  <si>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</si>
  <si>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</si>
  <si>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</si>
  <si>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</si>
  <si>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</si>
  <si>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</si>
  <si>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</si>
  <si>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</si>
  <si>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</si>
  <si>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</si>
  <si>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</si>
  <si>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</si>
  <si>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</si>
  <si>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</si>
  <si>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</si>
  <si>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</si>
  <si>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</si>
  <si>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</si>
  <si>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</si>
  <si>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</si>
  <si>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</si>
  <si>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</si>
  <si>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</si>
  <si>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</si>
  <si>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</si>
  <si>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</si>
  <si>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</si>
  <si>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</si>
  <si>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</si>
  <si>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</si>
  <si>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</si>
  <si>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</si>
  <si>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</si>
  <si>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</si>
  <si>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</si>
  <si>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</si>
  <si>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</si>
  <si>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</si>
  <si>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</si>
  <si>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</si>
  <si>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</si>
  <si>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</si>
  <si>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</si>
  <si>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</si>
  <si>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</si>
  <si>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</si>
  <si>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</si>
  <si>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</si>
  <si>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</si>
  <si>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</si>
  <si>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</si>
  <si>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</si>
  <si>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</si>
  <si>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</si>
  <si>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</si>
  <si>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</si>
  <si>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</si>
  <si>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</si>
  <si>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</si>
  <si>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</si>
  <si>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</si>
  <si>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</si>
  <si>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</si>
  <si>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</si>
  <si>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</si>
  <si>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</si>
  <si>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</si>
  <si>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</si>
  <si>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</si>
  <si>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</si>
  <si>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</si>
  <si>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</si>
  <si>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</si>
  <si>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</si>
  <si>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</si>
  <si>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</si>
  <si>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</si>
  <si>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</si>
  <si>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</si>
  <si>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</si>
  <si>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</si>
  <si>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</si>
  <si>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</si>
  <si>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</si>
  <si>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</si>
  <si>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</si>
  <si>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</si>
  <si>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</si>
  <si>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</si>
  <si>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</si>
  <si>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</si>
  <si>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</si>
  <si>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</si>
  <si>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</si>
  <si>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</si>
  <si>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</si>
  <si>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</si>
  <si>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</si>
  <si>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</si>
  <si>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</si>
  <si>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</si>
  <si>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</si>
  <si>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</si>
  <si>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</si>
  <si>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</si>
  <si>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</si>
  <si>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</si>
  <si>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</si>
  <si>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</si>
  <si>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</si>
  <si>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</si>
  <si>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</si>
  <si>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</si>
  <si>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</si>
  <si>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</si>
  <si>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</si>
  <si>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</si>
  <si>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</si>
  <si>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</si>
  <si>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</si>
  <si>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</si>
  <si>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</si>
  <si>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</si>
  <si>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</si>
  <si>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</si>
  <si>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</si>
  <si>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</si>
  <si>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</si>
  <si>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</si>
  <si>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</si>
  <si>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</si>
  <si>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</si>
  <si>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</si>
  <si>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</si>
  <si>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</si>
  <si>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</si>
  <si>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</si>
  <si>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</si>
  <si>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</si>
  <si>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</si>
  <si>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</si>
  <si>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</si>
  <si>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</si>
  <si>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</si>
  <si>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</si>
  <si>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</si>
  <si>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</si>
  <si>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</si>
  <si>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</si>
  <si>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</si>
  <si>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</si>
  <si>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</si>
  <si>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</si>
  <si>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</si>
  <si>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</si>
  <si>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</si>
  <si>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</si>
  <si>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</si>
  <si>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</si>
  <si>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</si>
  <si>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</si>
  <si>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</si>
  <si>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</si>
  <si>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</si>
  <si>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</si>
  <si>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</si>
  <si>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</si>
  <si>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</si>
  <si>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</si>
  <si>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</si>
  <si>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</si>
  <si>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</si>
  <si>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</si>
  <si>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</si>
  <si>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</si>
  <si>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</si>
  <si>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</si>
  <si>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</si>
  <si>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</si>
  <si>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</si>
  <si>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</si>
  <si>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</si>
  <si>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</si>
  <si>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</si>
  <si>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</si>
  <si>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</si>
  <si>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</si>
  <si>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</si>
  <si>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</si>
  <si>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</si>
  <si>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</si>
  <si>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</si>
  <si>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</si>
  <si>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</si>
  <si>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</si>
  <si>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</si>
  <si>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</si>
  <si>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</si>
  <si>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</si>
  <si>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</si>
  <si>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</si>
  <si>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</si>
  <si>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</si>
  <si>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</si>
  <si>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</si>
  <si>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</si>
  <si>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</si>
  <si>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</si>
  <si>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</si>
  <si>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</si>
  <si>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</si>
  <si>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</si>
  <si>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</si>
  <si>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</si>
  <si>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</si>
  <si>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</si>
  <si>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</si>
  <si>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</si>
  <si>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</si>
  <si>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</si>
  <si>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</si>
  <si>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</si>
  <si>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</si>
  <si>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</si>
  <si>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</si>
  <si>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</si>
  <si>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</si>
  <si>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</si>
  <si>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</si>
  <si>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</si>
  <si>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</si>
  <si>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</si>
  <si>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</si>
  <si>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</si>
  <si>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</si>
  <si>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</si>
  <si>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</si>
  <si>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</si>
  <si>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</si>
  <si>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</si>
  <si>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</si>
  <si>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</si>
  <si>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</si>
  <si>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</si>
  <si>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</si>
  <si>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</si>
  <si>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</si>
  <si>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</si>
  <si>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</si>
  <si>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</si>
  <si>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</si>
  <si>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</si>
  <si>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</si>
  <si>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</si>
  <si>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</si>
  <si>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</si>
  <si>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</si>
  <si>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</si>
  <si>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</si>
  <si>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</si>
  <si>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</si>
  <si>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</si>
  <si>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</si>
  <si>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</si>
  <si>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</si>
  <si>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</si>
  <si>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</si>
  <si>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</si>
  <si>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</si>
  <si>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</si>
  <si>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</si>
  <si>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</si>
  <si>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</si>
  <si>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</si>
  <si>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</si>
  <si>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</si>
  <si>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</si>
  <si>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</si>
  <si>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</si>
  <si>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</si>
  <si>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</si>
  <si>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</si>
  <si>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</si>
  <si>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</si>
  <si>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</si>
  <si>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</si>
  <si>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</si>
  <si>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</si>
  <si>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</si>
  <si>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</si>
  <si>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</si>
  <si>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</si>
  <si>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</si>
  <si>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</si>
  <si>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</si>
  <si>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</si>
  <si>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</si>
  <si>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</si>
  <si>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</si>
  <si>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</si>
  <si>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</si>
  <si>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</si>
  <si>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</si>
  <si>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</si>
  <si>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</si>
  <si>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</si>
  <si>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</si>
  <si>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</si>
  <si>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</si>
  <si>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</si>
  <si>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</si>
  <si>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</si>
  <si>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</si>
  <si>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</si>
  <si>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</si>
  <si>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</si>
  <si>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</si>
  <si>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</si>
  <si>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</si>
  <si>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</si>
  <si>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</si>
  <si>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</si>
  <si>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</si>
  <si>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</si>
  <si>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</si>
  <si>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</si>
  <si>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</si>
  <si>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</si>
  <si>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</si>
  <si>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</si>
  <si>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</si>
  <si>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결선 작업 / 격벽 설치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</si>
  <si>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</si>
  <si>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</si>
  <si>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</si>
  <si>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</t>
    <phoneticPr fontId="2" type="noConversion"/>
  </si>
  <si>
    <t>격벽 설치 / 현장 확인</t>
    <phoneticPr fontId="2" type="noConversion"/>
  </si>
  <si>
    <t>HIO(1)</t>
    <phoneticPr fontId="2" type="noConversion"/>
  </si>
  <si>
    <t>HIO(1), 동아(2)</t>
    <phoneticPr fontId="2" type="noConversion"/>
  </si>
  <si>
    <t>김동명</t>
    <phoneticPr fontId="2" type="noConversion"/>
  </si>
  <si>
    <t xml:space="preserve"> 결선 작업 / PUNCH 조치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</si>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</sst>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3"/>
  <sheetViews>
    <sheetView showGridLines="0" topLeftCell="A381" zoomScaleNormal="100" workbookViewId="0">
      <selection activeCell="B394" sqref="B394:K39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5932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5931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5930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5916</v>
      </c>
      <c r="I346" s="726" t="s">
        <v>202</v>
      </c>
      <c r="J346" s="728" t="s">
        <v>5917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5929</v>
      </c>
      <c r="K347" s="125" t="s">
        <v>3265</v>
      </c>
      <c r="L347" s="468" t="s">
        <v>4379</v>
      </c>
      <c r="M347" s="464">
        <v>3</v>
      </c>
      <c r="N347" s="727"/>
      <c r="O347" s="445" t="s">
        <v>5928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5896</v>
      </c>
      <c r="F348" s="463">
        <v>3307</v>
      </c>
      <c r="G348" s="468" t="s">
        <v>1328</v>
      </c>
      <c r="H348" s="462" t="s">
        <v>5897</v>
      </c>
      <c r="I348" s="462" t="s">
        <v>5898</v>
      </c>
      <c r="J348" s="462" t="s">
        <v>686</v>
      </c>
      <c r="K348" s="125" t="s">
        <v>5899</v>
      </c>
      <c r="L348" s="468" t="s">
        <v>5900</v>
      </c>
      <c r="M348" s="464">
        <v>4</v>
      </c>
      <c r="N348" s="726"/>
      <c r="O348" s="445" t="s">
        <v>5927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5896</v>
      </c>
      <c r="F349" s="463">
        <v>3307</v>
      </c>
      <c r="G349" s="468" t="s">
        <v>1328</v>
      </c>
      <c r="H349" s="462" t="s">
        <v>5897</v>
      </c>
      <c r="I349" s="462" t="s">
        <v>5898</v>
      </c>
      <c r="J349" s="462" t="s">
        <v>686</v>
      </c>
      <c r="K349" s="125" t="s">
        <v>5899</v>
      </c>
      <c r="L349" s="468" t="s">
        <v>5900</v>
      </c>
      <c r="M349" s="464">
        <v>4</v>
      </c>
      <c r="N349" s="31"/>
      <c r="O349" s="445" t="s">
        <v>5927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5914</v>
      </c>
      <c r="M353" s="464">
        <v>1</v>
      </c>
      <c r="N353" s="726"/>
      <c r="O353" s="436" t="s">
        <v>5915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5916</v>
      </c>
      <c r="I354" s="726" t="s">
        <v>202</v>
      </c>
      <c r="J354" s="728" t="s">
        <v>5918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5933</v>
      </c>
      <c r="D355" s="3" t="s">
        <v>5934</v>
      </c>
      <c r="E355" s="463" t="s">
        <v>5935</v>
      </c>
      <c r="F355" s="463">
        <v>7064</v>
      </c>
      <c r="G355" s="468" t="s">
        <v>5936</v>
      </c>
      <c r="H355" s="728" t="s">
        <v>5937</v>
      </c>
      <c r="I355" s="726"/>
      <c r="J355" s="728" t="s">
        <v>5938</v>
      </c>
      <c r="K355" s="125" t="s">
        <v>15</v>
      </c>
      <c r="L355" s="16" t="s">
        <v>5914</v>
      </c>
      <c r="M355" s="8">
        <v>4</v>
      </c>
      <c r="N355" s="726"/>
      <c r="O355" s="436" t="s">
        <v>5939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5896</v>
      </c>
      <c r="F356" s="463">
        <v>3307</v>
      </c>
      <c r="G356" s="468" t="s">
        <v>1328</v>
      </c>
      <c r="H356" s="462" t="s">
        <v>5897</v>
      </c>
      <c r="I356" s="462" t="s">
        <v>5898</v>
      </c>
      <c r="J356" s="462" t="s">
        <v>686</v>
      </c>
      <c r="K356" s="125" t="s">
        <v>5899</v>
      </c>
      <c r="L356" s="468" t="s">
        <v>5900</v>
      </c>
      <c r="M356" s="464">
        <v>4</v>
      </c>
      <c r="N356" s="430"/>
      <c r="O356" s="445" t="s">
        <v>5927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5902</v>
      </c>
      <c r="K357" s="125" t="s">
        <v>3265</v>
      </c>
      <c r="L357" s="468" t="s">
        <v>4379</v>
      </c>
      <c r="M357" s="464">
        <v>2</v>
      </c>
      <c r="N357" s="430"/>
      <c r="O357" s="436" t="s">
        <v>5903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5983</v>
      </c>
      <c r="G358" s="468" t="s">
        <v>4091</v>
      </c>
      <c r="H358" s="462" t="s">
        <v>6005</v>
      </c>
      <c r="I358" s="463" t="s">
        <v>5904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5905</v>
      </c>
      <c r="P358" s="572"/>
    </row>
    <row r="359" spans="1:16" s="17" customFormat="1" ht="33" customHeight="1">
      <c r="A359" s="432"/>
      <c r="B359" s="370">
        <v>46175</v>
      </c>
      <c r="C359" s="3" t="s">
        <v>5933</v>
      </c>
      <c r="D359" s="3" t="s">
        <v>5934</v>
      </c>
      <c r="E359" s="463" t="s">
        <v>5935</v>
      </c>
      <c r="F359" s="463">
        <v>7064</v>
      </c>
      <c r="G359" s="468" t="s">
        <v>5936</v>
      </c>
      <c r="H359" s="728" t="s">
        <v>5937</v>
      </c>
      <c r="I359" s="726"/>
      <c r="J359" s="728" t="s">
        <v>5938</v>
      </c>
      <c r="K359" s="125" t="s">
        <v>15</v>
      </c>
      <c r="L359" s="16" t="s">
        <v>5914</v>
      </c>
      <c r="M359" s="8">
        <v>4</v>
      </c>
      <c r="N359" s="726"/>
      <c r="O359" s="436" t="s">
        <v>5939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6047</v>
      </c>
      <c r="I360" s="773" t="s">
        <v>6048</v>
      </c>
      <c r="J360" s="775" t="s">
        <v>6049</v>
      </c>
      <c r="K360" s="125" t="s">
        <v>6045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5896</v>
      </c>
      <c r="F362" s="463">
        <v>3307</v>
      </c>
      <c r="G362" s="468" t="s">
        <v>1328</v>
      </c>
      <c r="H362" s="462" t="s">
        <v>5897</v>
      </c>
      <c r="I362" s="462" t="s">
        <v>5898</v>
      </c>
      <c r="J362" s="462" t="s">
        <v>686</v>
      </c>
      <c r="K362" s="125" t="s">
        <v>5899</v>
      </c>
      <c r="L362" s="468" t="s">
        <v>5900</v>
      </c>
      <c r="M362" s="464">
        <v>4</v>
      </c>
      <c r="N362" s="726"/>
      <c r="O362" s="445" t="s">
        <v>5927</v>
      </c>
      <c r="P362" s="572"/>
    </row>
    <row r="363" spans="1:16" s="17" customFormat="1" ht="33" customHeight="1">
      <c r="A363" s="432"/>
      <c r="B363" s="401">
        <v>46177</v>
      </c>
      <c r="C363" s="3" t="s">
        <v>5906</v>
      </c>
      <c r="D363" s="3" t="s">
        <v>14</v>
      </c>
      <c r="E363" s="463" t="s">
        <v>5907</v>
      </c>
      <c r="F363" s="463" t="s">
        <v>5908</v>
      </c>
      <c r="G363" s="468" t="s">
        <v>6028</v>
      </c>
      <c r="H363" s="462" t="s">
        <v>5910</v>
      </c>
      <c r="I363" s="463" t="s">
        <v>5911</v>
      </c>
      <c r="J363" s="463" t="s">
        <v>6002</v>
      </c>
      <c r="K363" s="125" t="s">
        <v>5899</v>
      </c>
      <c r="L363" s="468" t="s">
        <v>5913</v>
      </c>
      <c r="M363" s="464">
        <v>4</v>
      </c>
      <c r="N363" s="31"/>
      <c r="O363" s="440" t="s">
        <v>6003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5896</v>
      </c>
      <c r="F364" s="463">
        <v>3307</v>
      </c>
      <c r="G364" s="468" t="s">
        <v>1328</v>
      </c>
      <c r="H364" s="462" t="s">
        <v>5897</v>
      </c>
      <c r="I364" s="462" t="s">
        <v>5898</v>
      </c>
      <c r="J364" s="462" t="s">
        <v>686</v>
      </c>
      <c r="K364" s="125" t="s">
        <v>5899</v>
      </c>
      <c r="L364" s="468" t="s">
        <v>5900</v>
      </c>
      <c r="M364" s="464">
        <v>4</v>
      </c>
      <c r="N364" s="31"/>
      <c r="O364" s="445" t="s">
        <v>5927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6030</v>
      </c>
      <c r="H365" s="775" t="s">
        <v>6050</v>
      </c>
      <c r="I365" s="773" t="s">
        <v>6048</v>
      </c>
      <c r="J365" s="775" t="s">
        <v>6051</v>
      </c>
      <c r="K365" s="125" t="s">
        <v>6045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6052</v>
      </c>
      <c r="I366" s="773" t="s">
        <v>6048</v>
      </c>
      <c r="J366" s="775" t="s">
        <v>6053</v>
      </c>
      <c r="K366" s="125" t="s">
        <v>6054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5896</v>
      </c>
      <c r="F367" s="463">
        <v>3307</v>
      </c>
      <c r="G367" s="468" t="s">
        <v>1328</v>
      </c>
      <c r="H367" s="462" t="s">
        <v>5897</v>
      </c>
      <c r="I367" s="462" t="s">
        <v>5898</v>
      </c>
      <c r="J367" s="462" t="s">
        <v>686</v>
      </c>
      <c r="K367" s="125" t="s">
        <v>5899</v>
      </c>
      <c r="L367" s="468" t="s">
        <v>5900</v>
      </c>
      <c r="M367" s="464">
        <v>4</v>
      </c>
      <c r="N367" s="31"/>
      <c r="O367" s="445" t="s">
        <v>5927</v>
      </c>
      <c r="P367" s="572"/>
    </row>
    <row r="368" spans="1:16" s="17" customFormat="1" ht="33" customHeight="1">
      <c r="A368" s="432"/>
      <c r="B368" s="370">
        <v>46178</v>
      </c>
      <c r="C368" s="4" t="s">
        <v>5919</v>
      </c>
      <c r="D368" s="4" t="s">
        <v>5920</v>
      </c>
      <c r="E368" s="31" t="s">
        <v>5921</v>
      </c>
      <c r="F368" s="31" t="s">
        <v>5922</v>
      </c>
      <c r="G368" s="16" t="s">
        <v>553</v>
      </c>
      <c r="H368" s="193" t="s">
        <v>5980</v>
      </c>
      <c r="I368" s="31"/>
      <c r="J368" s="728" t="s">
        <v>5926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5919</v>
      </c>
      <c r="D369" s="4" t="s">
        <v>5920</v>
      </c>
      <c r="E369" s="726" t="s">
        <v>5921</v>
      </c>
      <c r="F369" s="726" t="s">
        <v>5922</v>
      </c>
      <c r="G369" s="16" t="s">
        <v>5923</v>
      </c>
      <c r="H369" s="728" t="s">
        <v>5925</v>
      </c>
      <c r="I369" s="726"/>
      <c r="J369" s="728" t="s">
        <v>5926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6028</v>
      </c>
      <c r="H370" s="462" t="s">
        <v>5910</v>
      </c>
      <c r="I370" s="463" t="s">
        <v>90</v>
      </c>
      <c r="J370" s="463" t="s">
        <v>6027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6013</v>
      </c>
      <c r="E371" s="757" t="s">
        <v>6014</v>
      </c>
      <c r="F371" s="463" t="s">
        <v>4939</v>
      </c>
      <c r="G371" s="16" t="s">
        <v>6030</v>
      </c>
      <c r="H371" s="758" t="s">
        <v>6016</v>
      </c>
      <c r="I371" s="757" t="s">
        <v>6055</v>
      </c>
      <c r="J371" s="758" t="s">
        <v>6029</v>
      </c>
      <c r="K371" s="125" t="s">
        <v>6017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5896</v>
      </c>
      <c r="F372" s="463">
        <v>3307</v>
      </c>
      <c r="G372" s="468" t="s">
        <v>1328</v>
      </c>
      <c r="H372" s="462" t="s">
        <v>5897</v>
      </c>
      <c r="I372" s="462" t="s">
        <v>5898</v>
      </c>
      <c r="J372" s="462" t="s">
        <v>686</v>
      </c>
      <c r="K372" s="125" t="s">
        <v>5899</v>
      </c>
      <c r="L372" s="468" t="s">
        <v>5900</v>
      </c>
      <c r="M372" s="464">
        <v>4</v>
      </c>
      <c r="N372" s="31"/>
      <c r="O372" s="445" t="s">
        <v>5927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6022</v>
      </c>
      <c r="D374" s="3" t="s">
        <v>6023</v>
      </c>
      <c r="E374" s="463" t="s">
        <v>6024</v>
      </c>
      <c r="F374" s="462" t="s">
        <v>6033</v>
      </c>
      <c r="G374" s="468" t="s">
        <v>6021</v>
      </c>
      <c r="H374" s="462" t="s">
        <v>6031</v>
      </c>
      <c r="I374" s="773" t="s">
        <v>90</v>
      </c>
      <c r="J374" s="608" t="s">
        <v>6025</v>
      </c>
      <c r="K374" s="136" t="s">
        <v>15</v>
      </c>
      <c r="L374" s="16" t="s">
        <v>6026</v>
      </c>
      <c r="M374" s="8">
        <v>2</v>
      </c>
      <c r="N374" s="608" t="s">
        <v>6099</v>
      </c>
      <c r="O374" s="439" t="s">
        <v>6032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6033</v>
      </c>
      <c r="G375" s="16" t="s">
        <v>37</v>
      </c>
      <c r="H375" s="775" t="s">
        <v>6011</v>
      </c>
      <c r="I375" s="773" t="s">
        <v>90</v>
      </c>
      <c r="J375" s="773" t="s">
        <v>6025</v>
      </c>
      <c r="K375" s="136" t="s">
        <v>15</v>
      </c>
      <c r="L375" s="16" t="s">
        <v>6026</v>
      </c>
      <c r="M375" s="8">
        <v>2</v>
      </c>
      <c r="N375" s="773"/>
      <c r="O375" s="439" t="s">
        <v>6032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6008</v>
      </c>
      <c r="G376" s="468" t="s">
        <v>6009</v>
      </c>
      <c r="H376" s="462" t="s">
        <v>6101</v>
      </c>
      <c r="I376" s="463" t="s">
        <v>6020</v>
      </c>
      <c r="J376" s="463" t="s">
        <v>6100</v>
      </c>
      <c r="K376" s="136" t="s">
        <v>5991</v>
      </c>
      <c r="L376" s="468" t="s">
        <v>5900</v>
      </c>
      <c r="M376" s="464">
        <v>3</v>
      </c>
      <c r="N376" s="463"/>
      <c r="O376" s="466" t="s">
        <v>6104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5896</v>
      </c>
      <c r="F377" s="463">
        <v>3307</v>
      </c>
      <c r="G377" s="468" t="s">
        <v>1328</v>
      </c>
      <c r="H377" s="462" t="s">
        <v>5897</v>
      </c>
      <c r="I377" s="462" t="s">
        <v>5898</v>
      </c>
      <c r="J377" s="462" t="s">
        <v>686</v>
      </c>
      <c r="K377" s="125" t="s">
        <v>5899</v>
      </c>
      <c r="L377" s="468" t="s">
        <v>5900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6038</v>
      </c>
      <c r="D378" s="3" t="s">
        <v>6039</v>
      </c>
      <c r="E378" s="463" t="s">
        <v>6040</v>
      </c>
      <c r="F378" s="463" t="s">
        <v>6041</v>
      </c>
      <c r="G378" s="468" t="s">
        <v>6042</v>
      </c>
      <c r="H378" s="462" t="s">
        <v>6043</v>
      </c>
      <c r="I378" s="463"/>
      <c r="J378" s="462" t="s">
        <v>6044</v>
      </c>
      <c r="K378" s="125" t="s">
        <v>6045</v>
      </c>
      <c r="L378" s="468" t="s">
        <v>5262</v>
      </c>
      <c r="M378" s="464">
        <v>1</v>
      </c>
      <c r="N378" s="773"/>
      <c r="O378" s="445" t="s">
        <v>6046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6056</v>
      </c>
      <c r="I379" s="463" t="s">
        <v>6057</v>
      </c>
      <c r="J379" s="462" t="s">
        <v>6058</v>
      </c>
      <c r="K379" s="125" t="s">
        <v>6059</v>
      </c>
      <c r="L379" s="468">
        <v>9080</v>
      </c>
      <c r="M379" s="464">
        <v>2</v>
      </c>
      <c r="N379" s="773"/>
      <c r="O379" s="445" t="s">
        <v>6072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6008</v>
      </c>
      <c r="G380" s="468" t="s">
        <v>6009</v>
      </c>
      <c r="H380" s="462" t="s">
        <v>6102</v>
      </c>
      <c r="I380" s="463" t="s">
        <v>6020</v>
      </c>
      <c r="J380" s="463" t="s">
        <v>6103</v>
      </c>
      <c r="K380" s="136" t="s">
        <v>15</v>
      </c>
      <c r="L380" s="468" t="s">
        <v>5262</v>
      </c>
      <c r="M380" s="464">
        <v>2</v>
      </c>
      <c r="N380" s="465"/>
      <c r="O380" s="445" t="s">
        <v>6072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5896</v>
      </c>
      <c r="F381" s="463">
        <v>3307</v>
      </c>
      <c r="G381" s="468" t="s">
        <v>1328</v>
      </c>
      <c r="H381" s="462" t="s">
        <v>5897</v>
      </c>
      <c r="I381" s="462" t="s">
        <v>5898</v>
      </c>
      <c r="J381" s="462" t="s">
        <v>686</v>
      </c>
      <c r="K381" s="125" t="s">
        <v>5899</v>
      </c>
      <c r="L381" s="468" t="s">
        <v>5900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513">
        <v>46182</v>
      </c>
      <c r="C382" s="183" t="s">
        <v>21</v>
      </c>
      <c r="D382" s="183" t="s">
        <v>6013</v>
      </c>
      <c r="E382" s="316" t="s">
        <v>6014</v>
      </c>
      <c r="F382" s="316" t="s">
        <v>4939</v>
      </c>
      <c r="G382" s="387" t="s">
        <v>6015</v>
      </c>
      <c r="H382" s="238" t="s">
        <v>6019</v>
      </c>
      <c r="I382" s="316"/>
      <c r="J382" s="238"/>
      <c r="K382" s="239" t="s">
        <v>6017</v>
      </c>
      <c r="L382" s="387" t="s">
        <v>6018</v>
      </c>
      <c r="M382" s="754">
        <v>1</v>
      </c>
      <c r="N382" s="757"/>
      <c r="O382" s="445"/>
      <c r="P382" s="572"/>
    </row>
    <row r="383" spans="1:16" s="17" customFormat="1" ht="33" customHeight="1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6028</v>
      </c>
      <c r="H383" s="775" t="s">
        <v>6061</v>
      </c>
      <c r="I383" s="773" t="s">
        <v>6067</v>
      </c>
      <c r="J383" s="775" t="s">
        <v>6066</v>
      </c>
      <c r="K383" s="125" t="s">
        <v>6062</v>
      </c>
      <c r="L383" s="16" t="s">
        <v>6063</v>
      </c>
      <c r="M383" s="8">
        <v>2</v>
      </c>
      <c r="N383" s="773"/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6102</v>
      </c>
      <c r="I384" s="463" t="s">
        <v>6020</v>
      </c>
      <c r="J384" s="463" t="s">
        <v>6103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>
      <c r="A385" s="432"/>
      <c r="B385" s="401">
        <v>46183</v>
      </c>
      <c r="C385" s="3"/>
      <c r="D385" s="3"/>
      <c r="E385" s="463"/>
      <c r="F385" s="463"/>
      <c r="G385" s="468"/>
      <c r="H385" s="775"/>
      <c r="I385" s="773"/>
      <c r="J385" s="775"/>
      <c r="K385" s="125"/>
      <c r="L385" s="16"/>
      <c r="M385" s="8">
        <v>1</v>
      </c>
      <c r="N385" s="773" t="s">
        <v>6098</v>
      </c>
      <c r="O385" s="445"/>
      <c r="P385" s="572"/>
    </row>
    <row r="386" spans="1:16" s="17" customFormat="1" ht="33" customHeight="1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6056</v>
      </c>
      <c r="I386" s="463" t="s">
        <v>6057</v>
      </c>
      <c r="J386" s="462" t="s">
        <v>6060</v>
      </c>
      <c r="K386" s="125" t="s">
        <v>6059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>
      <c r="A387" s="618"/>
      <c r="B387" s="401">
        <v>46183</v>
      </c>
      <c r="C387" s="3" t="s">
        <v>24</v>
      </c>
      <c r="D387" s="3" t="s">
        <v>31</v>
      </c>
      <c r="E387" s="463" t="s">
        <v>6006</v>
      </c>
      <c r="F387" s="463">
        <v>3306</v>
      </c>
      <c r="G387" s="468" t="s">
        <v>1328</v>
      </c>
      <c r="H387" s="462" t="s">
        <v>5897</v>
      </c>
      <c r="I387" s="462" t="s">
        <v>5898</v>
      </c>
      <c r="J387" s="462" t="s">
        <v>686</v>
      </c>
      <c r="K387" s="125" t="s">
        <v>5899</v>
      </c>
      <c r="L387" s="468" t="s">
        <v>5900</v>
      </c>
      <c r="M387" s="464">
        <v>4</v>
      </c>
      <c r="N387" s="609"/>
      <c r="O387" s="438"/>
      <c r="P387" s="572"/>
    </row>
    <row r="388" spans="1:16" s="17" customFormat="1" ht="33" customHeight="1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6012</v>
      </c>
      <c r="I388" s="608" t="s">
        <v>5994</v>
      </c>
      <c r="J388" s="773"/>
      <c r="K388" s="136" t="s">
        <v>15</v>
      </c>
      <c r="L388" s="16" t="s">
        <v>6026</v>
      </c>
      <c r="M388" s="8">
        <v>1</v>
      </c>
      <c r="N388" s="608"/>
      <c r="O388" s="440"/>
      <c r="P388" s="572"/>
    </row>
    <row r="389" spans="1:16" s="17" customFormat="1" ht="33" customHeight="1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6056</v>
      </c>
      <c r="I389" s="463" t="s">
        <v>6057</v>
      </c>
      <c r="J389" s="462" t="s">
        <v>6060</v>
      </c>
      <c r="K389" s="125" t="s">
        <v>6059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>
      <c r="A390" s="618"/>
      <c r="B390" s="370">
        <v>46184</v>
      </c>
      <c r="C390" s="3" t="s">
        <v>24</v>
      </c>
      <c r="D390" s="3" t="s">
        <v>31</v>
      </c>
      <c r="E390" s="463" t="s">
        <v>5901</v>
      </c>
      <c r="F390" s="463">
        <v>3306</v>
      </c>
      <c r="G390" s="468" t="s">
        <v>1328</v>
      </c>
      <c r="H390" s="462" t="s">
        <v>5897</v>
      </c>
      <c r="I390" s="462" t="s">
        <v>5898</v>
      </c>
      <c r="J390" s="462" t="s">
        <v>686</v>
      </c>
      <c r="K390" s="125" t="s">
        <v>5899</v>
      </c>
      <c r="L390" s="468" t="s">
        <v>5900</v>
      </c>
      <c r="M390" s="464">
        <v>4</v>
      </c>
      <c r="N390" s="609"/>
      <c r="O390" s="438"/>
      <c r="P390" s="572"/>
    </row>
    <row r="391" spans="1:16" s="17" customFormat="1" ht="33" customHeight="1">
      <c r="A391" s="618"/>
      <c r="B391" s="401">
        <v>46184</v>
      </c>
      <c r="C391" s="4" t="s">
        <v>29</v>
      </c>
      <c r="D391" s="4" t="s">
        <v>5890</v>
      </c>
      <c r="E391" s="291" t="s">
        <v>5891</v>
      </c>
      <c r="F391" s="608" t="s">
        <v>5892</v>
      </c>
      <c r="G391" s="16" t="s">
        <v>5893</v>
      </c>
      <c r="H391" s="612" t="s">
        <v>5894</v>
      </c>
      <c r="I391" s="608" t="s">
        <v>5895</v>
      </c>
      <c r="J391" s="608"/>
      <c r="K391" s="125"/>
      <c r="L391" s="16" t="s">
        <v>6034</v>
      </c>
      <c r="M391" s="8">
        <v>1</v>
      </c>
      <c r="N391" s="608"/>
      <c r="O391" s="440"/>
      <c r="P391" s="572"/>
    </row>
    <row r="392" spans="1:16" s="17" customFormat="1" ht="33" customHeight="1">
      <c r="A392" s="618"/>
      <c r="B392" s="401">
        <v>46185</v>
      </c>
      <c r="C392" s="3" t="s">
        <v>24</v>
      </c>
      <c r="D392" s="3" t="s">
        <v>31</v>
      </c>
      <c r="E392" s="463" t="s">
        <v>5901</v>
      </c>
      <c r="F392" s="463">
        <v>3306</v>
      </c>
      <c r="G392" s="468" t="s">
        <v>1328</v>
      </c>
      <c r="H392" s="462" t="s">
        <v>5897</v>
      </c>
      <c r="I392" s="462" t="s">
        <v>5898</v>
      </c>
      <c r="J392" s="462" t="s">
        <v>686</v>
      </c>
      <c r="K392" s="125" t="s">
        <v>5899</v>
      </c>
      <c r="L392" s="468" t="s">
        <v>5900</v>
      </c>
      <c r="M392" s="464">
        <v>4</v>
      </c>
      <c r="N392" s="608" t="s">
        <v>6097</v>
      </c>
      <c r="O392" s="437"/>
      <c r="P392" s="572"/>
    </row>
    <row r="393" spans="1:16" s="17" customFormat="1" ht="33" customHeight="1">
      <c r="A393" s="432"/>
      <c r="B393" s="401">
        <v>46185</v>
      </c>
      <c r="C393" s="3" t="s">
        <v>21</v>
      </c>
      <c r="D393" s="3" t="s">
        <v>14</v>
      </c>
      <c r="E393" s="463" t="s">
        <v>1893</v>
      </c>
      <c r="F393" s="463" t="s">
        <v>4939</v>
      </c>
      <c r="G393" s="468" t="s">
        <v>482</v>
      </c>
      <c r="H393" s="462" t="s">
        <v>6056</v>
      </c>
      <c r="I393" s="463" t="s">
        <v>6057</v>
      </c>
      <c r="J393" s="462" t="s">
        <v>6060</v>
      </c>
      <c r="K393" s="125" t="s">
        <v>6059</v>
      </c>
      <c r="L393" s="468">
        <v>9080</v>
      </c>
      <c r="M393" s="464">
        <v>4</v>
      </c>
      <c r="N393" s="773"/>
      <c r="O393" s="437"/>
      <c r="P393" s="572"/>
    </row>
    <row r="394" spans="1:16" s="17" customFormat="1" ht="33" customHeight="1">
      <c r="A394" s="618"/>
      <c r="B394" s="401">
        <v>46185</v>
      </c>
      <c r="C394" s="4" t="s">
        <v>6106</v>
      </c>
      <c r="D394" s="4" t="s">
        <v>6039</v>
      </c>
      <c r="E394" s="773" t="s">
        <v>6107</v>
      </c>
      <c r="F394" s="773" t="s">
        <v>6108</v>
      </c>
      <c r="G394" s="16" t="s">
        <v>6109</v>
      </c>
      <c r="H394" s="775" t="s">
        <v>6110</v>
      </c>
      <c r="I394" s="463" t="s">
        <v>6037</v>
      </c>
      <c r="J394" s="468" t="s">
        <v>6036</v>
      </c>
      <c r="K394" s="468" t="s">
        <v>6059</v>
      </c>
      <c r="L394" s="468" t="s">
        <v>6131</v>
      </c>
      <c r="M394" s="468">
        <v>2</v>
      </c>
      <c r="N394" s="608"/>
      <c r="O394" s="436" t="s">
        <v>6154</v>
      </c>
      <c r="P394" s="572"/>
    </row>
    <row r="395" spans="1:16" s="17" customFormat="1" ht="33" customHeight="1">
      <c r="A395" s="619"/>
      <c r="B395" s="370">
        <v>46186</v>
      </c>
      <c r="C395" s="4"/>
      <c r="D395" s="4"/>
      <c r="E395" s="608"/>
      <c r="F395" s="608"/>
      <c r="G395" s="16"/>
      <c r="H395" s="612"/>
      <c r="I395" s="612"/>
      <c r="J395" s="612"/>
      <c r="K395" s="125"/>
      <c r="L395" s="16"/>
      <c r="M395" s="8"/>
      <c r="N395" s="612"/>
      <c r="O395" s="446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5625</v>
      </c>
      <c r="B397" s="401">
        <v>46188</v>
      </c>
      <c r="C397" s="4" t="s">
        <v>21</v>
      </c>
      <c r="D397" s="4" t="s">
        <v>6127</v>
      </c>
      <c r="E397" s="608" t="s">
        <v>6130</v>
      </c>
      <c r="F397" s="773" t="s">
        <v>6128</v>
      </c>
      <c r="G397" s="16" t="s">
        <v>6129</v>
      </c>
      <c r="H397" s="612" t="s">
        <v>6137</v>
      </c>
      <c r="I397" s="608" t="s">
        <v>6037</v>
      </c>
      <c r="J397" s="608" t="s">
        <v>6135</v>
      </c>
      <c r="K397" s="125" t="s">
        <v>6054</v>
      </c>
      <c r="L397" s="16" t="s">
        <v>6131</v>
      </c>
      <c r="M397" s="8">
        <v>3</v>
      </c>
      <c r="N397" s="608"/>
      <c r="O397" s="439"/>
      <c r="P397" s="572"/>
    </row>
    <row r="398" spans="1:16" s="17" customFormat="1" ht="33" customHeight="1">
      <c r="A398" s="618"/>
      <c r="B398" s="401">
        <v>46188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5897</v>
      </c>
      <c r="I398" s="462" t="s">
        <v>5898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17</v>
      </c>
      <c r="E399" s="463" t="s">
        <v>4836</v>
      </c>
      <c r="F399" s="463">
        <v>3306</v>
      </c>
      <c r="G399" s="468" t="s">
        <v>1328</v>
      </c>
      <c r="H399" s="462" t="s">
        <v>5897</v>
      </c>
      <c r="I399" s="462" t="s">
        <v>5898</v>
      </c>
      <c r="J399" s="462" t="s">
        <v>686</v>
      </c>
      <c r="K399" s="125" t="s">
        <v>15</v>
      </c>
      <c r="L399" s="468" t="s">
        <v>5262</v>
      </c>
      <c r="M399" s="464">
        <v>4</v>
      </c>
      <c r="N399" s="773"/>
      <c r="O399" s="439"/>
      <c r="P399" s="572"/>
    </row>
    <row r="400" spans="1:16" s="17" customFormat="1" ht="33" customHeight="1">
      <c r="A400" s="618"/>
      <c r="B400" s="401">
        <v>46189</v>
      </c>
      <c r="C400" s="4" t="s">
        <v>21</v>
      </c>
      <c r="D400" s="4" t="s">
        <v>6127</v>
      </c>
      <c r="E400" s="773" t="s">
        <v>6130</v>
      </c>
      <c r="F400" s="773" t="s">
        <v>6128</v>
      </c>
      <c r="G400" s="16" t="s">
        <v>6129</v>
      </c>
      <c r="H400" s="775" t="s">
        <v>6136</v>
      </c>
      <c r="I400" s="773"/>
      <c r="J400" s="773" t="s">
        <v>6133</v>
      </c>
      <c r="K400" s="125" t="s">
        <v>6054</v>
      </c>
      <c r="L400" s="16" t="s">
        <v>6131</v>
      </c>
      <c r="M400" s="8">
        <v>2</v>
      </c>
      <c r="N400" s="463"/>
      <c r="O400" s="439"/>
      <c r="P400" s="572"/>
    </row>
    <row r="401" spans="1:16" s="17" customFormat="1" ht="33" customHeight="1">
      <c r="A401" s="618"/>
      <c r="B401" s="401">
        <v>46189</v>
      </c>
      <c r="C401" s="3" t="s">
        <v>6112</v>
      </c>
      <c r="D401" s="3" t="s">
        <v>6113</v>
      </c>
      <c r="E401" s="462" t="s">
        <v>6114</v>
      </c>
      <c r="F401" s="773" t="s">
        <v>6117</v>
      </c>
      <c r="G401" s="16" t="s">
        <v>6121</v>
      </c>
      <c r="H401" s="775" t="s">
        <v>6120</v>
      </c>
      <c r="I401" s="773"/>
      <c r="J401" s="775" t="s">
        <v>6115</v>
      </c>
      <c r="K401" s="125" t="s">
        <v>6054</v>
      </c>
      <c r="L401" s="16" t="s">
        <v>6111</v>
      </c>
      <c r="M401" s="8">
        <v>2</v>
      </c>
      <c r="N401" s="463"/>
      <c r="O401" s="439" t="s">
        <v>6122</v>
      </c>
      <c r="P401" s="572"/>
    </row>
    <row r="402" spans="1:16" s="17" customFormat="1" ht="33" customHeight="1">
      <c r="A402" s="618"/>
      <c r="B402" s="401">
        <v>46190</v>
      </c>
      <c r="C402" s="4" t="s">
        <v>21</v>
      </c>
      <c r="D402" s="4" t="s">
        <v>6127</v>
      </c>
      <c r="E402" s="773" t="s">
        <v>6130</v>
      </c>
      <c r="F402" s="773" t="s">
        <v>6128</v>
      </c>
      <c r="G402" s="16" t="s">
        <v>6129</v>
      </c>
      <c r="H402" s="775" t="s">
        <v>6132</v>
      </c>
      <c r="I402" s="773"/>
      <c r="J402" s="773" t="s">
        <v>6133</v>
      </c>
      <c r="K402" s="125" t="s">
        <v>6054</v>
      </c>
      <c r="L402" s="16" t="s">
        <v>6131</v>
      </c>
      <c r="M402" s="8">
        <v>3</v>
      </c>
      <c r="N402" s="463" t="s">
        <v>6140</v>
      </c>
      <c r="O402" s="439"/>
      <c r="P402" s="572"/>
    </row>
    <row r="403" spans="1:16" s="17" customFormat="1" ht="33" customHeight="1">
      <c r="A403" s="618"/>
      <c r="B403" s="401">
        <v>46190</v>
      </c>
      <c r="C403" s="3" t="s">
        <v>6112</v>
      </c>
      <c r="D403" s="3" t="s">
        <v>6113</v>
      </c>
      <c r="E403" s="462" t="s">
        <v>6114</v>
      </c>
      <c r="F403" s="773" t="s">
        <v>6117</v>
      </c>
      <c r="G403" s="16" t="s">
        <v>6118</v>
      </c>
      <c r="H403" s="775" t="s">
        <v>6119</v>
      </c>
      <c r="I403" s="773"/>
      <c r="J403" s="775" t="s">
        <v>6115</v>
      </c>
      <c r="K403" s="125" t="s">
        <v>6054</v>
      </c>
      <c r="L403" s="16" t="s">
        <v>6111</v>
      </c>
      <c r="M403" s="8">
        <v>2</v>
      </c>
      <c r="N403" s="774"/>
      <c r="O403" s="438" t="s">
        <v>6123</v>
      </c>
      <c r="P403" s="572"/>
    </row>
    <row r="404" spans="1:16" s="17" customFormat="1" ht="33" customHeight="1">
      <c r="A404" s="618"/>
      <c r="B404" s="401">
        <v>46190</v>
      </c>
      <c r="C404" s="3" t="s">
        <v>6038</v>
      </c>
      <c r="D404" s="3" t="s">
        <v>6147</v>
      </c>
      <c r="E404" s="462" t="s">
        <v>6148</v>
      </c>
      <c r="F404" s="773">
        <v>7060</v>
      </c>
      <c r="G404" s="16" t="s">
        <v>6149</v>
      </c>
      <c r="H404" s="775" t="s">
        <v>6150</v>
      </c>
      <c r="I404" s="773" t="s">
        <v>6067</v>
      </c>
      <c r="J404" s="775" t="s">
        <v>6151</v>
      </c>
      <c r="K404" s="125" t="s">
        <v>6059</v>
      </c>
      <c r="L404" s="16" t="s">
        <v>6026</v>
      </c>
      <c r="M404" s="8">
        <v>2</v>
      </c>
      <c r="N404" s="774"/>
      <c r="O404" s="438"/>
      <c r="P404" s="572"/>
    </row>
    <row r="405" spans="1:16" s="17" customFormat="1" ht="40.5">
      <c r="A405" s="618"/>
      <c r="B405" s="401">
        <v>46191</v>
      </c>
      <c r="C405" s="4" t="s">
        <v>21</v>
      </c>
      <c r="D405" s="4" t="s">
        <v>14</v>
      </c>
      <c r="E405" s="291" t="s">
        <v>149</v>
      </c>
      <c r="F405" s="773" t="s">
        <v>4090</v>
      </c>
      <c r="G405" s="16" t="s">
        <v>4091</v>
      </c>
      <c r="H405" s="775" t="s">
        <v>6153</v>
      </c>
      <c r="I405" s="608"/>
      <c r="J405" s="612" t="s">
        <v>6116</v>
      </c>
      <c r="K405" s="125" t="s">
        <v>6054</v>
      </c>
      <c r="L405" s="16" t="s">
        <v>6111</v>
      </c>
      <c r="M405" s="8">
        <v>2</v>
      </c>
      <c r="N405" s="609"/>
      <c r="O405" s="438"/>
      <c r="P405" s="572"/>
    </row>
    <row r="406" spans="1:16" s="17" customFormat="1" ht="33" customHeight="1">
      <c r="A406" s="618"/>
      <c r="B406" s="401">
        <v>46191</v>
      </c>
      <c r="C406" s="4" t="s">
        <v>21</v>
      </c>
      <c r="D406" s="4" t="s">
        <v>6127</v>
      </c>
      <c r="E406" s="773" t="s">
        <v>6130</v>
      </c>
      <c r="F406" s="773" t="s">
        <v>6128</v>
      </c>
      <c r="G406" s="16" t="s">
        <v>6129</v>
      </c>
      <c r="H406" s="775" t="s">
        <v>6141</v>
      </c>
      <c r="I406" s="773" t="s">
        <v>6037</v>
      </c>
      <c r="J406" s="773" t="s">
        <v>6139</v>
      </c>
      <c r="K406" s="125" t="s">
        <v>6054</v>
      </c>
      <c r="L406" s="16" t="s">
        <v>6131</v>
      </c>
      <c r="M406" s="8">
        <v>4</v>
      </c>
      <c r="N406" s="774"/>
      <c r="O406" s="438"/>
      <c r="P406" s="572"/>
    </row>
    <row r="407" spans="1:16" s="17" customFormat="1" ht="33" customHeight="1">
      <c r="A407" s="618"/>
      <c r="B407" s="401">
        <v>46191</v>
      </c>
      <c r="C407" s="3" t="s">
        <v>21</v>
      </c>
      <c r="D407" s="3" t="s">
        <v>14</v>
      </c>
      <c r="E407" s="463" t="s">
        <v>211</v>
      </c>
      <c r="F407" s="463" t="s">
        <v>5754</v>
      </c>
      <c r="G407" s="468" t="s">
        <v>5834</v>
      </c>
      <c r="H407" s="462" t="s">
        <v>6134</v>
      </c>
      <c r="I407" s="773" t="s">
        <v>6067</v>
      </c>
      <c r="J407" s="773" t="s">
        <v>6138</v>
      </c>
      <c r="K407" s="125" t="s">
        <v>6059</v>
      </c>
      <c r="L407" s="16" t="s">
        <v>6131</v>
      </c>
      <c r="M407" s="8">
        <v>2</v>
      </c>
      <c r="N407" s="774"/>
      <c r="O407" s="438"/>
      <c r="P407" s="572"/>
    </row>
    <row r="408" spans="1:16" s="17" customFormat="1" ht="33" customHeight="1">
      <c r="A408" s="618"/>
      <c r="B408" s="401">
        <v>46192</v>
      </c>
      <c r="C408" s="4" t="s">
        <v>21</v>
      </c>
      <c r="D408" s="4" t="s">
        <v>6142</v>
      </c>
      <c r="E408" s="773" t="s">
        <v>6143</v>
      </c>
      <c r="F408" s="773">
        <v>7064</v>
      </c>
      <c r="G408" s="16" t="s">
        <v>6144</v>
      </c>
      <c r="H408" s="775" t="s">
        <v>6145</v>
      </c>
      <c r="I408" s="773"/>
      <c r="J408" s="773" t="s">
        <v>6135</v>
      </c>
      <c r="K408" s="125" t="s">
        <v>6054</v>
      </c>
      <c r="L408" s="16" t="s">
        <v>6146</v>
      </c>
      <c r="M408" s="8">
        <v>2</v>
      </c>
      <c r="N408" s="609"/>
      <c r="O408" s="438"/>
      <c r="P408" s="572"/>
    </row>
    <row r="409" spans="1:16" s="17" customFormat="1" ht="33" customHeight="1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>
      <c r="A411" s="617" t="s">
        <v>5626</v>
      </c>
      <c r="B411" s="401">
        <v>46195</v>
      </c>
      <c r="C411" s="183" t="s">
        <v>21</v>
      </c>
      <c r="D411" s="183" t="s">
        <v>17</v>
      </c>
      <c r="E411" s="316" t="s">
        <v>78</v>
      </c>
      <c r="F411" s="316" t="s">
        <v>3833</v>
      </c>
      <c r="G411" s="387" t="s">
        <v>207</v>
      </c>
      <c r="H411" s="238" t="s">
        <v>5793</v>
      </c>
      <c r="I411" s="316"/>
      <c r="J411" s="238" t="s">
        <v>5831</v>
      </c>
      <c r="K411" s="239" t="s">
        <v>15</v>
      </c>
      <c r="L411" s="387" t="s">
        <v>4550</v>
      </c>
      <c r="M411" s="8"/>
      <c r="N411" s="608"/>
      <c r="O411" s="439"/>
      <c r="P411" s="572"/>
    </row>
    <row r="412" spans="1:16" s="17" customFormat="1" ht="33" customHeight="1">
      <c r="A412" s="618"/>
      <c r="B412" s="401">
        <v>46196</v>
      </c>
      <c r="C412" s="183" t="s">
        <v>21</v>
      </c>
      <c r="D412" s="183" t="s">
        <v>14</v>
      </c>
      <c r="E412" s="316" t="s">
        <v>1787</v>
      </c>
      <c r="F412" s="316" t="s">
        <v>2817</v>
      </c>
      <c r="G412" s="387" t="s">
        <v>23</v>
      </c>
      <c r="H412" s="238" t="s">
        <v>213</v>
      </c>
      <c r="I412" s="316" t="s">
        <v>90</v>
      </c>
      <c r="J412" s="238"/>
      <c r="K412" s="239" t="s">
        <v>15</v>
      </c>
      <c r="L412" s="387" t="s">
        <v>33</v>
      </c>
      <c r="M412" s="754">
        <v>2</v>
      </c>
      <c r="N412" s="608"/>
      <c r="O412" s="439"/>
      <c r="P412" s="572"/>
    </row>
    <row r="413" spans="1:16" s="17" customFormat="1" ht="33" customHeight="1">
      <c r="A413" s="618"/>
      <c r="B413" s="401">
        <v>46196</v>
      </c>
      <c r="C413" s="4" t="s">
        <v>5988</v>
      </c>
      <c r="D413" s="4" t="s">
        <v>5989</v>
      </c>
      <c r="E413" s="291" t="s">
        <v>5987</v>
      </c>
      <c r="F413" s="726" t="s">
        <v>5984</v>
      </c>
      <c r="G413" s="16" t="s">
        <v>5986</v>
      </c>
      <c r="H413" s="728" t="s">
        <v>5985</v>
      </c>
      <c r="I413" s="726" t="s">
        <v>5993</v>
      </c>
      <c r="J413" s="726" t="s">
        <v>5990</v>
      </c>
      <c r="K413" s="125" t="s">
        <v>5991</v>
      </c>
      <c r="L413" s="16" t="s">
        <v>5992</v>
      </c>
      <c r="M413" s="8">
        <v>4</v>
      </c>
      <c r="N413" s="726"/>
      <c r="O413" s="439"/>
      <c r="P413" s="572"/>
    </row>
    <row r="414" spans="1:16" s="17" customFormat="1" ht="33" customHeight="1">
      <c r="A414" s="618"/>
      <c r="B414" s="401">
        <v>46197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46198</v>
      </c>
      <c r="C415" s="183" t="s">
        <v>21</v>
      </c>
      <c r="D415" s="183" t="s">
        <v>14</v>
      </c>
      <c r="E415" s="316" t="s">
        <v>107</v>
      </c>
      <c r="F415" s="316" t="s">
        <v>2959</v>
      </c>
      <c r="G415" s="387" t="s">
        <v>376</v>
      </c>
      <c r="H415" s="238" t="s">
        <v>6105</v>
      </c>
      <c r="I415" s="316" t="s">
        <v>6035</v>
      </c>
      <c r="J415" s="238" t="s">
        <v>6036</v>
      </c>
      <c r="K415" s="239" t="s">
        <v>15</v>
      </c>
      <c r="L415" s="387">
        <v>9080</v>
      </c>
      <c r="M415" s="754">
        <v>2</v>
      </c>
      <c r="N415" s="609"/>
      <c r="O415" s="438"/>
      <c r="P415" s="572"/>
    </row>
    <row r="416" spans="1:16" s="17" customFormat="1" ht="33" customHeight="1">
      <c r="A416" s="618"/>
      <c r="B416" s="401">
        <v>46199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5627</v>
      </c>
      <c r="B419" s="401">
        <v>46202</v>
      </c>
      <c r="C419" s="4"/>
      <c r="D419" s="4"/>
      <c r="E419" s="608"/>
      <c r="F419" s="608"/>
      <c r="G419" s="16"/>
      <c r="H419" s="612"/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46203</v>
      </c>
      <c r="C420" s="4"/>
      <c r="D420" s="4"/>
      <c r="E420" s="291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46204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46205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4108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>
      <c r="A423" s="618"/>
      <c r="B423" s="401">
        <v>46206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843</v>
      </c>
      <c r="H423" s="612" t="s">
        <v>900</v>
      </c>
      <c r="I423" s="608" t="s">
        <v>5473</v>
      </c>
      <c r="J423" s="612" t="s">
        <v>3074</v>
      </c>
      <c r="K423" s="125" t="s">
        <v>15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>
      <c r="A424" s="618"/>
      <c r="B424" s="401">
        <v>46206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142</v>
      </c>
      <c r="H424" s="612" t="s">
        <v>900</v>
      </c>
      <c r="I424" s="608" t="s">
        <v>5473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>
      <c r="A425" s="619"/>
      <c r="B425" s="370">
        <v>46207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>
      <c r="A427" s="617" t="s">
        <v>5628</v>
      </c>
      <c r="B427" s="401">
        <v>46209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46210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>
      <c r="A429" s="618"/>
      <c r="B429" s="401">
        <v>46211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46212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8"/>
      <c r="B431" s="401">
        <v>46213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9"/>
      <c r="B432" s="370">
        <v>46214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>
      <c r="A434" s="617" t="s">
        <v>5629</v>
      </c>
      <c r="B434" s="401">
        <v>46216</v>
      </c>
      <c r="C434" s="4"/>
      <c r="D434" s="4"/>
      <c r="E434" s="608"/>
      <c r="F434" s="608"/>
      <c r="G434" s="16"/>
      <c r="H434" s="612"/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>
      <c r="A435" s="618"/>
      <c r="B435" s="401">
        <v>46217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>
      <c r="A436" s="618"/>
      <c r="B436" s="401">
        <v>46218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>
      <c r="A437" s="618"/>
      <c r="B437" s="401">
        <v>46219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>
      <c r="A438" s="618"/>
      <c r="B438" s="401">
        <v>46220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9"/>
      <c r="B439" s="370">
        <v>46221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>
      <c r="A441" s="617" t="s">
        <v>5630</v>
      </c>
      <c r="B441" s="401">
        <v>46223</v>
      </c>
      <c r="C441" s="4" t="s">
        <v>113</v>
      </c>
      <c r="D441" s="4" t="s">
        <v>2202</v>
      </c>
      <c r="E441" s="668" t="s">
        <v>899</v>
      </c>
      <c r="F441" s="668" t="s">
        <v>1968</v>
      </c>
      <c r="G441" s="16" t="s">
        <v>376</v>
      </c>
      <c r="H441" s="669" t="s">
        <v>4109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46224</v>
      </c>
      <c r="C442" s="4" t="s">
        <v>113</v>
      </c>
      <c r="D442" s="4" t="s">
        <v>2202</v>
      </c>
      <c r="E442" s="668" t="s">
        <v>899</v>
      </c>
      <c r="F442" s="668" t="s">
        <v>1968</v>
      </c>
      <c r="G442" s="16" t="s">
        <v>5358</v>
      </c>
      <c r="H442" s="669" t="s">
        <v>4109</v>
      </c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>
      <c r="A443" s="618"/>
      <c r="B443" s="401">
        <v>46225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46226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8"/>
      <c r="B445" s="401">
        <v>46227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9"/>
      <c r="B446" s="370">
        <v>46228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  <row r="447" spans="1:16" s="17" customFormat="1" ht="33" customHeight="1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5" t="s">
        <v>63</v>
      </c>
      <c r="P447" s="323" t="s">
        <v>123</v>
      </c>
    </row>
    <row r="448" spans="1:16" s="17" customFormat="1" ht="33" customHeight="1">
      <c r="A448" s="617" t="s">
        <v>5631</v>
      </c>
      <c r="B448" s="401">
        <v>46230</v>
      </c>
      <c r="C448" s="4"/>
      <c r="D448" s="4"/>
      <c r="E448" s="608" t="s">
        <v>6152</v>
      </c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46231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39"/>
      <c r="P449" s="572"/>
    </row>
    <row r="450" spans="1:16" s="17" customFormat="1" ht="33" customHeight="1">
      <c r="A450" s="618"/>
      <c r="B450" s="401">
        <v>46232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46233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8"/>
      <c r="B452" s="401">
        <v>46234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>
      <c r="A453" s="619"/>
      <c r="B453" s="370">
        <v>46235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40"/>
      <c r="P45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783" t="s">
        <v>20</v>
      </c>
      <c r="C1453" s="689">
        <v>46172</v>
      </c>
      <c r="D1453" s="660" t="s">
        <v>5940</v>
      </c>
      <c r="E1453" s="660" t="s">
        <v>5941</v>
      </c>
      <c r="F1453" s="661" t="s">
        <v>5942</v>
      </c>
      <c r="G1453" s="661" t="s">
        <v>5943</v>
      </c>
      <c r="H1453" s="664" t="s">
        <v>5944</v>
      </c>
      <c r="I1453" s="725" t="s">
        <v>5945</v>
      </c>
      <c r="J1453" s="661" t="s">
        <v>5949</v>
      </c>
      <c r="K1453" s="725" t="s">
        <v>5946</v>
      </c>
      <c r="L1453" s="678"/>
      <c r="M1453" s="744">
        <v>250000</v>
      </c>
      <c r="N1453" s="785" t="s">
        <v>5948</v>
      </c>
    </row>
    <row r="1454" spans="1:14">
      <c r="A1454" s="756">
        <v>22</v>
      </c>
      <c r="B1454" s="784"/>
      <c r="C1454" s="689">
        <v>46172</v>
      </c>
      <c r="D1454" s="660" t="s">
        <v>5940</v>
      </c>
      <c r="E1454" s="660" t="s">
        <v>5941</v>
      </c>
      <c r="F1454" s="661" t="s">
        <v>5942</v>
      </c>
      <c r="G1454" s="715">
        <v>1517</v>
      </c>
      <c r="H1454" s="715" t="s">
        <v>5947</v>
      </c>
      <c r="I1454" s="716" t="s">
        <v>5963</v>
      </c>
      <c r="J1454" s="737" t="s">
        <v>5950</v>
      </c>
      <c r="K1454" s="725" t="s">
        <v>5946</v>
      </c>
      <c r="L1454" s="678"/>
      <c r="M1454" s="744">
        <v>250000</v>
      </c>
      <c r="N1454" s="786"/>
    </row>
    <row r="1455" spans="1:14">
      <c r="A1455" s="756">
        <v>22</v>
      </c>
      <c r="B1455" s="784"/>
      <c r="C1455" s="689" t="s">
        <v>5956</v>
      </c>
      <c r="D1455" s="660" t="s">
        <v>5940</v>
      </c>
      <c r="E1455" s="660" t="s">
        <v>5941</v>
      </c>
      <c r="F1455" s="661" t="s">
        <v>5942</v>
      </c>
      <c r="G1455" s="715" t="s">
        <v>5957</v>
      </c>
      <c r="H1455" s="715" t="s">
        <v>5958</v>
      </c>
      <c r="I1455" s="716" t="s">
        <v>5959</v>
      </c>
      <c r="J1455" s="737" t="s">
        <v>5960</v>
      </c>
      <c r="K1455" s="717" t="s">
        <v>5961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784"/>
      <c r="C1456" s="689" t="s">
        <v>5964</v>
      </c>
      <c r="D1456" s="660" t="s">
        <v>5940</v>
      </c>
      <c r="E1456" s="660" t="s">
        <v>5941</v>
      </c>
      <c r="F1456" s="661" t="s">
        <v>5942</v>
      </c>
      <c r="G1456" s="715">
        <v>1517</v>
      </c>
      <c r="H1456" s="715" t="s">
        <v>5947</v>
      </c>
      <c r="I1456" s="716" t="s">
        <v>5962</v>
      </c>
      <c r="J1456" s="737" t="s">
        <v>5953</v>
      </c>
      <c r="K1456" s="717" t="s">
        <v>5954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784"/>
      <c r="C1457" s="689" t="s">
        <v>5955</v>
      </c>
      <c r="D1457" s="660" t="s">
        <v>5940</v>
      </c>
      <c r="E1457" s="660" t="s">
        <v>5941</v>
      </c>
      <c r="F1457" s="661" t="s">
        <v>5942</v>
      </c>
      <c r="G1457" s="715">
        <v>7062</v>
      </c>
      <c r="H1457" s="715" t="s">
        <v>5951</v>
      </c>
      <c r="I1457" s="716" t="s">
        <v>5952</v>
      </c>
      <c r="J1457" s="737" t="s">
        <v>5953</v>
      </c>
      <c r="K1457" s="717" t="s">
        <v>5954</v>
      </c>
      <c r="L1457" s="678"/>
      <c r="M1457" s="744">
        <v>500000</v>
      </c>
      <c r="N1457" s="738"/>
    </row>
    <row r="1458" spans="1:14">
      <c r="A1458" s="756">
        <v>22</v>
      </c>
      <c r="B1458" s="784"/>
      <c r="C1458" s="689" t="s">
        <v>5955</v>
      </c>
      <c r="D1458" s="660" t="s">
        <v>5940</v>
      </c>
      <c r="E1458" s="660" t="s">
        <v>5941</v>
      </c>
      <c r="F1458" s="661" t="s">
        <v>5942</v>
      </c>
      <c r="G1458" s="661" t="s">
        <v>5965</v>
      </c>
      <c r="H1458" s="715" t="s">
        <v>5966</v>
      </c>
      <c r="I1458" s="716" t="s">
        <v>5968</v>
      </c>
      <c r="J1458" s="737" t="s">
        <v>5967</v>
      </c>
      <c r="K1458" s="717" t="s">
        <v>5954</v>
      </c>
      <c r="L1458" s="678"/>
      <c r="M1458" s="744">
        <v>500000</v>
      </c>
      <c r="N1458" s="739"/>
    </row>
    <row r="1459" spans="1:14">
      <c r="A1459" s="756">
        <v>22</v>
      </c>
      <c r="B1459" s="783" t="s">
        <v>21</v>
      </c>
      <c r="C1459" s="672">
        <v>46174</v>
      </c>
      <c r="D1459" s="660" t="s">
        <v>5972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5970</v>
      </c>
    </row>
    <row r="1460" spans="1:14">
      <c r="A1460" s="756">
        <v>22</v>
      </c>
      <c r="B1460" s="784"/>
      <c r="C1460" s="672">
        <v>46174</v>
      </c>
      <c r="D1460" s="660" t="s">
        <v>5972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5971</v>
      </c>
    </row>
    <row r="1461" spans="1:14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5902</v>
      </c>
      <c r="L1461" s="678" t="s">
        <v>3265</v>
      </c>
      <c r="M1461" s="719">
        <v>250000</v>
      </c>
      <c r="N1461" s="740" t="s">
        <v>5973</v>
      </c>
    </row>
    <row r="1462" spans="1:14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5969</v>
      </c>
      <c r="G1462" s="661" t="s">
        <v>5797</v>
      </c>
      <c r="H1462" s="664" t="s">
        <v>4091</v>
      </c>
      <c r="I1462" s="591" t="s">
        <v>5981</v>
      </c>
      <c r="J1462" s="661" t="s">
        <v>5904</v>
      </c>
      <c r="K1462" s="725" t="s">
        <v>5885</v>
      </c>
      <c r="L1462" s="660" t="s">
        <v>3265</v>
      </c>
      <c r="M1462" s="719">
        <v>250000</v>
      </c>
      <c r="N1462" s="740" t="s">
        <v>5982</v>
      </c>
    </row>
    <row r="1463" spans="1:14">
      <c r="A1463" s="756">
        <v>22</v>
      </c>
      <c r="B1463" s="784"/>
      <c r="C1463" s="689">
        <v>46177</v>
      </c>
      <c r="D1463" s="660" t="s">
        <v>5906</v>
      </c>
      <c r="E1463" s="660" t="s">
        <v>14</v>
      </c>
      <c r="F1463" s="661" t="s">
        <v>5907</v>
      </c>
      <c r="G1463" s="661" t="s">
        <v>5908</v>
      </c>
      <c r="H1463" s="664" t="s">
        <v>5909</v>
      </c>
      <c r="I1463" s="725" t="s">
        <v>5910</v>
      </c>
      <c r="J1463" s="661" t="s">
        <v>5911</v>
      </c>
      <c r="K1463" s="661" t="s">
        <v>5912</v>
      </c>
      <c r="L1463" s="678" t="s">
        <v>5899</v>
      </c>
      <c r="M1463" s="719">
        <v>600000</v>
      </c>
      <c r="N1463" s="740" t="s">
        <v>5974</v>
      </c>
    </row>
    <row r="1464" spans="1:14">
      <c r="A1464" s="756">
        <v>22</v>
      </c>
      <c r="B1464" s="784"/>
      <c r="C1464" s="672">
        <v>46178</v>
      </c>
      <c r="D1464" s="678" t="s">
        <v>5919</v>
      </c>
      <c r="E1464" s="678" t="s">
        <v>5920</v>
      </c>
      <c r="F1464" s="680" t="s">
        <v>5921</v>
      </c>
      <c r="G1464" s="680" t="s">
        <v>5922</v>
      </c>
      <c r="H1464" s="683" t="s">
        <v>553</v>
      </c>
      <c r="I1464" s="681" t="s">
        <v>5924</v>
      </c>
      <c r="J1464" s="680"/>
      <c r="K1464" s="792" t="s">
        <v>5926</v>
      </c>
      <c r="L1464" s="678" t="s">
        <v>15</v>
      </c>
      <c r="M1464" s="790">
        <v>500000</v>
      </c>
      <c r="N1464" s="740" t="s">
        <v>5975</v>
      </c>
    </row>
    <row r="1465" spans="1:14">
      <c r="A1465" s="756">
        <v>22</v>
      </c>
      <c r="B1465" s="787"/>
      <c r="C1465" s="672">
        <v>46178</v>
      </c>
      <c r="D1465" s="678" t="s">
        <v>5919</v>
      </c>
      <c r="E1465" s="678" t="s">
        <v>5920</v>
      </c>
      <c r="F1465" s="680" t="s">
        <v>5921</v>
      </c>
      <c r="G1465" s="680" t="s">
        <v>5922</v>
      </c>
      <c r="H1465" s="683" t="s">
        <v>5923</v>
      </c>
      <c r="I1465" s="681" t="s">
        <v>5925</v>
      </c>
      <c r="J1465" s="680"/>
      <c r="K1465" s="793"/>
      <c r="L1465" s="678" t="s">
        <v>15</v>
      </c>
      <c r="M1465" s="791"/>
      <c r="N1465" s="740" t="s">
        <v>5976</v>
      </c>
    </row>
    <row r="1466" spans="1:14">
      <c r="A1466" s="1062">
        <v>23</v>
      </c>
      <c r="B1466" s="958" t="s">
        <v>20</v>
      </c>
      <c r="C1466" s="672">
        <v>46179</v>
      </c>
      <c r="D1466" s="660" t="s">
        <v>6075</v>
      </c>
      <c r="E1466" s="660" t="s">
        <v>6076</v>
      </c>
      <c r="F1466" s="661" t="s">
        <v>6077</v>
      </c>
      <c r="G1466" s="661">
        <v>1615</v>
      </c>
      <c r="H1466" s="664" t="s">
        <v>6073</v>
      </c>
      <c r="I1466" s="772" t="s">
        <v>6078</v>
      </c>
      <c r="J1466" s="661" t="s">
        <v>6079</v>
      </c>
      <c r="K1466" s="772" t="s">
        <v>6096</v>
      </c>
      <c r="L1466" s="1061" t="s">
        <v>6081</v>
      </c>
      <c r="M1466" s="768">
        <v>250000</v>
      </c>
      <c r="N1466" s="678" t="s">
        <v>6004</v>
      </c>
    </row>
    <row r="1467" spans="1:14">
      <c r="A1467" s="1062">
        <v>23</v>
      </c>
      <c r="B1467" s="958"/>
      <c r="C1467" s="672" t="s">
        <v>6074</v>
      </c>
      <c r="D1467" s="660" t="s">
        <v>6075</v>
      </c>
      <c r="E1467" s="660" t="s">
        <v>6076</v>
      </c>
      <c r="F1467" s="661" t="s">
        <v>6077</v>
      </c>
      <c r="G1467" s="661">
        <v>1615</v>
      </c>
      <c r="H1467" s="664" t="s">
        <v>6073</v>
      </c>
      <c r="I1467" s="772" t="s">
        <v>6078</v>
      </c>
      <c r="J1467" s="661" t="s">
        <v>6079</v>
      </c>
      <c r="K1467" s="772" t="s">
        <v>6080</v>
      </c>
      <c r="L1467" s="1061" t="s">
        <v>6081</v>
      </c>
      <c r="M1467" s="768">
        <f>250000*5</f>
        <v>1250000</v>
      </c>
      <c r="N1467" s="660"/>
    </row>
    <row r="1468" spans="1:14">
      <c r="A1468" s="1062">
        <v>23</v>
      </c>
      <c r="B1468" s="958"/>
      <c r="C1468" s="672" t="s">
        <v>6082</v>
      </c>
      <c r="D1468" s="660" t="s">
        <v>6075</v>
      </c>
      <c r="E1468" s="660" t="s">
        <v>6076</v>
      </c>
      <c r="F1468" s="661" t="s">
        <v>6077</v>
      </c>
      <c r="G1468" s="766" t="s">
        <v>6083</v>
      </c>
      <c r="H1468" s="766" t="s">
        <v>6084</v>
      </c>
      <c r="I1468" s="767" t="s">
        <v>6085</v>
      </c>
      <c r="J1468" s="678"/>
      <c r="K1468" s="678" t="s">
        <v>6086</v>
      </c>
      <c r="L1468" s="1061" t="s">
        <v>6081</v>
      </c>
      <c r="M1468" s="768">
        <f>250000*2</f>
        <v>500000</v>
      </c>
      <c r="N1468" s="1063"/>
    </row>
    <row r="1469" spans="1:14" ht="24">
      <c r="A1469" s="1062">
        <v>23</v>
      </c>
      <c r="B1469" s="958"/>
      <c r="C1469" s="672" t="s">
        <v>6087</v>
      </c>
      <c r="D1469" s="660" t="s">
        <v>6075</v>
      </c>
      <c r="E1469" s="660" t="s">
        <v>6076</v>
      </c>
      <c r="F1469" s="661" t="s">
        <v>6077</v>
      </c>
      <c r="G1469" s="766" t="s">
        <v>6093</v>
      </c>
      <c r="H1469" s="766" t="s">
        <v>6089</v>
      </c>
      <c r="I1469" s="767" t="s">
        <v>6088</v>
      </c>
      <c r="J1469" s="678"/>
      <c r="K1469" s="678" t="s">
        <v>6094</v>
      </c>
      <c r="L1469" s="1061" t="s">
        <v>6081</v>
      </c>
      <c r="M1469" s="768">
        <f>250000*4</f>
        <v>1000000</v>
      </c>
      <c r="N1469" s="1063"/>
    </row>
    <row r="1470" spans="1:14">
      <c r="A1470" s="1062">
        <v>23</v>
      </c>
      <c r="B1470" s="958"/>
      <c r="C1470" s="672" t="s">
        <v>6090</v>
      </c>
      <c r="D1470" s="660" t="s">
        <v>6075</v>
      </c>
      <c r="E1470" s="660" t="s">
        <v>6076</v>
      </c>
      <c r="F1470" s="661" t="s">
        <v>6077</v>
      </c>
      <c r="G1470" s="766">
        <v>7062</v>
      </c>
      <c r="H1470" s="766" t="s">
        <v>6091</v>
      </c>
      <c r="I1470" s="767" t="s">
        <v>6092</v>
      </c>
      <c r="J1470" s="678"/>
      <c r="K1470" s="678" t="s">
        <v>6095</v>
      </c>
      <c r="L1470" s="1061" t="s">
        <v>6081</v>
      </c>
      <c r="M1470" s="768">
        <f>250000*3</f>
        <v>750000</v>
      </c>
      <c r="N1470" s="1063"/>
    </row>
    <row r="1471" spans="1:14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5909</v>
      </c>
      <c r="I1471" s="462" t="s">
        <v>5910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6004</v>
      </c>
    </row>
    <row r="1472" spans="1:14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5909</v>
      </c>
      <c r="I1472" s="462" t="s">
        <v>5910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6004</v>
      </c>
    </row>
    <row r="1473" spans="1:14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6030</v>
      </c>
      <c r="I1473" s="775" t="s">
        <v>6016</v>
      </c>
      <c r="J1473" s="773" t="s">
        <v>6055</v>
      </c>
      <c r="K1473" s="775" t="s">
        <v>6029</v>
      </c>
      <c r="L1473" s="125" t="s">
        <v>15</v>
      </c>
      <c r="M1473" s="719">
        <v>300000</v>
      </c>
      <c r="N1473" s="678" t="s">
        <v>6004</v>
      </c>
    </row>
    <row r="1474" spans="1:14" ht="27">
      <c r="A1474" s="1062">
        <v>23</v>
      </c>
      <c r="B1474" s="958"/>
      <c r="C1474" s="370">
        <v>46181</v>
      </c>
      <c r="D1474" s="3" t="s">
        <v>6022</v>
      </c>
      <c r="E1474" s="3" t="s">
        <v>6023</v>
      </c>
      <c r="F1474" s="463" t="s">
        <v>6024</v>
      </c>
      <c r="G1474" s="462" t="s">
        <v>6033</v>
      </c>
      <c r="H1474" s="468" t="s">
        <v>6021</v>
      </c>
      <c r="I1474" s="462" t="s">
        <v>6031</v>
      </c>
      <c r="J1474" s="989" t="s">
        <v>90</v>
      </c>
      <c r="K1474" s="989" t="s">
        <v>6025</v>
      </c>
      <c r="L1474" s="136" t="s">
        <v>15</v>
      </c>
      <c r="M1474" s="1060">
        <v>250000</v>
      </c>
      <c r="N1474" s="678"/>
    </row>
    <row r="1475" spans="1:14" ht="27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6033</v>
      </c>
      <c r="H1475" s="16" t="s">
        <v>37</v>
      </c>
      <c r="I1475" s="775" t="s">
        <v>6011</v>
      </c>
      <c r="J1475" s="989"/>
      <c r="K1475" s="989"/>
      <c r="L1475" s="136" t="s">
        <v>15</v>
      </c>
      <c r="M1475" s="1060"/>
      <c r="N1475" s="678"/>
    </row>
    <row r="1476" spans="1:14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6056</v>
      </c>
      <c r="J1476" s="463" t="s">
        <v>6057</v>
      </c>
      <c r="K1476" s="462" t="s">
        <v>6058</v>
      </c>
      <c r="L1476" s="125" t="s">
        <v>6059</v>
      </c>
      <c r="M1476" s="719">
        <v>300000</v>
      </c>
      <c r="N1476" s="678"/>
    </row>
    <row r="1477" spans="1:14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6007</v>
      </c>
      <c r="J1477" s="463" t="s">
        <v>6020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6020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6071</v>
      </c>
      <c r="J1479" s="773"/>
      <c r="K1479" s="775" t="s">
        <v>6068</v>
      </c>
      <c r="L1479" s="125" t="s">
        <v>15</v>
      </c>
      <c r="M1479" s="719">
        <v>300000</v>
      </c>
      <c r="N1479" s="678"/>
    </row>
    <row r="1480" spans="1:14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6028</v>
      </c>
      <c r="I1480" s="775" t="s">
        <v>6061</v>
      </c>
      <c r="J1480" s="773" t="s">
        <v>6070</v>
      </c>
      <c r="K1480" s="775" t="s">
        <v>6069</v>
      </c>
      <c r="L1480" s="125" t="s">
        <v>6062</v>
      </c>
      <c r="M1480" s="719">
        <v>300000</v>
      </c>
      <c r="N1480" s="678"/>
    </row>
    <row r="1481" spans="1:14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6028</v>
      </c>
      <c r="I1481" s="775" t="s">
        <v>6065</v>
      </c>
      <c r="J1481" s="773"/>
      <c r="K1481" s="775" t="s">
        <v>6064</v>
      </c>
      <c r="L1481" s="125" t="s">
        <v>6062</v>
      </c>
      <c r="M1481" s="719">
        <v>300000</v>
      </c>
      <c r="N1481" s="678"/>
    </row>
    <row r="1482" spans="1:14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6056</v>
      </c>
      <c r="J1482" s="463" t="s">
        <v>6057</v>
      </c>
      <c r="K1482" s="462" t="s">
        <v>6060</v>
      </c>
      <c r="L1482" s="125" t="s">
        <v>6059</v>
      </c>
      <c r="M1482" s="719">
        <v>800000</v>
      </c>
      <c r="N1482" s="678"/>
    </row>
    <row r="1483" spans="1:14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6056</v>
      </c>
      <c r="J1483" s="463" t="s">
        <v>6057</v>
      </c>
      <c r="K1483" s="462" t="s">
        <v>6060</v>
      </c>
      <c r="L1483" s="125" t="s">
        <v>6059</v>
      </c>
      <c r="M1483" s="719">
        <v>800000</v>
      </c>
      <c r="N1483" s="678"/>
    </row>
    <row r="1484" spans="1:14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5925</v>
      </c>
      <c r="J1484" s="773" t="s">
        <v>6035</v>
      </c>
      <c r="K1484" s="775" t="s">
        <v>6036</v>
      </c>
      <c r="L1484" s="125" t="s">
        <v>15</v>
      </c>
      <c r="M1484" s="719">
        <v>250000</v>
      </c>
      <c r="N1484" s="678"/>
    </row>
    <row r="1485" spans="1:14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6056</v>
      </c>
      <c r="J1485" s="463" t="s">
        <v>6057</v>
      </c>
      <c r="K1485" s="462" t="s">
        <v>6060</v>
      </c>
      <c r="L1485" s="125" t="s">
        <v>6059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1450000</v>
      </c>
    </row>
    <row r="10" spans="1:4">
      <c r="A10" s="603" t="s">
        <v>4855</v>
      </c>
      <c r="B10" s="603" t="s">
        <v>4856</v>
      </c>
      <c r="C10" s="965" t="s">
        <v>4857</v>
      </c>
      <c r="D10" s="965"/>
    </row>
    <row r="11" spans="1:4">
      <c r="A11" s="603" t="s">
        <v>4858</v>
      </c>
      <c r="B11" s="603">
        <v>4</v>
      </c>
      <c r="C11" s="966">
        <f>'사전품의양식 (12)'!L9</f>
        <v>0</v>
      </c>
      <c r="D11" s="966"/>
    </row>
    <row r="12" spans="1:4">
      <c r="A12" s="603" t="s">
        <v>4859</v>
      </c>
      <c r="B12" s="603">
        <v>9</v>
      </c>
      <c r="C12" s="966">
        <f>'사전품의양식 (12)'!L24</f>
        <v>1450000</v>
      </c>
      <c r="D12" s="966"/>
    </row>
    <row r="13" spans="1:4">
      <c r="A13" s="605" t="s">
        <v>53</v>
      </c>
      <c r="B13" s="605">
        <f>SUM(B11:B12)</f>
        <v>13</v>
      </c>
      <c r="C13" s="967">
        <f>SUM(C11:C12)</f>
        <v>1450000</v>
      </c>
      <c r="D13" s="96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>
      <c r="A18" s="603" t="s">
        <v>5511</v>
      </c>
      <c r="B18" s="604">
        <f>C11-B17</f>
        <v>-250000</v>
      </c>
      <c r="C18" s="604">
        <f>C12-C17</f>
        <v>650000</v>
      </c>
      <c r="D18" s="604">
        <f>SUM(B18:C18)</f>
        <v>400000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1450000</v>
      </c>
      <c r="D19" s="606">
        <f>SUM(D17:D18)</f>
        <v>1450000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8" t="s">
        <v>5978</v>
      </c>
      <c r="B26" s="603" t="s">
        <v>5790</v>
      </c>
      <c r="C26" s="703" t="s">
        <v>5979</v>
      </c>
      <c r="D26" s="702"/>
      <c r="E26" s="702"/>
    </row>
    <row r="27" spans="1:5">
      <c r="A27" s="969"/>
      <c r="B27" s="603" t="s">
        <v>5977</v>
      </c>
      <c r="C27" s="703" t="s">
        <v>5979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37"/>
  <sheetViews>
    <sheetView tabSelected="1" topLeftCell="A2" zoomScale="85" zoomScaleNormal="85" zoomScaleSheetLayoutView="55" workbookViewId="0">
      <selection activeCell="G19" sqref="G19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>
      <c r="A4" s="980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1061"/>
      <c r="L4" s="768"/>
      <c r="M4" s="740"/>
    </row>
    <row r="5" spans="1:13" s="730" customFormat="1" ht="16.5" customHeight="1">
      <c r="A5" s="981"/>
      <c r="B5" s="689"/>
      <c r="C5" s="660"/>
      <c r="D5" s="660"/>
      <c r="E5" s="661"/>
      <c r="F5" s="661"/>
      <c r="G5" s="664"/>
      <c r="H5" s="772"/>
      <c r="I5" s="661"/>
      <c r="J5" s="772"/>
      <c r="K5" s="1061"/>
      <c r="L5" s="768"/>
      <c r="M5" s="769"/>
    </row>
    <row r="6" spans="1:13" s="730" customFormat="1" ht="16.5" customHeight="1">
      <c r="A6" s="981"/>
      <c r="B6" s="689"/>
      <c r="C6" s="660"/>
      <c r="D6" s="660"/>
      <c r="E6" s="661"/>
      <c r="F6" s="715"/>
      <c r="G6" s="715"/>
      <c r="H6" s="716"/>
      <c r="I6" s="737"/>
      <c r="J6" s="717"/>
      <c r="K6" s="1061"/>
      <c r="L6" s="768"/>
      <c r="M6" s="738"/>
    </row>
    <row r="7" spans="1:13" s="730" customFormat="1" ht="16.5" customHeight="1">
      <c r="A7" s="981"/>
      <c r="B7" s="689"/>
      <c r="C7" s="660"/>
      <c r="D7" s="660"/>
      <c r="E7" s="661"/>
      <c r="F7" s="715"/>
      <c r="G7" s="715"/>
      <c r="H7" s="716"/>
      <c r="I7" s="737"/>
      <c r="J7" s="717"/>
      <c r="K7" s="1061"/>
      <c r="L7" s="768"/>
      <c r="M7" s="738"/>
    </row>
    <row r="8" spans="1:13" s="730" customFormat="1">
      <c r="A8" s="981"/>
      <c r="B8" s="689"/>
      <c r="C8" s="660"/>
      <c r="D8" s="660"/>
      <c r="E8" s="661"/>
      <c r="F8" s="715"/>
      <c r="G8" s="715"/>
      <c r="H8" s="716"/>
      <c r="I8" s="737"/>
      <c r="J8" s="717"/>
      <c r="K8" s="1061"/>
      <c r="L8" s="768"/>
      <c r="M8" s="738"/>
    </row>
    <row r="9" spans="1:1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0</v>
      </c>
      <c r="M9" s="740"/>
    </row>
    <row r="10" spans="1:13" ht="13.5">
      <c r="A10" s="980" t="s">
        <v>21</v>
      </c>
      <c r="B10" s="198">
        <v>46181</v>
      </c>
      <c r="C10" s="3" t="s">
        <v>21</v>
      </c>
      <c r="D10" s="3" t="s">
        <v>14</v>
      </c>
      <c r="E10" s="482" t="s">
        <v>149</v>
      </c>
      <c r="F10" s="463" t="s">
        <v>4090</v>
      </c>
      <c r="G10" s="468" t="s">
        <v>4091</v>
      </c>
      <c r="H10" s="462" t="s">
        <v>6126</v>
      </c>
      <c r="I10" s="463" t="s">
        <v>6020</v>
      </c>
      <c r="J10" s="463" t="s">
        <v>6125</v>
      </c>
      <c r="K10" s="136" t="s">
        <v>15</v>
      </c>
      <c r="L10" s="770">
        <v>300000</v>
      </c>
      <c r="M10" s="740" t="s">
        <v>6124</v>
      </c>
    </row>
    <row r="11" spans="1:13" ht="16.5" customHeight="1">
      <c r="A11" s="981"/>
      <c r="B11" s="198">
        <v>46182</v>
      </c>
      <c r="C11" s="3" t="s">
        <v>21</v>
      </c>
      <c r="D11" s="3" t="s">
        <v>14</v>
      </c>
      <c r="E11" s="482" t="s">
        <v>149</v>
      </c>
      <c r="F11" s="463" t="s">
        <v>4090</v>
      </c>
      <c r="G11" s="468" t="s">
        <v>4091</v>
      </c>
      <c r="H11" s="462" t="s">
        <v>6126</v>
      </c>
      <c r="I11" s="463" t="s">
        <v>6020</v>
      </c>
      <c r="J11" s="463" t="s">
        <v>6125</v>
      </c>
      <c r="K11" s="136" t="s">
        <v>15</v>
      </c>
      <c r="L11" s="770">
        <v>300000</v>
      </c>
      <c r="M11" s="740" t="s">
        <v>6124</v>
      </c>
    </row>
    <row r="12" spans="1:13" ht="16.5" customHeight="1">
      <c r="A12" s="981"/>
      <c r="B12" s="198">
        <v>46183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6156</v>
      </c>
      <c r="I12" s="463" t="s">
        <v>6020</v>
      </c>
      <c r="J12" s="463" t="s">
        <v>6125</v>
      </c>
      <c r="K12" s="136" t="s">
        <v>15</v>
      </c>
      <c r="L12" s="770">
        <v>300000</v>
      </c>
      <c r="M12" s="740" t="s">
        <v>6124</v>
      </c>
    </row>
    <row r="13" spans="1:13" ht="16.5" customHeight="1">
      <c r="A13" s="981"/>
      <c r="B13" s="198">
        <v>46184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6155</v>
      </c>
      <c r="I13" s="463" t="s">
        <v>6020</v>
      </c>
      <c r="J13" s="463" t="s">
        <v>6125</v>
      </c>
      <c r="K13" s="136" t="s">
        <v>15</v>
      </c>
      <c r="L13" s="770">
        <v>300000</v>
      </c>
      <c r="M13" s="740" t="s">
        <v>6124</v>
      </c>
    </row>
    <row r="14" spans="1:13" ht="16.5" customHeight="1">
      <c r="A14" s="981"/>
      <c r="B14" s="401">
        <v>46185</v>
      </c>
      <c r="C14" s="4" t="s">
        <v>6106</v>
      </c>
      <c r="D14" s="4" t="s">
        <v>6039</v>
      </c>
      <c r="E14" s="773" t="s">
        <v>6107</v>
      </c>
      <c r="F14" s="773" t="s">
        <v>6108</v>
      </c>
      <c r="G14" s="16" t="s">
        <v>6109</v>
      </c>
      <c r="H14" s="775" t="s">
        <v>6110</v>
      </c>
      <c r="I14" s="463" t="s">
        <v>6037</v>
      </c>
      <c r="J14" s="468" t="s">
        <v>6036</v>
      </c>
      <c r="K14" s="468" t="s">
        <v>6059</v>
      </c>
      <c r="L14" s="719">
        <v>250000</v>
      </c>
      <c r="M14" s="740" t="s">
        <v>6124</v>
      </c>
    </row>
    <row r="15" spans="1:13" ht="16.5" customHeight="1">
      <c r="A15" s="981"/>
      <c r="B15" s="401"/>
      <c r="C15" s="3"/>
      <c r="D15" s="3"/>
      <c r="E15" s="482"/>
      <c r="F15" s="463"/>
      <c r="G15" s="468"/>
      <c r="H15" s="462"/>
      <c r="I15" s="463"/>
      <c r="J15" s="463"/>
      <c r="K15" s="136"/>
      <c r="L15" s="719"/>
      <c r="M15" s="740"/>
    </row>
    <row r="16" spans="1:13" ht="16.5" customHeight="1">
      <c r="A16" s="981"/>
      <c r="B16" s="401"/>
      <c r="C16" s="3"/>
      <c r="D16" s="3"/>
      <c r="E16" s="482"/>
      <c r="F16" s="463"/>
      <c r="G16" s="468"/>
      <c r="H16" s="462"/>
      <c r="I16" s="463"/>
      <c r="J16" s="463"/>
      <c r="K16" s="136"/>
      <c r="L16" s="719"/>
      <c r="M16" s="740"/>
    </row>
    <row r="17" spans="1:13" ht="16.5" customHeight="1">
      <c r="A17" s="981"/>
      <c r="B17" s="401"/>
      <c r="C17" s="4"/>
      <c r="D17" s="4"/>
      <c r="E17" s="773"/>
      <c r="F17" s="463"/>
      <c r="G17" s="16"/>
      <c r="H17" s="775"/>
      <c r="I17" s="773"/>
      <c r="J17" s="775"/>
      <c r="K17" s="125"/>
      <c r="L17" s="719"/>
      <c r="M17" s="740"/>
    </row>
    <row r="18" spans="1:13" ht="16.5" customHeight="1">
      <c r="A18" s="981"/>
      <c r="B18" s="370"/>
      <c r="C18" s="3"/>
      <c r="D18" s="3"/>
      <c r="E18" s="463"/>
      <c r="F18" s="463"/>
      <c r="G18" s="468"/>
      <c r="H18" s="775"/>
      <c r="I18" s="773"/>
      <c r="J18" s="775"/>
      <c r="K18" s="125"/>
      <c r="L18" s="719"/>
      <c r="M18" s="740"/>
    </row>
    <row r="19" spans="1:13" ht="16.5" customHeight="1">
      <c r="A19" s="981"/>
      <c r="B19" s="401"/>
      <c r="C19" s="3"/>
      <c r="D19" s="3"/>
      <c r="E19" s="463"/>
      <c r="F19" s="463"/>
      <c r="G19" s="468"/>
      <c r="H19" s="775"/>
      <c r="I19" s="773"/>
      <c r="J19" s="775"/>
      <c r="K19" s="125"/>
      <c r="L19" s="719"/>
      <c r="M19" s="740"/>
    </row>
    <row r="20" spans="1:13" ht="16.5" customHeight="1">
      <c r="A20" s="981"/>
      <c r="B20" s="401"/>
      <c r="C20" s="3"/>
      <c r="D20" s="3"/>
      <c r="E20" s="463"/>
      <c r="F20" s="463"/>
      <c r="G20" s="468"/>
      <c r="H20" s="462"/>
      <c r="I20" s="463"/>
      <c r="J20" s="462"/>
      <c r="K20" s="125"/>
      <c r="L20" s="719"/>
      <c r="M20" s="740"/>
    </row>
    <row r="21" spans="1:13" ht="16.5" customHeight="1">
      <c r="A21" s="981"/>
      <c r="B21" s="370"/>
      <c r="C21" s="3"/>
      <c r="D21" s="3"/>
      <c r="E21" s="463"/>
      <c r="F21" s="463"/>
      <c r="G21" s="468"/>
      <c r="H21" s="462"/>
      <c r="I21" s="463"/>
      <c r="J21" s="462"/>
      <c r="K21" s="125"/>
      <c r="L21" s="719"/>
      <c r="M21" s="740"/>
    </row>
    <row r="22" spans="1:13" ht="16.5" customHeight="1">
      <c r="A22" s="981"/>
      <c r="B22" s="370"/>
      <c r="C22" s="4"/>
      <c r="D22" s="4"/>
      <c r="E22" s="773"/>
      <c r="F22" s="773"/>
      <c r="G22" s="16"/>
      <c r="H22" s="775"/>
      <c r="I22" s="773"/>
      <c r="J22" s="775"/>
      <c r="K22" s="125"/>
      <c r="L22" s="771"/>
      <c r="M22" s="740"/>
    </row>
    <row r="23" spans="1:13" ht="16.5" customHeight="1">
      <c r="A23" s="981"/>
      <c r="B23" s="401"/>
      <c r="C23" s="3"/>
      <c r="D23" s="3"/>
      <c r="E23" s="463"/>
      <c r="F23" s="463"/>
      <c r="G23" s="468"/>
      <c r="H23" s="462"/>
      <c r="I23" s="463"/>
      <c r="J23" s="462"/>
      <c r="K23" s="125"/>
      <c r="L23" s="771"/>
      <c r="M23" s="740"/>
    </row>
    <row r="24" spans="1:13">
      <c r="A24" s="982"/>
      <c r="B24" s="958" t="s">
        <v>4879</v>
      </c>
      <c r="C24" s="958"/>
      <c r="D24" s="958"/>
      <c r="E24" s="958"/>
      <c r="F24" s="958"/>
      <c r="G24" s="958"/>
      <c r="H24" s="958"/>
      <c r="I24" s="958"/>
      <c r="J24" s="958"/>
      <c r="K24" s="958"/>
      <c r="L24" s="719">
        <f>SUM(L10:L23)</f>
        <v>1450000</v>
      </c>
      <c r="M24" s="740"/>
    </row>
    <row r="25" spans="1:13" ht="25.5" customHeight="1" thickBot="1">
      <c r="A25" s="978" t="s">
        <v>62</v>
      </c>
      <c r="B25" s="979"/>
      <c r="C25" s="979"/>
      <c r="D25" s="979"/>
      <c r="E25" s="979"/>
      <c r="F25" s="979"/>
      <c r="G25" s="979"/>
      <c r="H25" s="979"/>
      <c r="I25" s="979"/>
      <c r="J25" s="979"/>
      <c r="K25" s="979"/>
      <c r="L25" s="741">
        <f>L9+L24</f>
        <v>1450000</v>
      </c>
      <c r="M25" s="742"/>
    </row>
    <row r="26" spans="1:13" ht="26.25" customHeight="1"/>
    <row r="27" spans="1:13" ht="26.25" hidden="1" customHeight="1"/>
    <row r="28" spans="1:13" ht="25.5" hidden="1" customHeight="1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3" ht="16.5" hidden="1" customHeight="1"/>
    <row r="34" spans="1:13" ht="20.100000000000001" hidden="1" customHeight="1">
      <c r="J34" s="732"/>
    </row>
    <row r="37" spans="1:13" ht="28.5" customHeight="1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</sheetData>
  <mergeCells count="17">
    <mergeCell ref="B9:K9"/>
    <mergeCell ref="A25:K25"/>
    <mergeCell ref="B24:K24"/>
    <mergeCell ref="A10:A24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8" t="s">
        <v>5995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5996</v>
      </c>
      <c r="I806" s="750" t="s">
        <v>202</v>
      </c>
      <c r="J806" s="750">
        <v>1</v>
      </c>
      <c r="K806" s="646" t="s">
        <v>50</v>
      </c>
    </row>
    <row r="807" spans="1:11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5997</v>
      </c>
      <c r="I809" s="750" t="s">
        <v>120</v>
      </c>
      <c r="J809" s="752">
        <v>1</v>
      </c>
      <c r="K809" s="646" t="s">
        <v>50</v>
      </c>
    </row>
    <row r="810" spans="1:11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5998</v>
      </c>
      <c r="I810" s="676" t="s">
        <v>5870</v>
      </c>
      <c r="J810" s="676">
        <v>1</v>
      </c>
      <c r="K810" s="646" t="s">
        <v>50</v>
      </c>
    </row>
    <row r="811" spans="1:11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8" t="s">
        <v>6001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5999</v>
      </c>
      <c r="I817" s="750" t="s">
        <v>202</v>
      </c>
      <c r="J817" s="750">
        <v>2</v>
      </c>
      <c r="K817" s="646" t="s">
        <v>50</v>
      </c>
    </row>
    <row r="818" spans="1:12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6000</v>
      </c>
      <c r="I818" s="750" t="s">
        <v>202</v>
      </c>
      <c r="J818" s="750">
        <v>2</v>
      </c>
      <c r="K818" s="646" t="s">
        <v>50</v>
      </c>
    </row>
    <row r="819" spans="1:12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55" t="s">
        <v>6010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8" t="s">
        <v>5386</v>
      </c>
      <c r="I20" s="798"/>
      <c r="J20" s="798"/>
      <c r="K20" s="798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2026-06-11T04:29:47Z</dcterms:modified>
</cp:coreProperties>
</file>