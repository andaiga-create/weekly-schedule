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10" i="129"/>
  <c r="L9" i="129"/>
  <c r="L7" i="129"/>
  <c r="L6" i="129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9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<sst xmlns="http://schemas.openxmlformats.org/spreadsheetml/2006/main" count="19971" uniqueCount="5546">
  <si>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</si>
  <si>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</si>
  <si>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</si>
  <si>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</si>
  <si>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</si>
  <si>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</si>
  <si>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</si>
  <si>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</si>
  <si>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</si>
  <si>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</si>
  <si>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</si>
  <si>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</si>
  <si>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</si>
  <si>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</si>
  <si>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</si>
  <si>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</si>
  <si>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</si>
  <si>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</si>
  <si>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</si>
  <si>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</si>
  <si>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</si>
  <si>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</si>
  <si>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</si>
  <si>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</si>
  <si>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</si>
  <si>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</si>
  <si>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</si>
  <si>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</si>
  <si>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</si>
  <si>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</si>
  <si>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</si>
  <si>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</si>
  <si>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</si>
  <si>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</si>
  <si>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</si>
  <si>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</si>
  <si>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</si>
  <si>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</si>
  <si>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</si>
  <si>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</si>
  <si>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</si>
  <si>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</si>
  <si>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</si>
  <si>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</si>
  <si>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</si>
  <si>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</si>
  <si>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</si>
  <si>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</si>
  <si>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</si>
  <si>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</si>
  <si>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</si>
  <si>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</si>
  <si>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</si>
  <si>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</si>
  <si>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</si>
  <si>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</si>
  <si>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</si>
  <si>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</si>
  <si>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</si>
  <si>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</si>
  <si>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</si>
  <si>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</si>
  <si>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</si>
  <si>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</si>
  <si>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</si>
  <si>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</si>
  <si>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</si>
  <si>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</si>
  <si>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</si>
  <si>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</si>
  <si>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</si>
  <si>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</si>
  <si>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</si>
  <si>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</si>
  <si>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</si>
  <si>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</si>
  <si>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</si>
  <si>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</si>
  <si>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</si>
  <si>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</si>
  <si>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</si>
  <si>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</si>
  <si>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</si>
  <si>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</si>
  <si>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</si>
  <si>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</si>
  <si>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</si>
  <si>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</si>
  <si>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</si>
  <si>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</si>
  <si>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</si>
  <si>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</si>
  <si>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</si>
  <si>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</si>
  <si>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</si>
  <si>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</si>
  <si>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</si>
  <si>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</si>
  <si>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</si>
  <si>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</si>
  <si>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</si>
  <si>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</si>
  <si>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</si>
  <si>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</si>
  <si>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</si>
  <si>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</si>
  <si>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</si>
  <si>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</si>
  <si>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</si>
  <si>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</si>
  <si>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</si>
  <si>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</si>
  <si>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</si>
  <si>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</si>
  <si>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</si>
  <si>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</si>
  <si>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</si>
  <si>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</si>
  <si>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</si>
  <si>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</si>
  <si>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</si>
  <si>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</si>
  <si>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</si>
  <si>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</si>
  <si>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</si>
  <si>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</si>
  <si>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</si>
  <si>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</si>
  <si>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</si>
  <si>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</si>
  <si>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</si>
  <si>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</si>
  <si>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</si>
  <si>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</si>
  <si>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</si>
  <si>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</si>
  <si>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</si>
  <si>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</si>
  <si>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</si>
  <si>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</si>
  <si>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</si>
  <si>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</si>
  <si>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</si>
  <si>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</si>
  <si>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</si>
  <si>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</si>
  <si>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</si>
  <si>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</si>
  <si>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</si>
  <si>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</si>
  <si>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</si>
  <si>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</si>
  <si>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</si>
  <si>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</si>
  <si>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</si>
  <si>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</si>
  <si>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</si>
  <si>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</si>
  <si>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</si>
  <si>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</si>
  <si>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</si>
  <si>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</si>
  <si>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</si>
  <si>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</si>
  <si>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</si>
  <si>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</si>
  <si>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</si>
  <si>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</si>
  <si>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</si>
  <si>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</si>
  <si>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</si>
  <si>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</si>
  <si>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</si>
  <si>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</si>
  <si>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</si>
  <si>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</si>
  <si>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</si>
  <si>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</si>
  <si>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</si>
  <si>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</si>
  <si>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</si>
  <si>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</si>
  <si>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</si>
  <si>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</si>
  <si>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</si>
  <si>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</si>
  <si>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</si>
  <si>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</si>
  <si>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</si>
  <si>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</si>
  <si>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</si>
  <si>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</si>
  <si>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</si>
  <si>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</si>
  <si>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</si>
  <si>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</si>
  <si>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</si>
  <si>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</si>
  <si>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</si>
  <si>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</si>
  <si>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</si>
  <si>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</si>
  <si>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</si>
  <si>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</si>
  <si>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</si>
  <si>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</si>
  <si>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</si>
  <si>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</si>
  <si>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</si>
  <si>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</si>
  <si>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</si>
  <si>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</si>
  <si>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</si>
  <si>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</si>
  <si>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</si>
  <si>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</si>
  <si>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</si>
  <si>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</si>
  <si>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</si>
  <si>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</si>
  <si>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</si>
  <si>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</si>
  <si>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</si>
  <si>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</si>
  <si>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</si>
  <si>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</si>
  <si>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</si>
  <si>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</si>
  <si>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</si>
  <si>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</si>
  <si>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</si>
  <si>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</si>
  <si>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</si>
  <si>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</si>
  <si>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</si>
  <si>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</si>
  <si>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</si>
  <si>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</si>
  <si>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</si>
  <si>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</si>
  <si>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</si>
  <si>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</si>
  <si>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</si>
  <si>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</si>
  <si>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</si>
  <si>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</si>
  <si>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</si>
  <si>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</si>
  <si>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</si>
  <si>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</si>
  <si>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</si>
  <si>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</si>
  <si>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</si>
  <si>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</si>
  <si>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</si>
  <si>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</si>
  <si>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</si>
  <si>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</si>
  <si>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</si>
  <si>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</si>
  <si>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</si>
  <si>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</si>
  <si>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</si>
  <si>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</si>
  <si>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</si>
  <si>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</si>
  <si>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</si>
  <si>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</si>
  <si>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</si>
  <si>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</si>
  <si>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</si>
  <si>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</si>
  <si>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</si>
  <si>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</si>
  <si>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</si>
  <si>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</si>
  <si>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</si>
  <si>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</si>
  <si>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</si>
  <si>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</si>
  <si>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</si>
  <si>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</si>
  <si>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</si>
  <si>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</si>
  <si>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</si>
  <si>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</si>
  <si>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</si>
  <si>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</si>
  <si>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</si>
  <si>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</si>
  <si>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</si>
  <si>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</si>
  <si>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</si>
  <si>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</si>
  <si>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</si>
  <si>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</si>
  <si>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</si>
  <si>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</si>
  <si>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</si>
  <si>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</si>
  <si>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</si>
  <si>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</si>
  <si>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</si>
  <si>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</si>
  <si>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</si>
  <si>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</si>
  <si>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</si>
  <si>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</si>
  <si>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</si>
  <si>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</si>
  <si>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</si>
  <si>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</si>
  <si>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</si>
  <si>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</si>
  <si>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</si>
  <si>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</si>
  <si>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</si>
  <si>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</si>
  <si>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</si>
  <si>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</si>
  <si>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</si>
  <si>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</si>
  <si>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</si>
  <si>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</si>
  <si>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</si>
  <si>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</si>
  <si>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</si>
  <si>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</si>
  <si>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</si>
  <si>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</si>
  <si>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</si>
  <si>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</si>
  <si>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</si>
  <si>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</si>
  <si>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</si>
  <si>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</si>
  <si>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</si>
  <si>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</si>
  <si>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</si>
  <si>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</si>
  <si>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</si>
  <si>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</si>
  <si>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</si>
  <si>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</si>
  <si>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</si>
  <si>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</si>
  <si>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</si>
  <si>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</si>
  <si>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</si>
  <si>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</si>
  <si>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</si>
  <si>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</si>
  <si>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</si>
  <si>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</si>
  <si>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</si>
  <si>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</si>
  <si>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</si>
  <si>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</si>
  <si>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</si>
  <si>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</si>
  <si>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</si>
  <si>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</si>
  <si>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</si>
  <si>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</si>
  <si>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</si>
  <si>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</si>
  <si>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</si>
  <si>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</si>
  <si>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</si>
  <si>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</si>
  <si>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</si>
  <si>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</si>
  <si>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</si>
  <si>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</si>
  <si>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</si>
  <si>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</si>
  <si>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</si>
  <si>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</si>
  <si>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</si>
  <si>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</si>
  <si>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</si>
  <si>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</si>
  <si>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</si>
  <si>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</si>
  <si>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</si>
  <si>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</si>
  <si>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</si>
  <si>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</si>
  <si>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</si>
  <si>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</si>
  <si>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</si>
  <si>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</si>
  <si>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</si>
  <si>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</si>
  <si>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</si>
  <si>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</si>
  <si>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</si>
  <si>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</si>
  <si>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</si>
  <si>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</si>
  <si>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</si>
  <si>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</si>
  <si>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</si>
  <si>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</si>
  <si>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</si>
  <si>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</si>
  <si>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</si>
  <si>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</si>
  <si>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</si>
  <si>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</si>
  <si>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</si>
  <si>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</si>
  <si>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</si>
  <si>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</si>
  <si>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</si>
  <si>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</si>
  <si>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</si>
  <si>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</si>
  <si>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</si>
  <si>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</si>
  <si>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</si>
  <si>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</si>
  <si>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</si>
  <si>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</si>
  <si>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</si>
  <si>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</si>
  <si>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</si>
  <si>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</si>
  <si>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</si>
  <si>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</si>
  <si>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</si>
  <si>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</si>
  <si>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</si>
  <si>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</si>
  <si>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</si>
  <si>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</si>
  <si>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</si>
  <si>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</si>
  <si>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</si>
  <si>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</si>
  <si>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</si>
  <si>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</si>
  <si>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</si>
  <si>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</si>
  <si>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</si>
  <si>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</si>
  <si>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</si>
  <si>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</si>
  <si>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</si>
  <si>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</si>
  <si>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</si>
  <si>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</si>
  <si>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</si>
  <si>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</si>
  <si>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</si>
  <si>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</si>
  <si>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</si>
  <si>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</si>
  <si>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</si>
  <si>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</si>
  <si>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</si>
  <si>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</si>
  <si>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</si>
  <si>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</si>
  <si>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</si>
  <si>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</si>
  <si>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</si>
  <si>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</si>
  <si>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</si>
  <si>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</si>
  <si>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</si>
  <si>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</si>
  <si>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</si>
  <si>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</si>
  <si>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</si>
  <si>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</si>
  <si>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</si>
  <si>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</si>
  <si>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</si>
  <si>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</si>
  <si>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</si>
  <si>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</si>
  <si>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</si>
  <si>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</si>
  <si>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</si>
  <si>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</si>
  <si>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</si>
  <si>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</si>
  <si>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</si>
  <si>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</si>
  <si>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</si>
  <si>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</si>
  <si>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</si>
  <si>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</si>
  <si>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</si>
  <si>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</si>
  <si>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</si>
  <si>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</si>
  <si>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</si>
  <si>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</si>
  <si>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</si>
  <si>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</si>
  <si>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</si>
  <si>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</si>
  <si>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</si>
  <si>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</si>
  <si>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</si>
  <si>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</si>
  <si>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</si>
  <si>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</si>
  <si>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</si>
  <si>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</si>
  <si>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</si>
  <si>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</si>
  <si>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</si>
  <si>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</si>
  <si>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</si>
  <si>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</si>
  <si>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</si>
  <si>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</si>
  <si>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</si>
  <si>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</si>
  <si>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</si>
  <si>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</si>
  <si>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</si>
  <si>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</si>
  <si>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</si>
  <si>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</si>
  <si>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</si>
  <si>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</si>
  <si>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</si>
  <si>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</si>
  <si>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</si>
  <si>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</si>
  <si>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</si>
  <si>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</si>
  <si>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</si>
  <si>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</si>
  <si>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</si>
  <si>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</si>
  <si>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</si>
  <si>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</si>
  <si>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</si>
  <si>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</si>
  <si>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</si>
  <si>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</si>
  <si>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</si>
  <si>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</si>
  <si>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</si>
  <si>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</si>
  <si>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</si>
  <si>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</si>
  <si>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</si>
  <si>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</si>
  <si>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</si>
  <si>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</si>
  <si>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</si>
  <si>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</si>
  <si>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</si>
  <si>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</si>
  <si>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</si>
  <si>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</si>
  <si>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</si>
  <si>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</si>
  <si>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</si>
  <si>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</si>
  <si>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</si>
  <si>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</si>
  <si>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</si>
  <si>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</si>
  <si>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</si>
  <si>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</si>
  <si>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</si>
  <si>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</si>
  <si>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</si>
  <si>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</si>
  <si>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</si>
  <si>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</si>
  <si>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</si>
  <si>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</si>
  <si>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</si>
  <si>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</si>
  <si>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</si>
  <si>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</si>
  <si>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</si>
  <si>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</si>
  <si>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</si>
  <si>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</si>
  <si>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</si>
  <si>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</si>
  <si>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</si>
  <si>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</si>
  <si>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</si>
  <si>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</si>
  <si>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</si>
  <si>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</si>
  <si>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</si>
  <si>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</si>
  <si>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</si>
  <si>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</si>
  <si>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</si>
  <si>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</si>
  <si>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</si>
  <si>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</si>
  <si>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</si>
  <si>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</si>
  <si>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</si>
  <si>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</si>
  <si>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</si>
  <si>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</si>
  <si>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</si>
  <si>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</si>
  <si>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</si>
  <si>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</si>
  <si>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</si>
  <si>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</si>
  <si>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</si>
  <si>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</si>
  <si>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</si>
  <si>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</si>
  <si>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</si>
  <si>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</si>
  <si>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</si>
  <si>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</si>
  <si>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</si>
  <si>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</si>
  <si>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</si>
  <si>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</si>
  <si>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</si>
  <si>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</si>
  <si>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</si>
  <si>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</si>
  <si>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</si>
  <si>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</si>
  <si>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</si>
  <si>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</si>
  <si>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</si>
  <si>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</si>
  <si>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</si>
  <si>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</si>
  <si>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</si>
  <si>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</si>
  <si>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</si>
  <si>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</si>
  <si>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</si>
  <si>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</si>
  <si>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</si>
  <si>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</si>
  <si>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</si>
  <si>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</si>
  <si>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</si>
  <si>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</si>
  <si>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</si>
  <si>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</si>
  <si>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</si>
  <si>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</si>
  <si>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</si>
  <si>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</si>
  <si>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</si>
  <si>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</si>
  <si>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</si>
  <si>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</si>
  <si>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</si>
  <si>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</si>
  <si>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</si>
  <si>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</si>
  <si>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</si>
  <si>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</si>
  <si>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</si>
  <si>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</si>
  <si>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</si>
  <si>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</si>
  <si>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</si>
  <si>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</si>
  <si>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</si>
  <si>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</si>
  <si>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</si>
  <si>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</si>
  <si>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</si>
  <si>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</si>
  <si>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</si>
  <si>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</si>
  <si>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</si>
  <si>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</si>
  <si>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</si>
  <si>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</si>
  <si>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</si>
  <si>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</si>
  <si>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</si>
  <si>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</si>
  <si>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</si>
  <si>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</si>
  <si>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</si>
  <si>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</si>
  <si>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</si>
  <si>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</si>
  <si>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</si>
  <si>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</si>
  <si>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</si>
  <si>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</si>
  <si>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</si>
  <si>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</si>
  <si>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</si>
  <si>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</si>
  <si>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</si>
  <si>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</si>
  <si>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</si>
  <si>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</si>
  <si>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</si>
  <si>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</si>
  <si>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</si>
  <si>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</si>
  <si>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</si>
  <si>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</si>
  <si>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</si>
  <si>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</si>
  <si>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</si>
  <si>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</si>
  <si>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</si>
  <si>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</si>
  <si>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</si>
  <si>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</si>
  <si>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</si>
  <si>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</si>
  <si>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</si>
  <si>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</si>
  <si>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</si>
  <si>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</si>
  <si>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</si>
  <si>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</si>
  <si>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</si>
  <si>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</si>
  <si>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</si>
  <si>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</si>
  <si>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</si>
  <si>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</si>
  <si>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</si>
  <si>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</si>
  <si>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</si>
  <si>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</si>
  <si>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</si>
  <si>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</si>
  <si>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</si>
  <si>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</si>
  <si>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</si>
  <si>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</si>
  <si>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</si>
  <si>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</si>
  <si>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</si>
  <si>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</si>
  <si>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</si>
  <si>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</si>
  <si>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</si>
  <si>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</si>
  <si>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</si>
  <si>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</si>
  <si>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</si>
  <si>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</si>
  <si>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</si>
  <si>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</si>
  <si>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</si>
  <si>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</si>
  <si>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</si>
  <si>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</si>
  <si>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</si>
  <si>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</si>
  <si>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</si>
  <si>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</si>
  <si>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</si>
  <si>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</si>
  <si>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</si>
  <si>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</si>
  <si>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</si>
  <si>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</si>
  <si>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</si>
  <si>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</si>
  <si>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</si>
  <si>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</si>
  <si>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</si>
  <si>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</si>
  <si>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</si>
  <si>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</si>
  <si>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</si>
  <si>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</si>
  <si>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</si>
  <si>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</si>
  <si>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</si>
  <si>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</si>
  <si>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</si>
  <si>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</si>
  <si>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</si>
  <si>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</si>
  <si>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</si>
  <si>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</si>
  <si>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</si>
  <si>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</si>
  <si>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</si>
  <si>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</si>
  <si>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</si>
  <si>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</si>
  <si>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</si>
  <si>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</si>
  <si>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</si>
  <si>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</si>
  <si>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</si>
  <si>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</si>
  <si>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</si>
  <si>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</si>
  <si>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</si>
  <si>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</si>
  <si>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</si>
  <si>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</si>
  <si>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</si>
  <si>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</si>
  <si>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</si>
  <si>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</si>
  <si>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</si>
  <si>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</si>
  <si>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</si>
  <si>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</si>
  <si>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</si>
  <si>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</si>
  <si>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</si>
  <si>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</si>
  <si>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</si>
  <si>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</si>
  <si>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</si>
  <si>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</si>
  <si>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</si>
  <si>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</si>
  <si>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</si>
  <si>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</si>
  <si>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</si>
  <si>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</si>
  <si>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</si>
  <si>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</si>
  <si>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</si>
  <si>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</si>
  <si>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</si>
  <si>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</si>
  <si>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</si>
  <si>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</si>
  <si>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</si>
  <si>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</si>
  <si>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</si>
  <si>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</si>
  <si>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</si>
  <si>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</si>
  <si>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</si>
  <si>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</si>
  <si>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</si>
  <si>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</si>
  <si>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</si>
  <si>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</si>
  <si>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</si>
  <si>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</si>
  <si>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</si>
  <si>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</si>
  <si>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</si>
  <si>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</si>
  <si>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</si>
  <si>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</si>
  <si>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</si>
  <si>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</si>
  <si>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</si>
  <si>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</si>
  <si>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</si>
  <si>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</si>
  <si>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</si>
  <si>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</si>
  <si>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</si>
  <si>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</si>
  <si>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</si>
  <si>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</si>
  <si>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</si>
  <si>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</si>
  <si>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</si>
  <si>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</si>
  <si>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</si>
  <si>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</si>
  <si>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</si>
  <si>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</si>
  <si>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</si>
  <si>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</si>
  <si>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</si>
  <si>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</si>
  <si>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</si>
  <si>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</si>
  <si>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</si>
  <si>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</si>
  <si>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</si>
  <si>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</si>
  <si>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</si>
  <si>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</si>
  <si>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</si>
  <si>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</si>
  <si>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</si>
  <si>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</si>
  <si>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</si>
  <si>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</si>
  <si>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</si>
  <si>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</si>
  <si>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</si>
  <si>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</si>
  <si>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</si>
  <si>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</si>
  <si>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</si>
  <si>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</si>
  <si>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</si>
  <si>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</si>
  <si>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</si>
  <si>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</si>
  <si>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</si>
  <si>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</si>
  <si>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</si>
  <si>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</si>
  <si>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</si>
  <si>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</si>
  <si>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</si>
  <si>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</si>
  <si>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</si>
  <si>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</si>
  <si>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</si>
  <si>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</si>
  <si>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</si>
  <si>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</si>
  <si>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</si>
  <si>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</si>
  <si>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</si>
  <si>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</si>
  <si>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</si>
  <si>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</si>
  <si>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</si>
  <si>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</si>
  <si>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</si>
  <si>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</si>
  <si>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</si>
  <si>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</si>
  <si>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</si>
  <si>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</si>
  <si>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</si>
  <si>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</si>
  <si>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</si>
  <si>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</si>
  <si>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</si>
  <si>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</si>
  <si>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</si>
  <si>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</si>
  <si>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</si>
  <si>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</si>
  <si>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</si>
  <si>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</si>
  <si>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</si>
  <si>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</si>
  <si>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</si>
  <si>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</si>
  <si>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</si>
  <si>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</si>
  <si>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</si>
  <si>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</si>
  <si>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</si>
  <si>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</si>
  <si>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</si>
  <si>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</si>
  <si>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</si>
  <si>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</si>
  <si>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</si>
  <si>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</si>
  <si>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</si>
  <si>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</si>
  <si>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</si>
  <si>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</si>
  <si>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</si>
  <si>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</si>
  <si>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</si>
  <si>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</si>
  <si>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</si>
  <si>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</si>
  <si>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</si>
  <si>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</si>
  <si>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</si>
  <si>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</si>
  <si>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</si>
  <si>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</si>
  <si>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</si>
  <si>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</si>
  <si>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</si>
  <si>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</si>
  <si>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</si>
  <si>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</si>
  <si>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</si>
  <si>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</si>
  <si>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</si>
  <si>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</si>
  <si>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</si>
  <si>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</si>
  <si>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</si>
  <si>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</si>
  <si>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</si>
  <si>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</si>
  <si>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</si>
  <si>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</si>
  <si>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</si>
  <si>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</si>
  <si>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</si>
  <si>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</si>
  <si>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</si>
  <si>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</si>
  <si>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</si>
  <si>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</si>
  <si>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</si>
  <si>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</si>
  <si>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</si>
  <si>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</si>
  <si>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</si>
  <si>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</si>
  <si>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</si>
  <si>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</si>
  <si>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</si>
  <si>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</si>
  <si>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</si>
  <si>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</si>
  <si>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</si>
  <si>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</si>
  <si>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</si>
  <si>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</si>
  <si>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</si>
  <si>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</si>
  <si>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</si>
  <si>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</si>
  <si>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</si>
  <si>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</si>
  <si>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</si>
  <si>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</si>
  <si>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</si>
  <si>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</si>
  <si>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</si>
  <si>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</si>
  <si>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</si>
  <si>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</si>
  <si>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</si>
  <si>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</si>
  <si>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</si>
  <si>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</si>
  <si>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</si>
  <si>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</si>
  <si>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</si>
  <si>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</si>
  <si>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</si>
  <si>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</si>
  <si>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</si>
  <si>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</si>
  <si>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</si>
  <si>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</si>
  <si>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</si>
  <si>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</si>
  <si>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</si>
  <si>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</si>
  <si>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</si>
  <si>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</si>
  <si>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</si>
  <si>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</si>
  <si>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</si>
  <si>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</si>
  <si>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</si>
  <si>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</si>
  <si>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</si>
  <si>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</si>
  <si>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</si>
  <si>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</si>
  <si>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</si>
  <si>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</si>
  <si>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</si>
  <si>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</si>
  <si>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</si>
  <si>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</si>
  <si>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</si>
  <si>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</si>
  <si>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</si>
  <si>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</si>
  <si>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</si>
  <si>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</si>
  <si>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</si>
  <si>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</si>
  <si>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</si>
  <si>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</si>
  <si>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</si>
  <si>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</si>
  <si>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</si>
  <si>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</si>
  <si>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</si>
  <si>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</si>
  <si>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</si>
  <si>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</si>
  <si>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</si>
  <si>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</si>
  <si>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</si>
  <si>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</si>
  <si>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</si>
  <si>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</si>
  <si>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</si>
  <si>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</si>
  <si>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</si>
  <si>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</si>
  <si>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</si>
  <si>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</si>
  <si>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</si>
  <si>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</si>
  <si>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</si>
  <si>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</si>
  <si>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</si>
  <si>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</si>
  <si>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</si>
  <si>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</si>
  <si>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</si>
  <si>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</si>
  <si>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</si>
  <si>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</si>
  <si>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</si>
  <si>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</si>
  <si>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</si>
  <si>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</si>
  <si>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</si>
  <si>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</si>
  <si>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</si>
  <si>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</si>
  <si>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</si>
  <si>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</si>
  <si>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</si>
  <si>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</si>
  <si>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</si>
  <si>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</si>
  <si>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</si>
  <si>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</si>
  <si>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</si>
  <si>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</si>
  <si>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</si>
  <si>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</si>
  <si>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</si>
  <si>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</si>
  <si>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</si>
  <si>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</si>
  <si>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</si>
  <si>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</si>
  <si>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</si>
  <si>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</si>
  <si>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</si>
  <si>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</si>
  <si>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</si>
  <si>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</si>
  <si>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</si>
  <si>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</si>
  <si>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</si>
  <si>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</si>
  <si>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</si>
  <si>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</si>
  <si>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</si>
  <si>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</si>
  <si>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</si>
  <si>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</si>
  <si>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</si>
  <si>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</si>
  <si>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</si>
  <si>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</si>
  <si>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</si>
  <si>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</si>
  <si>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</si>
  <si>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</si>
  <si>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</si>
  <si>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</si>
  <si>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</si>
  <si>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</si>
  <si>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</si>
  <si>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</si>
  <si>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</si>
  <si>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</si>
  <si>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</si>
  <si>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</si>
  <si>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</si>
  <si>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</si>
  <si>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</si>
  <si>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</si>
  <si>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</si>
  <si>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</si>
  <si>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</si>
  <si>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</si>
  <si>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</si>
  <si>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</si>
  <si>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</si>
  <si>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</si>
  <si>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</si>
  <si>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</si>
  <si>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</si>
  <si>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</si>
  <si>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</si>
  <si>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</si>
  <si>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</si>
  <si>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</si>
  <si>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</si>
  <si>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</si>
  <si>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</si>
  <si>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</si>
  <si>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</si>
  <si>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</si>
  <si>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</si>
  <si>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</si>
  <si>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</si>
  <si>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</si>
  <si>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</si>
  <si>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</si>
  <si>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</si>
  <si>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</si>
  <si>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</si>
  <si>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</si>
  <si>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</si>
  <si>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</si>
  <si>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</si>
  <si>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</si>
  <si>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</si>
  <si>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</si>
  <si>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</si>
  <si>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</si>
  <si>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</si>
  <si>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</si>
  <si>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</si>
  <si>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</si>
  <si>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</si>
  <si>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</si>
  <si>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</si>
  <si>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</si>
  <si>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</si>
  <si>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</si>
  <si>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</si>
  <si>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</si>
  <si>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</si>
  <si>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</si>
  <si>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</si>
  <si>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</si>
  <si>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</si>
  <si>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</si>
  <si>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</si>
  <si>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</si>
  <si>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</si>
  <si>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</si>
  <si>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</si>
  <si>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</si>
  <si>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</si>
  <si>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</si>
  <si>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</si>
  <si>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</si>
  <si>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</si>
  <si>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</si>
  <si>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</si>
  <si>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</si>
  <si>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</si>
  <si>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</si>
  <si>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</si>
  <si>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</si>
  <si>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</si>
  <si>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</si>
  <si>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</si>
  <si>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</si>
  <si>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</si>
  <si>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</si>
  <si>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</si>
  <si>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</si>
  <si>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</si>
  <si>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</si>
  <si>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</si>
  <si>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</si>
  <si>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</si>
  <si>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</si>
  <si>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</si>
  <si>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</si>
  <si>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</si>
  <si>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</si>
  <si>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</si>
  <si>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</si>
  <si>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</si>
  <si>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</si>
  <si>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</si>
  <si>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</si>
  <si>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</si>
  <si>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</si>
  <si>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</si>
  <si>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</si>
  <si>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</si>
  <si>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</si>
  <si>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</si>
  <si>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</si>
  <si>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</si>
  <si>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</si>
  <si>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</si>
  <si>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</si>
  <si>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</si>
  <si>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</si>
  <si>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</si>
  <si>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</si>
  <si>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</si>
  <si>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</si>
  <si>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</si>
  <si>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</si>
  <si>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</si>
  <si>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</si>
  <si>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</si>
  <si>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</si>
  <si>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</si>
  <si>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</si>
  <si>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</si>
  <si>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</si>
  <si>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</si>
  <si>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</si>
  <si>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</si>
  <si>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</si>
  <si>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</si>
  <si>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</si>
  <si>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</si>
  <si>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</si>
  <si>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</si>
  <si>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</si>
  <si>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</si>
  <si>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</si>
  <si>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</si>
  <si>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</si>
  <si>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</si>
  <si>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</si>
  <si>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</si>
  <si>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</si>
  <si>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</si>
  <si>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</si>
  <si>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</si>
  <si>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</si>
  <si>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</si>
  <si>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</si>
  <si>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</si>
  <si>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</si>
  <si>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</si>
  <si>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</si>
  <si>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</si>
  <si>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</si>
  <si>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</si>
  <si>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</si>
  <si>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</si>
  <si>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</si>
  <si>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</si>
  <si>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</si>
  <si>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</si>
  <si>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</si>
  <si>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</si>
  <si>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</si>
  <si>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</si>
  <si>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</si>
  <si>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</si>
  <si>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</si>
  <si>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</si>
  <si>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</si>
  <si>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</si>
  <si>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</si>
  <si>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</si>
  <si>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</si>
  <si>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</si>
  <si>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</si>
  <si>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</si>
  <si>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</si>
  <si>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</si>
  <si>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</si>
  <si>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</si>
  <si>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</si>
  <si>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</si>
  <si>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</si>
  <si>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</si>
  <si>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</si>
  <si>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</si>
  <si>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</si>
  <si>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</si>
  <si>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</si>
  <si>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</si>
  <si>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</si>
  <si>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</si>
  <si>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</si>
  <si>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</si>
  <si>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</si>
  <si>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</si>
  <si>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</si>
  <si>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</si>
  <si>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</si>
  <si>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</si>
  <si>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</si>
  <si>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</si>
  <si>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</si>
  <si>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</si>
  <si>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</si>
  <si>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</si>
  <si>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</si>
  <si>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</si>
  <si>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</si>
  <si>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</si>
  <si>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</si>
  <si>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</si>
  <si>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</si>
  <si>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</si>
  <si>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</si>
  <si>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</si>
  <si>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</si>
  <si>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</si>
  <si>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</si>
  <si>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</si>
  <si>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</si>
  <si>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</si>
  <si>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</si>
  <si>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</si>
  <si>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</si>
  <si>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</si>
  <si>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</si>
  <si>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</si>
  <si>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</si>
  <si>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</si>
  <si>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</si>
  <si>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</si>
  <si>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</si>
  <si>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</si>
  <si>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</si>
  <si>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</si>
  <si>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</si>
  <si>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</si>
  <si>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</si>
  <si>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</si>
  <si>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</si>
  <si>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</si>
  <si>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</si>
  <si>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</si>
  <si>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</si>
  <si>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</si>
  <si>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</si>
  <si>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</si>
  <si>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</si>
  <si>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</si>
  <si>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</si>
  <si>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</si>
  <si>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</si>
  <si>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</si>
  <si>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</si>
  <si>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</si>
  <si>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</si>
  <si>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</si>
  <si>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</si>
  <si>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</si>
  <si>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</si>
  <si>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</si>
  <si>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</si>
  <si>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</si>
  <si>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</si>
  <si>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</si>
  <si>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</si>
  <si>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</si>
  <si>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</si>
  <si>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</si>
  <si>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</si>
  <si>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</si>
  <si>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</si>
  <si>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</si>
  <si>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</si>
  <si>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</si>
  <si>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</si>
  <si>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</si>
  <si>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</si>
  <si>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</si>
  <si>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</si>
  <si>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</si>
  <si>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</si>
  <si>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</si>
  <si>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</si>
  <si>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</si>
  <si>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</si>
  <si>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</si>
  <si>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</si>
  <si>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</si>
  <si>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</si>
  <si>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</si>
  <si>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</si>
  <si>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</si>
  <si>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</si>
  <si>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</si>
  <si>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</si>
  <si>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</si>
  <si>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</si>
  <si>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</si>
  <si>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</si>
  <si>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</si>
  <si>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</si>
  <si>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</si>
  <si>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</si>
  <si>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</si>
  <si>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</si>
  <si>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</si>
  <si>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</si>
  <si>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</si>
  <si>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</si>
  <si>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</si>
  <si>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</si>
  <si>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</si>
  <si>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</si>
  <si>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</si>
  <si>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</si>
  <si>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</si>
  <si>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</si>
  <si>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</si>
  <si>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</si>
  <si>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</si>
  <si>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</si>
  <si>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</si>
  <si>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</si>
  <si>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</si>
  <si>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</si>
  <si>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</si>
  <si>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</si>
  <si>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</si>
  <si>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</si>
  <si>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</si>
  <si>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</si>
  <si>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</si>
  <si>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</si>
  <si>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</si>
  <si>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</si>
  <si>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</si>
  <si>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</si>
  <si>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</si>
  <si>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</si>
  <si>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</si>
  <si>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</si>
  <si>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</si>
  <si>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</si>
  <si>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</si>
  <si>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</si>
  <si>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</si>
  <si>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</si>
  <si>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</si>
  <si>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</si>
  <si>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</si>
  <si>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</si>
  <si>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</si>
  <si>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</si>
  <si>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</si>
  <si>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</si>
  <si>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</si>
  <si>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</si>
  <si>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</si>
  <si>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</si>
  <si>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</si>
  <si>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</si>
  <si>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</si>
  <si>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</si>
  <si>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</si>
  <si>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</si>
  <si>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</si>
  <si>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</si>
  <si>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</si>
  <si>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</si>
  <si>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</si>
  <si>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</si>
  <si>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</si>
  <si>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</si>
  <si>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</si>
  <si>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</si>
  <si>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</si>
  <si>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</si>
  <si>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</si>
  <si>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</si>
  <si>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</si>
  <si>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</si>
  <si>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</si>
  <si>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</si>
  <si>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</si>
  <si>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</si>
  <si>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</si>
  <si>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</si>
  <si>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</si>
  <si>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</si>
  <si>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</si>
  <si>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</si>
  <si>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</si>
  <si>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</si>
  <si>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</si>
  <si>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</si>
  <si>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</si>
  <si>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</si>
  <si>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</si>
  <si>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</si>
  <si>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</si>
  <si>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</si>
  <si>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</si>
  <si>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</si>
  <si>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</si>
  <si>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</si>
  <si>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</si>
  <si>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</si>
  <si>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</si>
  <si>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</si>
  <si>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</si>
  <si>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</si>
  <si>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</si>
  <si>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</si>
  <si>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</si>
  <si>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</si>
  <si>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</si>
  <si>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</si>
  <si>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</si>
  <si>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</si>
  <si>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</si>
  <si>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</si>
  <si>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</si>
  <si>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</si>
  <si>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</si>
  <si>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</si>
  <si>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</si>
  <si>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</si>
  <si>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</si>
  <si>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</si>
  <si>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</si>
  <si>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</si>
  <si>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</si>
  <si>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</si>
  <si>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</si>
  <si>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</si>
  <si>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</si>
  <si>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</si>
  <si>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</si>
  <si>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</si>
  <si>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</si>
  <si>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</si>
  <si>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</si>
  <si>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</si>
  <si>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</si>
  <si>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</si>
  <si>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</si>
  <si>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</si>
  <si>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</si>
  <si>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</si>
  <si>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</si>
  <si>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</si>
  <si>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</si>
  <si>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</si>
  <si>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</si>
  <si>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</si>
  <si>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</si>
  <si>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</si>
  <si>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</si>
  <si>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</si>
  <si>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</si>
  <si>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</si>
  <si>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</si>
  <si>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</si>
  <si>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</si>
  <si>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</si>
  <si>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</si>
  <si>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</si>
  <si>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</si>
  <si>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</si>
  <si>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</si>
  <si>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</si>
  <si>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</si>
  <si>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</si>
  <si>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</si>
  <si>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</si>
  <si>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</si>
  <si>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</si>
  <si>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</si>
  <si>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</si>
  <si>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</si>
  <si>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</si>
  <si>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</si>
  <si>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</si>
  <si>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</si>
  <si>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</si>
  <si>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</si>
  <si>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</si>
  <si>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</si>
  <si>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</si>
  <si>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</si>
  <si>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</si>
  <si>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</si>
  <si>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</si>
  <si>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</si>
  <si>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</si>
  <si>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</si>
  <si>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</si>
  <si>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</si>
  <si>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</si>
  <si>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</si>
  <si>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</si>
  <si>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</si>
  <si>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</si>
  <si>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</si>
  <si>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</si>
  <si>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</si>
  <si>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</si>
  <si>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</si>
  <si>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</si>
  <si>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</si>
  <si>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</si>
  <si>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</si>
  <si>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</si>
  <si>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</si>
  <si>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</si>
  <si>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</si>
  <si>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</si>
  <si>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</si>
  <si>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</si>
  <si>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</si>
  <si>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</si>
  <si>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</si>
  <si>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</si>
  <si>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</si>
  <si>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</si>
  <si>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</si>
  <si>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</si>
  <si>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</si>
  <si>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</si>
  <si>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</si>
  <si>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</si>
  <si>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</si>
  <si>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</si>
  <si>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</si>
  <si>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</si>
  <si>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</si>
  <si>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</si>
  <si>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</si>
  <si>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</si>
  <si>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</si>
  <si>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</si>
  <si>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</si>
  <si>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</si>
  <si>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</si>
  <si>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</si>
  <si>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</si>
  <si>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</si>
  <si>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</si>
  <si>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</si>
  <si>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</si>
  <si>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</si>
  <si>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</si>
  <si>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</si>
  <si>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</si>
  <si>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</si>
  <si>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</si>
  <si>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</si>
  <si>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</si>
  <si>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</si>
  <si>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</si>
  <si>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</si>
  <si>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</si>
  <si>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</si>
  <si>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</si>
  <si>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</si>
  <si>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</si>
  <si>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</si>
  <si>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</si>
  <si>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</si>
  <si>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</si>
  <si>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</si>
  <si>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</si>
  <si>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</si>
  <si>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</si>
  <si>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</si>
  <si>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</si>
  <si>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</si>
  <si>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</si>
  <si>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</si>
  <si>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</si>
  <si>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</si>
  <si>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</si>
  <si>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</si>
  <si>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</si>
  <si>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</si>
  <si>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</si>
  <si>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</si>
  <si>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</si>
  <si>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</si>
  <si>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</si>
  <si>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</si>
  <si>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</si>
  <si>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</si>
  <si>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</si>
  <si>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</si>
  <si>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</si>
  <si>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</si>
  <si>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</si>
  <si>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</si>
  <si>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</si>
  <si>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</si>
  <si>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</si>
  <si>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</si>
  <si>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</si>
  <si>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</si>
  <si>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</si>
  <si>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</si>
  <si>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</si>
  <si>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</si>
  <si>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</si>
  <si>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</si>
  <si>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</si>
  <si>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</si>
  <si>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</si>
  <si>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</si>
  <si>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</si>
  <si>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</si>
  <si>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</si>
  <si>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</si>
  <si>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</si>
  <si>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</si>
  <si>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</si>
  <si>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</si>
  <si>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</si>
  <si>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</si>
  <si>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</si>
  <si>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</si>
  <si>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</si>
  <si>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</si>
  <si>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</si>
  <si>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</si>
  <si>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</si>
  <si>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</si>
  <si>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</si>
  <si>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</si>
  <si>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</si>
  <si>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</si>
  <si>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</si>
  <si>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</si>
  <si>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</si>
  <si>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</si>
  <si>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</si>
  <si>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</si>
  <si>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</si>
  <si>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</si>
  <si>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</si>
  <si>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</si>
  <si>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</si>
  <si>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</si>
  <si>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</si>
  <si>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</si>
  <si>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</si>
  <si>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</si>
  <si>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</si>
  <si>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</si>
  <si>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</si>
  <si>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</si>
  <si>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</si>
  <si>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</si>
  <si>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</si>
  <si>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</si>
  <si>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</si>
  <si>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</si>
  <si>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</si>
  <si>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</si>
  <si>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</si>
  <si>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</si>
  <si>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</si>
  <si>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</si>
  <si>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</si>
  <si>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</si>
  <si>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</si>
  <si>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</si>
  <si>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</si>
  <si>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</si>
  <si>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</si>
  <si>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</si>
  <si>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</si>
  <si>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</si>
  <si>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</si>
  <si>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</si>
  <si>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</si>
  <si>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</si>
  <si>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</si>
  <si>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</si>
  <si>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</si>
  <si>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</si>
  <si>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</si>
  <si>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</si>
  <si>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</si>
  <si>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</si>
  <si>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</si>
  <si>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</si>
  <si>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</si>
  <si>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</si>
  <si>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</si>
  <si>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</si>
  <si>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</si>
  <si>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</si>
  <si>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</si>
  <si>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</si>
  <si>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</si>
  <si>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</si>
  <si>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</si>
  <si>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</si>
  <si>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</si>
  <si>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</si>
  <si>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</si>
  <si>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</si>
  <si>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</si>
  <si>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</si>
  <si>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</si>
  <si>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</si>
  <si>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</si>
  <si>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</si>
  <si>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</si>
  <si>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</si>
  <si>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</si>
  <si>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</si>
  <si>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</si>
  <si>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</si>
  <si>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</si>
  <si>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</si>
  <si>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</si>
  <si>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</si>
  <si>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</si>
  <si>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</si>
  <si>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</si>
  <si>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</si>
  <si>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</si>
  <si>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</si>
  <si>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</si>
  <si>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</si>
  <si>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</si>
  <si>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</si>
  <si>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</si>
  <si>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</si>
  <si>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</si>
  <si>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</si>
  <si>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</si>
  <si>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</si>
  <si>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</si>
  <si>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</si>
  <si>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</si>
  <si>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</si>
  <si>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</si>
  <si>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</si>
  <si>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</si>
  <si>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</si>
  <si>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</si>
  <si>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</si>
  <si>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</si>
  <si>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</si>
  <si>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</si>
  <si>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</si>
  <si>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</si>
  <si>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</si>
  <si>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</si>
  <si>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</si>
  <si>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</si>
  <si>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</si>
  <si>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</si>
  <si>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</si>
  <si>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</si>
  <si>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</si>
  <si>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</si>
  <si>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</si>
  <si>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</si>
  <si>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</si>
  <si>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</si>
  <si>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</si>
  <si>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</si>
  <si>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</si>
  <si>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</si>
  <si>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</si>
  <si>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</si>
  <si>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</si>
  <si>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</si>
  <si>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</si>
  <si>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</si>
  <si>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</si>
  <si>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</si>
  <si>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</si>
  <si>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</si>
  <si>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</si>
  <si>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</si>
  <si>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</si>
  <si>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</si>
  <si>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</si>
  <si>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</si>
  <si>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</si>
  <si>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</si>
  <si>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</si>
  <si>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</si>
  <si>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</si>
  <si>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</si>
  <si>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</si>
  <si>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</si>
  <si>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</si>
  <si>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</si>
  <si>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</si>
  <si>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</si>
  <si>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</si>
  <si>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</si>
  <si>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</si>
  <si>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</si>
  <si>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</si>
  <si>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</si>
  <si>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</si>
  <si>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</si>
  <si>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</si>
  <si>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</si>
  <si>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</si>
  <si>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</si>
  <si>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</si>
  <si>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</si>
  <si>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</si>
  <si>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</si>
  <si>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</si>
  <si>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</si>
  <si>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</si>
  <si>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</si>
  <si>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</si>
  <si>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</si>
  <si>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</si>
  <si>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</si>
  <si>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</si>
  <si>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</si>
  <si>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</si>
  <si>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</si>
  <si>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</si>
  <si>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</si>
  <si>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</si>
  <si>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</si>
  <si>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</si>
  <si>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</si>
  <si>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</si>
  <si>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</si>
  <si>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</si>
  <si>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</si>
  <si>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</si>
  <si>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</si>
  <si>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</si>
  <si>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</si>
  <si>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</si>
  <si>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</si>
  <si>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</si>
  <si>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</si>
  <si>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</si>
  <si>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</si>
  <si>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</si>
  <si>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</si>
  <si>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</si>
  <si>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</si>
  <si>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</si>
  <si>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</si>
  <si>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</si>
  <si>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</si>
  <si>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</si>
  <si>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</si>
  <si>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</si>
  <si>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</si>
  <si>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</si>
  <si>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</si>
  <si>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</si>
  <si>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</si>
  <si>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</si>
  <si>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</si>
  <si>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</si>
  <si>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</si>
  <si>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</si>
  <si>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</si>
  <si>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</si>
  <si>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</si>
  <si>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</si>
  <si>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</si>
  <si>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</si>
  <si>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</si>
  <si>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</si>
  <si>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</si>
  <si>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</si>
  <si>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</si>
  <si>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</si>
  <si>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</si>
  <si>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</si>
  <si>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</si>
  <si>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</si>
  <si>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</si>
  <si>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</si>
  <si>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</si>
  <si>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</si>
  <si>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</si>
  <si>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</si>
  <si>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</si>
  <si>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</si>
  <si>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</si>
  <si>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</si>
  <si>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</si>
  <si>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</si>
  <si>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</si>
  <si>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</si>
  <si>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</si>
  <si>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</si>
  <si>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</si>
  <si>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</si>
  <si>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</si>
  <si>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</si>
  <si>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</si>
  <si>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</si>
  <si>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</si>
  <si>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</si>
  <si>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</si>
  <si>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</si>
  <si>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</si>
  <si>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</si>
  <si>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</si>
  <si>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</si>
  <si>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</si>
  <si>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</si>
  <si>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</si>
  <si>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</si>
  <si>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</si>
  <si>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</si>
  <si>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</si>
  <si>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</si>
  <si>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</si>
  <si>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</si>
  <si>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</si>
  <si>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</si>
  <si>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</si>
  <si>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</si>
  <si>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</si>
  <si>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</si>
  <si>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</si>
  <si>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</si>
  <si>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</si>
  <si>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</si>
  <si>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</si>
  <si>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</si>
  <si>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</si>
  <si>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</si>
  <si>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</si>
  <si>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</si>
  <si>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</si>
  <si>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</si>
  <si>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</si>
  <si>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</si>
  <si>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</si>
  <si>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</si>
  <si>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</si>
  <si>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</si>
  <si>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</si>
  <si>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</si>
  <si>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</si>
  <si>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</si>
  <si>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</si>
  <si>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</si>
  <si>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</si>
  <si>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</si>
  <si>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</si>
  <si>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</si>
  <si>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</si>
  <si>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</si>
  <si>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</si>
  <si>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</si>
  <si>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</si>
  <si>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</si>
  <si>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</si>
  <si>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</si>
  <si>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</si>
  <si>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</si>
  <si>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</si>
  <si>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</si>
  <si>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</si>
  <si>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</si>
  <si>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</si>
  <si>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</si>
  <si>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</si>
  <si>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</si>
  <si>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</si>
  <si>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</si>
  <si>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</si>
  <si>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</si>
  <si>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</si>
  <si>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</si>
  <si>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</si>
  <si>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</si>
  <si>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</si>
  <si>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</si>
  <si>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</si>
  <si>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</si>
  <si>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</si>
  <si>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</si>
  <si>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</si>
  <si>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</si>
  <si>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</si>
  <si>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</si>
  <si>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</si>
  <si>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</si>
  <si>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</si>
  <si>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</si>
  <si>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</si>
  <si>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</si>
  <si>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</si>
  <si>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</si>
  <si>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</si>
  <si>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</si>
  <si>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</si>
  <si>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</si>
  <si>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</si>
  <si>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</si>
  <si>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</si>
  <si>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</si>
  <si>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</si>
  <si>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</si>
  <si>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</si>
  <si>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</si>
  <si>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</si>
  <si>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</si>
  <si>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</si>
  <si>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</si>
  <si>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</si>
  <si>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</si>
  <si>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</si>
  <si>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</si>
  <si>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</si>
  <si>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</si>
  <si>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</si>
  <si>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</si>
  <si>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</si>
  <si>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</si>
  <si>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</si>
  <si>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</si>
  <si>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</si>
  <si>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</si>
  <si>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</si>
  <si>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</si>
  <si>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</si>
  <si>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</si>
  <si>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</si>
  <si>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</si>
  <si>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</si>
  <si>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</si>
  <si>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</si>
  <si>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</si>
  <si>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</si>
  <si>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</si>
  <si>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</si>
  <si>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</si>
  <si>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</si>
  <si>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</si>
  <si>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</si>
  <si>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</si>
  <si>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</si>
  <si>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</si>
  <si>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</si>
  <si>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</si>
  <si>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</si>
  <si>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</si>
  <si>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</si>
  <si>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</si>
  <si>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</si>
  <si>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</si>
  <si>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</si>
  <si>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</si>
  <si>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</si>
  <si>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</si>
  <si>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</si>
  <si>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</si>
  <si>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</si>
  <si>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</si>
  <si>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</si>
  <si>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</si>
  <si>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</si>
  <si>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</si>
  <si>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</si>
  <si>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</si>
  <si>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</si>
  <si>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</si>
  <si>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</si>
  <si>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</si>
  <si>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</si>
  <si>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</si>
  <si>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</si>
  <si>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</si>
  <si>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</si>
  <si>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</si>
  <si>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</si>
  <si>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</si>
  <si>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</si>
  <si>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</si>
  <si>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</si>
  <si>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</si>
  <si>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</si>
  <si>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</si>
  <si>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</si>
  <si>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</si>
  <si>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</si>
  <si>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</si>
  <si>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</si>
  <si>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</si>
  <si>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</si>
  <si>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</si>
  <si>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</si>
  <si>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</si>
  <si>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</si>
  <si>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</si>
  <si>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</si>
  <si>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</si>
  <si>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</si>
  <si>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</si>
  <si>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</si>
  <si>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</si>
  <si>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</si>
  <si>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</si>
  <si>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</si>
  <si>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</si>
  <si>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</si>
  <si>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</si>
  <si>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</si>
  <si>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</si>
  <si>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</si>
  <si>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</si>
  <si>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</si>
  <si>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</si>
  <si>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</si>
  <si>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</si>
  <si>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</si>
  <si>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</si>
  <si>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</si>
  <si>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</si>
  <si>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</si>
  <si>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</si>
  <si>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</si>
  <si>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</si>
  <si>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</si>
  <si>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</si>
  <si>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</si>
  <si>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</si>
  <si>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</si>
  <si>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</si>
  <si>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</si>
  <si>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</si>
  <si>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</si>
  <si>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</si>
  <si>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</si>
  <si>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</si>
  <si>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</si>
  <si>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</si>
  <si>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</si>
  <si>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</si>
  <si>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</si>
  <si>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</si>
  <si>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</si>
  <si>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</si>
  <si>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</si>
  <si>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</si>
  <si>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</si>
  <si>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</si>
  <si>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</si>
  <si>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</si>
  <si>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</si>
  <si>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</si>
  <si>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</si>
  <si>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</si>
  <si>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</si>
  <si>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</si>
  <si>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</si>
  <si>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</si>
  <si>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</si>
  <si>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</si>
  <si>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</si>
  <si>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</si>
  <si>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</si>
  <si>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</si>
  <si>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</si>
  <si>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</si>
  <si>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</si>
  <si>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</si>
  <si>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</si>
  <si>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</si>
  <si>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</si>
  <si>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</si>
  <si>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</si>
  <si>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</si>
  <si>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</si>
  <si>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</si>
  <si>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</si>
  <si>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</si>
  <si>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</si>
  <si>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</si>
  <si>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</si>
  <si>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</si>
  <si>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</si>
  <si>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</si>
  <si>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</si>
  <si>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</si>
  <si>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</si>
  <si>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</si>
  <si>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</si>
  <si>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</si>
  <si>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</si>
  <si>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</si>
  <si>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</si>
  <si>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</si>
  <si>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</si>
  <si>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</si>
  <si>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</si>
  <si>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</si>
  <si>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</si>
  <si>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</si>
  <si>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</si>
  <si>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</si>
  <si>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</si>
  <si>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</si>
  <si>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</si>
  <si>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</si>
  <si>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</si>
  <si>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</si>
  <si>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</si>
  <si>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</si>
  <si>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</si>
  <si>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</si>
  <si>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</si>
  <si>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</si>
  <si>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</si>
  <si>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</si>
  <si>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</si>
  <si>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</si>
  <si>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</si>
  <si>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</si>
  <si>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</si>
  <si>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</si>
  <si>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</si>
  <si>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</si>
  <si>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</si>
  <si>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</si>
  <si>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</si>
  <si>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</si>
  <si>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</si>
  <si>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</si>
  <si>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</si>
  <si>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</si>
  <si>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</si>
  <si>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</si>
  <si>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</si>
  <si>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</si>
  <si>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</si>
  <si>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</si>
  <si>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</si>
  <si>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</si>
  <si>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</si>
  <si>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</si>
  <si>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</si>
  <si>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</si>
  <si>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</si>
  <si>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</si>
  <si>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</si>
  <si>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</si>
  <si>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</si>
  <si>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</si>
  <si>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</si>
  <si>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</si>
  <si>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</si>
  <si>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</si>
  <si>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</si>
  <si>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</si>
  <si>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</si>
  <si>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</si>
  <si>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</si>
  <si>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</si>
  <si>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</si>
  <si>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</si>
  <si>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</si>
  <si>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</si>
  <si>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</si>
  <si>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</si>
  <si>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</si>
  <si>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</si>
  <si>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</si>
  <si>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</si>
  <si>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</si>
  <si>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</si>
  <si>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</si>
  <si>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</si>
  <si>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</si>
  <si>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</si>
  <si>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</si>
  <si>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</si>
  <si>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</si>
  <si>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</si>
  <si>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</si>
  <si>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</si>
  <si>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</si>
  <si>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</si>
  <si>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</si>
  <si>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</si>
  <si>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</si>
  <si>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</si>
  <si>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</si>
  <si>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</si>
  <si>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</si>
  <si>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</si>
  <si>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</si>
  <si>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</si>
  <si>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</si>
  <si>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</si>
  <si>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</si>
  <si>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</si>
  <si>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</si>
  <si>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</si>
  <si>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</si>
  <si>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</si>
  <si>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</si>
  <si>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</si>
  <si>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</si>
  <si>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</si>
  <si>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</si>
  <si>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</si>
  <si>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</si>
  <si>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</si>
  <si>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</si>
  <si>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</si>
  <si>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</si>
  <si>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</si>
  <si>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</si>
  <si>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</si>
  <si>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</si>
  <si>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</si>
  <si>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</si>
  <si>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</si>
  <si>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</si>
  <si>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</si>
  <si>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</si>
  <si>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</si>
  <si>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</si>
  <si>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</si>
  <si>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</si>
  <si>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</si>
  <si>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</si>
  <si>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</si>
  <si>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</si>
  <si>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</si>
  <si>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</si>
  <si>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</si>
  <si>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</si>
  <si>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</si>
  <si>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</si>
  <si>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</si>
  <si>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</si>
  <si>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</si>
  <si>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</si>
  <si>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</si>
  <si>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</si>
  <si>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</si>
  <si>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</si>
  <si>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</si>
  <si>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</si>
  <si>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</si>
  <si>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</si>
  <si>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</si>
  <si>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</si>
  <si>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</si>
  <si>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</si>
  <si>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</si>
  <si>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</si>
  <si>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</si>
  <si>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</si>
  <si>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</si>
  <si>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</si>
  <si>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</si>
  <si>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</si>
  <si>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</si>
  <si>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</si>
  <si>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</si>
  <si>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</si>
  <si>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</si>
  <si>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</si>
  <si>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</si>
  <si>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</si>
  <si>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</si>
  <si>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</si>
  <si>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</si>
  <si>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</si>
  <si>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</si>
  <si>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</si>
  <si>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</si>
  <si>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</si>
  <si>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</si>
  <si>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</si>
  <si>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</si>
  <si>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</si>
  <si>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</si>
  <si>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</si>
  <si>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</si>
  <si>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</si>
  <si>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</si>
  <si>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</si>
  <si>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</si>
  <si>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</si>
  <si>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</si>
  <si>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</si>
  <si>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</si>
  <si>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</si>
  <si>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</si>
  <si>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</si>
  <si>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</si>
  <si>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</si>
  <si>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</si>
  <si>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</si>
  <si>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</si>
  <si>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</si>
  <si>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</si>
  <si>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</si>
  <si>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</si>
  <si>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</si>
  <si>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</si>
  <si>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</si>
  <si>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</si>
  <si>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</si>
  <si>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</si>
  <si>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</si>
  <si>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</si>
  <si>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</si>
  <si>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</si>
  <si>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</si>
  <si>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</si>
  <si>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</si>
  <si>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</si>
  <si>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</si>
  <si>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</si>
  <si>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</si>
  <si>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</si>
  <si>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</si>
  <si>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</si>
  <si>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</si>
  <si>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</si>
  <si>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</si>
  <si>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</si>
  <si>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</si>
  <si>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</si>
  <si>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</si>
  <si>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</si>
  <si>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</si>
  <si>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</si>
  <si>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</si>
  <si>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</si>
  <si>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</si>
  <si>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</si>
  <si>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</si>
  <si>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</si>
  <si>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</si>
  <si>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</si>
  <si>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</si>
  <si>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</si>
  <si>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</si>
  <si>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</si>
  <si>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</si>
  <si>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</si>
  <si>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</si>
  <si>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</si>
  <si>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</si>
  <si>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</si>
  <si>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</si>
  <si>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</si>
  <si>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</si>
  <si>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</si>
  <si>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</si>
  <si>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</si>
  <si>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</si>
  <si>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</si>
  <si>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</si>
  <si>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</si>
  <si>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</si>
  <si>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</si>
  <si>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</si>
  <si>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</si>
  <si>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</si>
  <si>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</si>
  <si>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</si>
  <si>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</si>
  <si>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</si>
  <si>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</si>
  <si>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</si>
  <si>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</si>
  <si>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</si>
  <si>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</si>
  <si>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</si>
  <si>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</si>
  <si>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</si>
  <si>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</si>
  <si>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</si>
  <si>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</si>
  <si>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</si>
  <si>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</si>
  <si>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</si>
  <si>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</si>
  <si>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</si>
  <si>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</si>
  <si>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</si>
  <si>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</si>
  <si>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</si>
  <si>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</si>
  <si>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</si>
  <si>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</si>
  <si>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</si>
  <si>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</si>
  <si>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</si>
  <si>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</si>
  <si>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</si>
  <si>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</si>
  <si>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</si>
  <si>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</si>
  <si>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</si>
  <si>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</si>
  <si>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</si>
  <si>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</si>
  <si>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</si>
  <si>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</si>
  <si>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</si>
  <si>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</si>
  <si>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</si>
  <si>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</si>
  <si>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</si>
  <si>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</si>
  <si>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</si>
  <si>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</si>
  <si>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</si>
  <si>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</si>
  <si>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</si>
  <si>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</si>
  <si>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</si>
  <si>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</si>
  <si>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</si>
  <si>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</si>
  <si>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</si>
  <si>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</si>
  <si>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</si>
  <si>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</si>
  <si>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</si>
  <si>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</si>
  <si>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</si>
  <si>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</si>
  <si>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</si>
  <si>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</si>
  <si>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</si>
  <si>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</si>
  <si>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</si>
  <si>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</si>
  <si>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</si>
  <si>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</si>
  <si>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</si>
  <si>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</si>
  <si>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</si>
  <si>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</si>
  <si>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</si>
  <si>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</si>
  <si>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</si>
  <si>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</si>
  <si>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</si>
  <si>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</si>
  <si>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</si>
  <si>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</si>
  <si>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</si>
  <si>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</si>
  <si>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</si>
  <si>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</si>
  <si>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</si>
  <si>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</si>
  <si>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</si>
  <si>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</si>
  <si>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</si>
  <si>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</si>
  <si>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</si>
  <si>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</si>
  <si>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</si>
  <si>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</si>
  <si>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</si>
  <si>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</si>
  <si>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</si>
  <si>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</si>
  <si>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</si>
  <si>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</si>
  <si>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</si>
  <si>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</si>
  <si>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</si>
  <si>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</si>
  <si>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</si>
  <si>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</si>
  <si>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</si>
  <si>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</si>
  <si>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</si>
  <si>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</si>
  <si>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</si>
  <si>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</si>
  <si>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</si>
  <si>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</si>
  <si>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</si>
  <si>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</si>
  <si>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</si>
  <si>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</si>
  <si>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</si>
  <si>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</si>
  <si>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</si>
  <si>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</si>
  <si>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</si>
  <si>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</si>
  <si>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</si>
  <si>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</si>
  <si>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</si>
  <si>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</si>
  <si>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</si>
  <si>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</si>
  <si>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</si>
  <si>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</si>
  <si>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</si>
  <si>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</si>
  <si>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</si>
  <si>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</si>
  <si>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</si>
  <si>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</si>
  <si>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</si>
  <si>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</si>
  <si>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</si>
  <si>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</si>
  <si>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</si>
  <si>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</si>
  <si>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</si>
  <si>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</si>
  <si>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</si>
  <si>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</si>
  <si>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</si>
  <si>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</si>
  <si>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</si>
  <si>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</si>
  <si>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</si>
  <si>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</si>
  <si>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</si>
  <si>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</si>
  <si>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</si>
  <si>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</si>
  <si>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</si>
  <si>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</si>
  <si>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</si>
  <si>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</si>
  <si>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</si>
  <si>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</si>
  <si>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</si>
  <si>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</si>
  <si>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</si>
  <si>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</si>
  <si>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</si>
  <si>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</si>
  <si>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</si>
  <si>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</si>
  <si>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</si>
  <si>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</si>
  <si>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</si>
  <si>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</si>
  <si>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</si>
  <si>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</si>
  <si>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</si>
  <si>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</si>
  <si>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</si>
  <si>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</si>
  <si>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</si>
  <si>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</si>
  <si>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</si>
  <si>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</si>
  <si>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</si>
  <si>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</si>
  <si>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</si>
  <si>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</si>
  <si>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</si>
  <si>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</si>
  <si>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</si>
  <si>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</si>
  <si>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</si>
  <si>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</si>
  <si>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</si>
  <si>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</si>
  <si>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</si>
  <si>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</si>
  <si>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</si>
  <si>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</si>
  <si>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</si>
  <si>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</si>
  <si>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</si>
  <si>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</si>
  <si>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</si>
  <si>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</si>
  <si>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</si>
  <si>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</si>
  <si>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</si>
  <si>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</si>
  <si>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</si>
  <si>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</si>
  <si>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</si>
  <si>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</si>
  <si>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</si>
  <si>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</si>
  <si>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</si>
  <si>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</si>
  <si>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</si>
  <si>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</si>
  <si>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</si>
  <si>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</si>
  <si>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</si>
  <si>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</si>
  <si>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</si>
  <si>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</si>
  <si>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</si>
  <si>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</si>
  <si>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</si>
  <si>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</si>
  <si>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</si>
  <si>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</si>
  <si>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</si>
  <si>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</si>
  <si>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</si>
  <si>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</si>
  <si>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</si>
  <si>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</si>
  <si>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</si>
  <si>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</si>
  <si>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</si>
  <si>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</si>
  <si>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</si>
  <si>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</si>
  <si>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</si>
  <si>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</si>
  <si>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</si>
  <si>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</si>
  <si>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</si>
  <si>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</si>
  <si>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</si>
  <si>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</si>
  <si>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</si>
  <si>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</si>
  <si>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</si>
  <si>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</si>
  <si>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</si>
  <si>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</si>
  <si>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</si>
  <si>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</si>
  <si>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</si>
  <si>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</si>
  <si>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</si>
  <si>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</si>
  <si>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</si>
  <si>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</si>
  <si>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</si>
  <si>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</si>
  <si>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</si>
  <si>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</si>
  <si>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</si>
  <si>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</si>
  <si>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</si>
  <si>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</si>
  <si>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</si>
  <si>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</si>
  <si>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</si>
  <si>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</si>
  <si>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</si>
  <si>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</si>
  <si>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</si>
  <si>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</si>
  <si>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</si>
  <si>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</si>
  <si>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</si>
  <si>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</si>
  <si>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</si>
  <si>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</si>
  <si>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</si>
  <si>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</si>
  <si>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</si>
  <si>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</si>
  <si>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</si>
  <si>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</si>
  <si>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</si>
  <si>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</si>
  <si>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</si>
  <si>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</si>
  <si>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</si>
  <si>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</si>
  <si>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</si>
  <si>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</si>
  <si>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</si>
  <si>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</si>
  <si>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</si>
  <si>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</si>
  <si>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</si>
  <si>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</si>
  <si>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</si>
  <si>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</si>
  <si>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</si>
  <si>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</si>
  <si>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</si>
  <si>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</si>
  <si>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</si>
  <si>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</si>
  <si>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</si>
  <si>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</si>
  <si>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</si>
  <si>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</si>
  <si>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</si>
  <si>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</si>
  <si>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</si>
  <si>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</si>
  <si>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</si>
  <si>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</si>
  <si>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</si>
  <si>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</si>
  <si>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</si>
  <si>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</si>
  <si>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</si>
  <si>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</si>
  <si>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</si>
  <si>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</si>
  <si>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</si>
  <si>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</si>
  <si>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</si>
  <si>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</si>
  <si>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</si>
  <si>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</si>
  <si>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</si>
  <si>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</si>
  <si>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</si>
  <si>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</si>
  <si>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</si>
  <si>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</si>
  <si>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</si>
  <si>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</si>
  <si>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</si>
  <si>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</si>
  <si>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</si>
  <si>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</si>
  <si>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</si>
  <si>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</si>
  <si>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</si>
  <si>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</si>
  <si>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</si>
  <si>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</si>
  <si>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</si>
  <si>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</si>
  <si>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</si>
  <si>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</si>
  <si>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</si>
  <si>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</si>
  <si>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</si>
  <si>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</si>
  <si>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</si>
  <si>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</si>
  <si>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</si>
  <si>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</si>
  <si>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</si>
  <si>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</si>
  <si>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</si>
  <si>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</si>
  <si>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</si>
  <si>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</si>
  <si>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</si>
  <si>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</si>
  <si>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</si>
  <si>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</si>
  <si>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</si>
  <si>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</si>
  <si>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</si>
  <si>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</si>
  <si>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</si>
  <si>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</si>
  <si>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</si>
  <si>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</si>
  <si>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</si>
  <si>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</si>
  <si>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</si>
  <si>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</si>
  <si>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</si>
  <si>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</si>
  <si>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</si>
  <si>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</si>
  <si>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</si>
  <si>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</si>
  <si>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</si>
  <si>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</si>
  <si>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</si>
  <si>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</si>
  <si>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</si>
  <si>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</si>
  <si>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</si>
  <si>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</si>
  <si>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</si>
  <si>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</si>
  <si>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</si>
  <si>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</si>
  <si>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</si>
  <si>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</si>
  <si>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</si>
  <si>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</si>
  <si>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</si>
  <si>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</si>
  <si>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</si>
  <si>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</si>
  <si>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</si>
  <si>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</si>
  <si>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</si>
  <si>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</si>
  <si>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</si>
  <si>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</si>
  <si>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</si>
  <si>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</si>
  <si>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</si>
  <si>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</si>
  <si>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</si>
  <si>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</si>
  <si>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</si>
  <si>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</si>
  <si>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</si>
  <si>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</si>
  <si>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</si>
  <si>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</si>
  <si>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</si>
  <si>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</si>
  <si>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</si>
  <si>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</si>
  <si>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</si>
  <si>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</si>
  <si>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</si>
  <si>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</si>
  <si>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</si>
  <si>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</si>
  <si>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</si>
  <si>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</si>
  <si>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</si>
  <si>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</si>
  <si>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</si>
  <si>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</si>
  <si>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</si>
  <si>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</si>
  <si>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</si>
  <si>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</si>
  <si>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</si>
  <si>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</si>
  <si>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</si>
  <si>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</si>
  <si>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</si>
  <si>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</si>
  <si>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</si>
  <si>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</si>
  <si>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</si>
  <si>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</si>
  <si>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</si>
  <si>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</si>
  <si>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</si>
  <si>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</si>
  <si>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</si>
  <si>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</si>
  <si>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</si>
  <si>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</si>
  <si>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</si>
  <si>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</si>
  <si>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</si>
  <si>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</si>
  <si>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</si>
  <si>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</si>
  <si>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</si>
  <si>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</si>
  <si>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</si>
  <si>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</si>
  <si>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</si>
  <si>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</si>
  <si>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</si>
  <si>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</si>
  <si>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</si>
  <si>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</si>
  <si>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</si>
  <si>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</si>
  <si>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</si>
  <si>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</si>
  <si>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</si>
  <si>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</si>
  <si>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</si>
  <si>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</si>
  <si>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</si>
  <si>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</si>
  <si>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</si>
  <si>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</si>
  <si>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</si>
  <si>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</si>
  <si>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</si>
  <si>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</si>
  <si>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</si>
  <si>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</si>
  <si>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</si>
  <si>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</si>
  <si>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</si>
  <si>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</si>
  <si>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</si>
  <si>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</si>
  <si>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</si>
  <si>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</si>
  <si>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</si>
  <si>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</si>
  <si>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</si>
  <si>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</si>
  <si>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</si>
  <si>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</si>
  <si>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</si>
  <si>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</si>
  <si>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</si>
  <si>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</si>
  <si>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</si>
  <si>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</si>
  <si>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</si>
  <si>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</si>
  <si>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</si>
  <si>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</si>
  <si>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</si>
  <si>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</si>
  <si>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</si>
  <si>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</si>
  <si>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</si>
  <si>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</si>
  <si>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</si>
  <si>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</si>
  <si>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</si>
  <si>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</si>
  <si>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</si>
  <si>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</si>
  <si>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</si>
  <si>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</si>
  <si>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</si>
  <si>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</si>
  <si>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</si>
  <si>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</si>
  <si>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</si>
  <si>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</si>
  <si>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</si>
  <si>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</si>
  <si>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</si>
  <si>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</si>
  <si>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</si>
  <si>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</si>
  <si>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</si>
  <si>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</si>
  <si>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</si>
  <si>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</si>
  <si>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</si>
  <si>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</si>
  <si>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</si>
  <si>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</si>
  <si>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</si>
  <si>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</si>
  <si>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</si>
  <si>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</si>
  <si>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</si>
  <si>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</si>
  <si>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</si>
  <si>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</si>
  <si>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</si>
  <si>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</si>
  <si>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</si>
  <si>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</si>
  <si>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</si>
  <si>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</si>
  <si>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</si>
  <si>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</si>
  <si>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</si>
  <si>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</si>
  <si>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</si>
  <si>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</si>
  <si>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</si>
  <si>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</si>
  <si>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</si>
  <si>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</si>
  <si>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</si>
  <si>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</si>
  <si>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</si>
  <si>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</si>
  <si>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</si>
  <si>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</si>
  <si>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</si>
  <si>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</si>
  <si>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</si>
  <si>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</si>
  <si>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</si>
  <si>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</si>
  <si>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</si>
  <si>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</si>
  <si>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</si>
  <si>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</si>
  <si>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</si>
  <si>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</si>
  <si>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</si>
  <si>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</si>
  <si>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</si>
  <si>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</si>
  <si>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</si>
  <si>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</si>
  <si>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</si>
  <si>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</si>
  <si>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</si>
  <si>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</si>
  <si>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</si>
  <si>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</si>
  <si>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</si>
  <si>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</si>
  <si>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</si>
  <si>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</si>
  <si>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</si>
  <si>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</si>
  <si>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</si>
  <si>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</si>
  <si>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</si>
  <si>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</si>
  <si>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</si>
  <si>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</si>
  <si>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</si>
  <si>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</si>
  <si>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</si>
  <si>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</si>
  <si>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</si>
  <si>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</si>
  <si>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</si>
  <si>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</si>
  <si>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</si>
  <si>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</si>
  <si>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</si>
  <si>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</si>
  <si>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</si>
  <si>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</si>
  <si>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</si>
  <si>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</si>
  <si>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</si>
  <si>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</si>
  <si>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</si>
  <si>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</si>
  <si>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</si>
  <si>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</si>
  <si>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</si>
  <si>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</si>
  <si>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</si>
  <si>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</si>
  <si>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</si>
  <si>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</si>
  <si>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</si>
  <si>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</si>
  <si>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</si>
  <si>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</si>
  <si>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</si>
  <si>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</si>
  <si>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</si>
  <si>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</si>
  <si>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</si>
  <si>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</si>
  <si>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</si>
  <si>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</si>
  <si>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</si>
  <si>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</si>
  <si>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</si>
  <si>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</si>
  <si>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</si>
  <si>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</si>
  <si>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</si>
  <si>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</si>
  <si>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</si>
  <si>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</si>
  <si>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</si>
  <si>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</si>
  <si>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</si>
  <si>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</si>
  <si>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</si>
  <si>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</si>
  <si>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</si>
  <si>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</si>
  <si>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</si>
  <si>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</si>
  <si>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</si>
  <si>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</si>
  <si>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</si>
  <si>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</si>
  <si>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</si>
  <si>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</si>
  <si>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</si>
  <si>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</si>
  <si>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</si>
  <si>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</si>
  <si>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</si>
  <si>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</si>
  <si>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</si>
  <si>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</si>
  <si>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</si>
  <si>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</si>
  <si>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</si>
  <si>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</si>
  <si>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</si>
  <si>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</si>
  <si>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</si>
  <si>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</si>
  <si>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</si>
  <si>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</si>
  <si>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</si>
  <si>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</si>
  <si>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</si>
  <si>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</si>
  <si>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</si>
  <si>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</si>
  <si>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</si>
  <si>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</si>
  <si>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</si>
  <si>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</si>
  <si>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</si>
  <si>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</si>
  <si>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</si>
  <si>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</si>
  <si>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</si>
  <si>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</si>
  <si>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</si>
  <si>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</si>
  <si>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</si>
  <si>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</si>
  <si>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</si>
  <si>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</si>
  <si>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</si>
  <si>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</si>
  <si>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</si>
  <si>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</si>
  <si>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</si>
  <si>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</si>
  <si>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</si>
  <si>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</si>
  <si>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</si>
  <si>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</si>
  <si>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</si>
  <si>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</si>
  <si>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</si>
  <si>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</si>
  <si>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</si>
  <si>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</si>
  <si>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</si>
  <si>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</si>
  <si>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</si>
  <si>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</si>
  <si>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</si>
  <si>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</si>
  <si>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</si>
  <si>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</si>
  <si>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</si>
  <si>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</si>
  <si>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</si>
  <si>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</si>
  <si>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</si>
  <si>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</si>
  <si>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</si>
  <si>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</si>
  <si>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</si>
  <si>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</si>
  <si>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</si>
  <si>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</si>
  <si>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</si>
  <si>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</si>
  <si>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</si>
  <si>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</si>
  <si>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</si>
  <si>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</si>
  <si>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</si>
  <si>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</si>
  <si>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</si>
  <si>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</si>
  <si>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</si>
  <si>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</si>
  <si>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</si>
  <si>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</si>
  <si>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</si>
  <si>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</si>
  <si>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</si>
  <si>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</si>
  <si>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</si>
  <si>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</si>
  <si>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</si>
  <si>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</si>
  <si>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</si>
  <si>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</si>
  <si>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</si>
  <si>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</si>
  <si>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</si>
  <si>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</si>
  <si>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</si>
  <si>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</si>
  <si>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</si>
  <si>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</si>
  <si>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</si>
  <si>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</si>
  <si>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</si>
  <si>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</si>
  <si>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</si>
  <si>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</si>
  <si>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</si>
  <si>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</si>
  <si>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</si>
  <si>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</si>
  <si>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</si>
  <si>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</si>
  <si>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</si>
  <si>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</si>
  <si>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</si>
  <si>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</si>
  <si>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</si>
  <si>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</si>
  <si>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</si>
  <si>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</si>
  <si>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</si>
  <si>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</si>
  <si>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</si>
  <si>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</si>
  <si>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</si>
  <si>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</si>
  <si>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</si>
  <si>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</si>
  <si>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</si>
  <si>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</si>
  <si>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</si>
  <si>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</si>
  <si>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</si>
  <si>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</si>
  <si>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</si>
  <si>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</si>
  <si>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</si>
  <si>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</si>
  <si>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</si>
  <si>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</si>
  <si>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</si>
  <si>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</si>
  <si>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</si>
  <si>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</si>
  <si>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</si>
  <si>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</si>
  <si>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</si>
  <si>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</si>
  <si>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</si>
  <si>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</si>
  <si>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</si>
  <si>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</si>
  <si>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</si>
  <si>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</si>
  <si>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</si>
  <si>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</si>
  <si>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</si>
  <si>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</si>
  <si>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</si>
  <si>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</si>
  <si>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</si>
  <si>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</si>
  <si>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</si>
  <si>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</si>
  <si>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</si>
  <si>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</si>
  <si>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</si>
  <si>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</si>
  <si>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</si>
  <si>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</si>
  <si>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</si>
  <si>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</si>
  <si>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</si>
  <si>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</si>
  <si>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</si>
  <si>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</si>
  <si>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</si>
  <si>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</si>
  <si>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</si>
  <si>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</si>
  <si>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</si>
  <si>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</si>
  <si>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</si>
  <si>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</si>
  <si>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</si>
  <si>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</si>
  <si>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</si>
  <si>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</si>
  <si>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</si>
  <si>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</si>
  <si>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</si>
  <si>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</si>
  <si>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</si>
  <si>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</si>
  <si>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</si>
  <si>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</si>
  <si>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</si>
  <si>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</si>
  <si>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</si>
  <si>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</si>
  <si>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</si>
  <si>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</si>
  <si>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</si>
  <si>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</si>
  <si>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</si>
  <si>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</si>
  <si>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</si>
  <si>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</si>
  <si>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</si>
  <si>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</si>
  <si>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</si>
  <si>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</si>
  <si>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</si>
  <si>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</si>
  <si>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</si>
  <si>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</si>
  <si>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</si>
  <si>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</si>
  <si>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</si>
  <si>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</si>
  <si>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</si>
  <si>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</si>
  <si>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</si>
  <si>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</si>
  <si>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</si>
  <si>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</si>
  <si>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</si>
  <si>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</si>
  <si>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</si>
  <si>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</si>
  <si>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</si>
  <si>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</si>
  <si>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</si>
  <si>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</si>
  <si>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</si>
  <si>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</si>
  <si>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</si>
  <si>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</si>
  <si>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</si>
  <si>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</si>
  <si>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</si>
  <si>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</si>
  <si>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</si>
  <si>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</si>
  <si>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</si>
  <si>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</si>
  <si>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</si>
  <si>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</si>
  <si>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</si>
  <si>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</si>
  <si>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</si>
  <si>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</si>
  <si>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</si>
  <si>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</si>
  <si>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</si>
  <si>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</si>
  <si>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</si>
  <si>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</si>
  <si>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</si>
  <si>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</si>
  <si>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</si>
  <si>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</si>
  <si>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</si>
  <si>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</si>
  <si>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</si>
  <si>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</si>
  <si>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</si>
  <si>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</si>
  <si>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</si>
  <si>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</si>
  <si>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</si>
  <si>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</si>
  <si>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</si>
  <si>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</si>
  <si>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</si>
  <si>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</si>
  <si>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</si>
  <si>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</si>
  <si>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</si>
  <si>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</si>
  <si>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</si>
  <si>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</si>
  <si>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</si>
  <si>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</si>
  <si>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</si>
  <si>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</si>
  <si>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</si>
  <si>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</si>
  <si>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</si>
  <si>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</si>
  <si>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</si>
  <si>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</si>
  <si>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</si>
  <si>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</si>
  <si>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</si>
  <si>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</si>
  <si>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</si>
  <si>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</si>
  <si>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</si>
  <si>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</si>
  <si>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</si>
  <si>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</si>
  <si>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</si>
  <si>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</si>
  <si>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</si>
  <si>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</si>
  <si>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</si>
  <si>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</si>
  <si>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</si>
  <si>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</si>
  <si>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</si>
  <si>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</si>
  <si>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</si>
  <si>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</si>
  <si>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</si>
  <si>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</si>
  <si>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</si>
  <si>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</si>
  <si>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</si>
  <si>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</si>
  <si>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</si>
  <si>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</si>
  <si>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</si>
  <si>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</si>
  <si>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</si>
  <si>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</si>
  <si>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</si>
  <si>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</si>
  <si>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</si>
  <si>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</si>
  <si>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</si>
  <si>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</si>
  <si>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</si>
  <si>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</si>
  <si>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</si>
  <si>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</si>
  <si>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</si>
  <si>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</si>
  <si>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</si>
  <si>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</si>
  <si>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</si>
  <si>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</si>
  <si>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</si>
  <si>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</si>
  <si>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</si>
  <si>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</si>
  <si>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</si>
  <si>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</si>
  <si>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</si>
  <si>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</si>
  <si>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</si>
  <si>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</si>
  <si>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</si>
  <si>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</si>
  <si>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</si>
  <si>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</si>
  <si>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</si>
  <si>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</si>
  <si>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</si>
  <si>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</si>
  <si>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</si>
  <si>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</si>
  <si>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</si>
  <si>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</si>
  <si>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</si>
  <si>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</si>
  <si>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</si>
  <si>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</si>
  <si>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</si>
  <si>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</si>
  <si>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</si>
  <si>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</si>
  <si>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</si>
  <si>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</si>
  <si>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</si>
  <si>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</si>
  <si>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</si>
  <si>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</si>
  <si>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</si>
  <si>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</si>
  <si>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</si>
  <si>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</si>
  <si>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</si>
  <si>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</si>
  <si>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</si>
  <si>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</si>
  <si>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</si>
  <si>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</si>
  <si>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</si>
  <si>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</si>
  <si>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</si>
  <si>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</si>
  <si>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</si>
  <si>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</si>
  <si>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</si>
  <si>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</si>
  <si>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</si>
  <si>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</si>
  <si>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</si>
  <si>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</si>
  <si>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</si>
  <si>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</si>
  <si>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</si>
  <si>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</si>
  <si>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</si>
  <si>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</si>
  <si>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</si>
  <si>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</si>
  <si>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</si>
  <si>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</si>
  <si>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</si>
  <si>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</si>
  <si>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</si>
  <si>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</si>
  <si>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</si>
  <si>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</si>
  <si>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</si>
  <si>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</si>
  <si>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</si>
  <si>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</si>
  <si>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</si>
  <si>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</si>
  <si>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</si>
  <si>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</si>
  <si>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</si>
  <si>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</si>
  <si>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</si>
  <si>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</si>
  <si>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</si>
  <si>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</si>
  <si>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</si>
  <si>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</si>
  <si>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</si>
  <si>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</si>
  <si>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</si>
  <si>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</si>
  <si>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</si>
  <si>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</si>
  <si>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</si>
  <si>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</si>
  <si>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</si>
  <si>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</si>
  <si>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</si>
  <si>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</si>
  <si>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</si>
  <si>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</si>
  <si>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</si>
  <si>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</si>
  <si>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</si>
  <si>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</si>
  <si>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</si>
  <si>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</si>
  <si>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</si>
  <si>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</si>
  <si>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</si>
  <si>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</si>
  <si>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</si>
  <si>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</si>
  <si>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</si>
  <si>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</si>
  <si>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</si>
  <si>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</si>
  <si>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</si>
  <si>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</si>
  <si>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</si>
  <si>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</si>
  <si>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</si>
  <si>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</si>
  <si>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</si>
  <si>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</si>
  <si>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</si>
  <si>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</si>
  <si>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</si>
  <si>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</si>
  <si>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</si>
  <si>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</si>
  <si>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</si>
  <si>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</si>
  <si>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</si>
  <si>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</si>
  <si>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</si>
  <si>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</si>
  <si>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</si>
  <si>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</si>
  <si>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</si>
  <si>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</si>
  <si>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</si>
  <si>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</si>
  <si>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</si>
  <si>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</si>
  <si>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</si>
  <si>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</si>
  <si>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</si>
  <si>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</si>
  <si>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</si>
  <si>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</si>
  <si>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</si>
  <si>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</si>
  <si>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</si>
  <si>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</si>
  <si>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</si>
  <si>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</si>
  <si>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</si>
  <si>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</si>
  <si>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</si>
  <si>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</si>
  <si>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</si>
  <si>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</si>
  <si>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</si>
  <si>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</si>
  <si>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</si>
  <si>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</si>
  <si>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</si>
  <si>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</si>
  <si>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</si>
  <si>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</si>
  <si>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</si>
  <si>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</si>
  <si>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</si>
  <si>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</si>
  <si>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</si>
  <si>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</si>
  <si>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</si>
  <si>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</si>
  <si>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</si>
  <si>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</si>
  <si>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</si>
  <si>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</si>
  <si>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</si>
  <si>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</si>
  <si>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</si>
  <si>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</si>
  <si>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</si>
  <si>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</si>
  <si>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</si>
  <si>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</si>
  <si>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</si>
  <si>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</si>
  <si>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</si>
  <si>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</si>
  <si>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</si>
  <si>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</si>
  <si>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</si>
  <si>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</si>
  <si>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</si>
  <si>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</si>
  <si>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</si>
  <si>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</si>
  <si>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</si>
  <si>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</si>
  <si>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</si>
  <si>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</si>
  <si>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</si>
  <si>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</si>
  <si>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</si>
  <si>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</si>
  <si>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</si>
  <si>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</si>
  <si>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</si>
  <si>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</si>
  <si>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</si>
  <si>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</si>
  <si>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</si>
  <si>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</si>
  <si>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</si>
  <si>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</si>
  <si>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</si>
  <si>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</si>
  <si>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</si>
  <si>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</si>
  <si>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</si>
  <si>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</si>
  <si>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</si>
  <si>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</si>
  <si>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</si>
  <si>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</si>
  <si>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</si>
  <si>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</si>
  <si>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</si>
  <si>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</si>
  <si>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</si>
  <si>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</si>
  <si>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</si>
  <si>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</si>
  <si>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</si>
  <si>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</si>
  <si>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</si>
  <si>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</si>
  <si>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</si>
  <si>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</si>
  <si>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</si>
  <si>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</si>
  <si>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</si>
  <si>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</si>
  <si>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</si>
  <si>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</si>
  <si>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</si>
  <si>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</si>
  <si>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</si>
  <si>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</si>
  <si>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</si>
  <si>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</si>
  <si>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</si>
  <si>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</si>
  <si>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</si>
  <si>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</si>
  <si>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</si>
  <si>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</si>
  <si>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</si>
  <si>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</si>
  <si>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</si>
  <si>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</si>
  <si>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</si>
  <si>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</si>
  <si>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</si>
  <si>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</si>
  <si>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</si>
  <si>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</si>
  <si>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</si>
  <si>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</si>
  <si>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</si>
  <si>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</si>
  <si>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</si>
  <si>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</si>
  <si>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</si>
  <si>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</si>
  <si>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</si>
  <si>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</si>
  <si>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</si>
  <si>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</si>
  <si>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</si>
  <si>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</si>
  <si>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</si>
  <si>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</si>
  <si>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</si>
  <si>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</si>
  <si>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</si>
  <si>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</si>
  <si>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</si>
  <si>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</si>
  <si>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</si>
  <si>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</si>
  <si>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</si>
  <si>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</si>
  <si>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</si>
  <si>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</si>
  <si>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</si>
  <si>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</si>
  <si>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</si>
  <si>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</si>
  <si>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</si>
  <si>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</si>
  <si>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</si>
  <si>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</si>
  <si>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</si>
  <si>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</si>
  <si>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</si>
  <si>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</si>
  <si>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</si>
  <si>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</si>
  <si>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</si>
  <si>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</si>
  <si>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</si>
  <si>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</si>
  <si>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</si>
  <si>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</si>
  <si>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</si>
  <si>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</si>
  <si>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</si>
  <si>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</si>
  <si>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</si>
  <si>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</si>
  <si>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</si>
  <si>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</si>
  <si>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</si>
  <si>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</si>
  <si>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</si>
  <si>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</si>
  <si>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</si>
  <si>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</si>
  <si>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</si>
  <si>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</si>
  <si>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</si>
  <si>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</si>
  <si>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</si>
  <si>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</si>
  <si>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</si>
  <si>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</si>
  <si>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</si>
  <si>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</si>
  <si>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</si>
  <si>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</si>
  <si>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</si>
  <si>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</si>
  <si>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</si>
  <si>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</si>
  <si>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</si>
  <si>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</si>
  <si>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</si>
  <si>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</si>
  <si>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</si>
  <si>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</si>
  <si>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</si>
  <si>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</si>
  <si>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</si>
  <si>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</si>
  <si>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</si>
  <si>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</si>
  <si>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</si>
  <si>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</si>
  <si>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</si>
  <si>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</si>
  <si>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</si>
  <si>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</si>
  <si>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</si>
  <si>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</si>
  <si>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</si>
  <si>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</si>
  <si>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</si>
  <si>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</si>
  <si>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</si>
  <si>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</si>
  <si>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</si>
  <si>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</si>
  <si>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</si>
  <si>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</si>
  <si>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</si>
  <si>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</si>
  <si>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</si>
  <si>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</si>
  <si>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</si>
  <si>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</si>
  <si>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</si>
  <si>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</si>
  <si>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</si>
  <si>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</si>
  <si>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</si>
  <si>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</si>
  <si>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</si>
  <si>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</si>
  <si>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</si>
  <si>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</si>
  <si>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</si>
  <si>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</si>
  <si>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</si>
  <si>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</si>
  <si>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</si>
  <si>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</si>
  <si>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</si>
  <si>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</si>
  <si>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</si>
  <si>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</si>
  <si>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</si>
  <si>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</si>
  <si>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</si>
  <si>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</si>
  <si>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</si>
  <si>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</si>
  <si>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</si>
  <si>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</si>
  <si>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</si>
  <si>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</si>
  <si>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</si>
  <si>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</si>
  <si>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</si>
  <si>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</si>
  <si>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</si>
  <si>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</si>
  <si>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</si>
  <si>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</si>
  <si>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</si>
  <si>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</si>
  <si>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</si>
  <si>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</si>
  <si>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</si>
  <si>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</si>
  <si>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</si>
  <si>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</si>
  <si>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</si>
  <si>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</si>
  <si>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</si>
  <si>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</si>
  <si>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</si>
  <si>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</si>
  <si>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</si>
  <si>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</si>
  <si>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</si>
  <si>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</si>
  <si>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</si>
  <si>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</si>
  <si>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</si>
  <si>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</si>
  <si>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</si>
  <si>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</si>
  <si>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</si>
  <si>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</si>
  <si>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</si>
  <si>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</si>
  <si>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</si>
  <si>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</si>
  <si>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</si>
  <si>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</si>
  <si>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</si>
  <si>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</si>
  <si>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</si>
  <si>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</si>
  <si>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</si>
  <si>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</si>
  <si>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</si>
  <si>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</si>
  <si>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</si>
  <si>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</si>
  <si>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</si>
  <si>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</si>
  <si>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</si>
  <si>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</si>
  <si>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</si>
  <si>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</si>
  <si>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</si>
  <si>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</si>
  <si>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</si>
  <si>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</si>
  <si>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</si>
  <si>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</si>
  <si>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</si>
  <si>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</si>
  <si>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</si>
  <si>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</si>
  <si>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</si>
  <si>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</si>
  <si>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</si>
  <si>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</si>
  <si>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</si>
  <si>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</si>
  <si>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</si>
  <si>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</si>
  <si>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</si>
  <si>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</si>
  <si>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</si>
  <si>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</si>
  <si>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</si>
  <si>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</si>
  <si>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</si>
  <si>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</si>
  <si>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</si>
  <si>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</si>
  <si>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</si>
  <si>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</si>
  <si>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</si>
  <si>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</si>
  <si>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</si>
  <si>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</si>
  <si>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</si>
  <si>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</si>
  <si>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</si>
  <si>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</si>
  <si>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</si>
  <si>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</si>
  <si>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</si>
  <si>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</si>
  <si>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</si>
  <si>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</si>
  <si>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</si>
  <si>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</si>
  <si>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</si>
  <si>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</si>
  <si>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</si>
  <si>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</si>
  <si>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</si>
  <si>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</si>
  <si>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</si>
  <si>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</si>
  <si>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</si>
  <si>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</si>
  <si>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</si>
  <si>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</si>
  <si>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</si>
  <si>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</si>
  <si>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</si>
  <si>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</si>
  <si>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</si>
  <si>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</si>
  <si>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</si>
  <si>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</si>
  <si>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</si>
  <si>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</si>
  <si>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</si>
  <si>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</si>
  <si>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</si>
  <si>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</si>
  <si>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</si>
  <si>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</si>
  <si>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</si>
  <si>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</si>
  <si>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</si>
  <si>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</si>
  <si>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</si>
  <si>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</si>
  <si>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</si>
  <si>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</si>
  <si>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</si>
  <si>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</si>
  <si>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</si>
  <si>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</si>
  <si>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</si>
  <si>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</si>
  <si>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</si>
  <si>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</si>
  <si>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</si>
  <si>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</si>
  <si>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</si>
  <si>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</si>
  <si>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</si>
  <si>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</si>
  <si>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</si>
  <si>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</si>
  <si>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</si>
  <si>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</si>
  <si>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</si>
  <si>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</si>
  <si>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</si>
  <si>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</si>
  <si>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</si>
  <si>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</si>
  <si>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</si>
  <si>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</si>
  <si>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</si>
  <si>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</si>
  <si>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</si>
  <si>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</si>
  <si>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</si>
  <si>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</si>
  <si>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</si>
  <si>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</si>
  <si>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</si>
  <si>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</si>
  <si>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</si>
  <si>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</si>
  <si>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</si>
  <si>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</si>
  <si>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</si>
  <si>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</si>
  <si>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</si>
  <si>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</si>
  <si>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</si>
  <si>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</si>
  <si>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</si>
  <si>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</si>
  <si>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</si>
  <si>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</si>
  <si>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</si>
  <si>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</si>
  <si>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</si>
  <si>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</si>
  <si>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</si>
  <si>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</si>
  <si>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</si>
  <si>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</si>
  <si>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</si>
  <si>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</si>
  <si>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</si>
  <si>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</si>
  <si>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</si>
  <si>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</si>
  <si>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</si>
  <si>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</si>
  <si>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</si>
  <si>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</si>
  <si>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</si>
  <si>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</si>
  <si>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</si>
  <si>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</si>
  <si>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</si>
  <si>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</si>
  <si>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</si>
  <si>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</si>
  <si>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</si>
  <si>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</si>
  <si>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</si>
  <si>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</si>
  <si>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</si>
  <si>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</si>
  <si>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</si>
  <si>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</si>
  <si>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</si>
  <si>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</si>
  <si>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</si>
  <si>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</si>
  <si>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</si>
  <si>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</si>
  <si>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</si>
  <si>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</si>
  <si>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</si>
  <si>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</si>
  <si>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</si>
  <si>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</si>
  <si>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</si>
  <si>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</si>
  <si>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</si>
  <si>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</si>
  <si>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</si>
  <si>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</si>
  <si>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</si>
  <si>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</si>
  <si>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</si>
  <si>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</si>
  <si>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</si>
  <si>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</si>
  <si>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</si>
  <si>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</si>
  <si>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</si>
  <si>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</si>
  <si>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</si>
  <si>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</si>
  <si>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</si>
  <si>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</si>
  <si>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</si>
  <si>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</si>
  <si>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</si>
  <si>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</si>
  <si>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</si>
  <si>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</si>
  <si>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</si>
  <si>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</si>
  <si>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</si>
  <si>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</si>
  <si>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</si>
  <si>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</si>
  <si>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</si>
  <si>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</si>
  <si>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</si>
  <si>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</si>
  <si>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</si>
  <si>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</si>
  <si>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</si>
  <si>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</si>
  <si>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</si>
  <si>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</si>
  <si>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</si>
  <si>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</si>
  <si>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</si>
  <si>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</si>
  <si>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</si>
  <si>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</si>
  <si>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</si>
  <si>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</si>
  <si>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</si>
  <si>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</si>
  <si>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</si>
  <si>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</si>
  <si>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</si>
  <si>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</si>
  <si>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</si>
  <si>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</si>
  <si>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</si>
  <si>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</si>
  <si>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</si>
  <si>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</si>
  <si>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</si>
  <si>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</si>
  <si>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</si>
  <si>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</si>
  <si>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</si>
  <si>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</si>
  <si>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</si>
  <si>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</si>
  <si>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</si>
  <si>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</si>
  <si>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</si>
  <si>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</si>
  <si>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</si>
  <si>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</si>
  <si>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</si>
  <si>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</si>
  <si>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</si>
  <si>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</si>
  <si>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</si>
  <si>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</si>
  <si>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</si>
  <si>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</si>
  <si>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</si>
  <si>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</si>
  <si>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</si>
  <si>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</si>
  <si>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</si>
  <si>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</si>
  <si>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</si>
  <si>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</si>
  <si>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</si>
  <si>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</si>
  <si>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</si>
  <si>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</si>
  <si>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</si>
  <si>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</si>
  <si>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</si>
  <si>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</si>
  <si>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</si>
  <si>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</si>
  <si>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</si>
  <si>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</si>
  <si>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</si>
  <si>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</si>
  <si>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</si>
  <si>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</si>
  <si>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</si>
  <si>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</si>
  <si>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</si>
  <si>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</si>
  <si>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</si>
  <si>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</si>
  <si>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</si>
  <si>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</si>
  <si>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</si>
  <si>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</si>
  <si>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</si>
  <si>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</si>
  <si>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</si>
  <si>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</si>
  <si>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</si>
  <si>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</si>
  <si>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</si>
  <si>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</si>
  <si>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</si>
  <si>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</si>
  <si>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</si>
  <si>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</si>
  <si>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</si>
  <si>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</si>
  <si>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</si>
  <si>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</si>
  <si>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</si>
  <si>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</si>
  <si>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</si>
  <si>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</si>
  <si>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</si>
  <si>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</si>
  <si>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</si>
  <si>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</si>
  <si>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</si>
  <si>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</si>
  <si>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</si>
  <si>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</si>
  <si>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</si>
  <si>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</si>
  <si>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</si>
  <si>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</si>
  <si>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</si>
  <si>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</si>
  <si>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</si>
  <si>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</si>
  <si>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</si>
  <si>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</si>
  <si>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</si>
  <si>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</si>
  <si>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</si>
  <si>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</si>
  <si>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</si>
  <si>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</si>
  <si>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</si>
  <si>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</si>
  <si>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</si>
  <si>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</si>
  <si>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</si>
  <si>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</si>
  <si>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</si>
  <si>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</si>
  <si>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</si>
  <si>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</si>
  <si>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</si>
  <si>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</si>
  <si>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</si>
  <si>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</si>
  <si>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</si>
  <si>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</si>
  <si>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</si>
  <si>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</si>
  <si>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</si>
  <si>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</si>
  <si>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</si>
  <si>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</si>
  <si>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</si>
  <si>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</si>
  <si>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</si>
  <si>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</si>
  <si>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</si>
  <si>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</si>
  <si>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</si>
  <si>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</si>
  <si>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</si>
  <si>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</si>
  <si>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</si>
  <si>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</si>
  <si>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</si>
  <si>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</si>
  <si>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</si>
  <si>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</si>
  <si>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</si>
  <si>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</si>
  <si>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</si>
  <si>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</si>
  <si>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</si>
  <si>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</si>
  <si>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</si>
  <si>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</si>
  <si>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</si>
  <si>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</si>
  <si>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</si>
  <si>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</si>
  <si>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</si>
  <si>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</si>
  <si>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</si>
  <si>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</si>
  <si>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</si>
  <si>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</si>
  <si>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</si>
  <si>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</si>
  <si>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</si>
  <si>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</si>
  <si>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</si>
  <si>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</si>
  <si>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</si>
  <si>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</si>
  <si>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</si>
  <si>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</si>
  <si>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</si>
  <si>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</si>
  <si>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</si>
  <si>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</si>
  <si>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</si>
  <si>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</si>
  <si>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</si>
  <si>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</si>
  <si>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</si>
  <si>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</si>
  <si>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</si>
  <si>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</si>
  <si>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</si>
  <si>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</si>
  <si>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</si>
  <si>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</si>
  <si>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</si>
  <si>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</si>
  <si>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</si>
  <si>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</si>
  <si>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</si>
  <si>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</si>
  <si>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</si>
  <si>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</si>
  <si>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</si>
  <si>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</si>
  <si>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</si>
  <si>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</si>
  <si>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</si>
  <si>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</si>
  <si>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</si>
  <si>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</si>
  <si>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</si>
  <si>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</si>
  <si>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</si>
  <si>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</si>
  <si>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</si>
  <si>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</si>
  <si>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</si>
  <si>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</si>
  <si>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</si>
  <si>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</si>
  <si>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</si>
  <si>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</si>
  <si>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</si>
  <si>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</si>
  <si>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</si>
  <si>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</si>
  <si>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</si>
  <si>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</si>
  <si>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</si>
  <si>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</si>
  <si>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</si>
  <si>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</si>
  <si>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</si>
  <si>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</si>
  <si>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</si>
  <si>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</si>
  <si>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</si>
  <si>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</si>
  <si>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</si>
  <si>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</si>
  <si>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</si>
  <si>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</si>
  <si>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</si>
  <si>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</si>
  <si>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</si>
  <si>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</si>
  <si>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</si>
  <si>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</si>
  <si>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</si>
  <si>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</si>
  <si>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</si>
  <si>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</si>
  <si>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</si>
  <si>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</si>
  <si>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</si>
  <si>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</si>
  <si>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</si>
  <si>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</si>
  <si>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</si>
  <si>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</si>
  <si>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</si>
  <si>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</si>
  <si>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</si>
  <si>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</si>
  <si>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</si>
  <si>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</si>
  <si>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</si>
  <si>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</si>
  <si>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</si>
  <si>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</si>
  <si>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</si>
  <si>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</si>
  <si>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</si>
  <si>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</si>
  <si>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</si>
  <si>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</si>
  <si>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</si>
  <si>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</si>
  <si>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</si>
  <si>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</si>
  <si>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</si>
  <si>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</si>
  <si>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</si>
  <si>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</si>
  <si>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</si>
  <si>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</si>
  <si>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</si>
  <si>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</si>
  <si>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</si>
  <si>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</si>
  <si>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</si>
  <si>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</si>
  <si>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</si>
  <si>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</si>
  <si>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</si>
  <si>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</si>
  <si>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</si>
  <si>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</si>
  <si>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</si>
  <si>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</si>
  <si>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</si>
  <si>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</si>
  <si>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</si>
  <si>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</si>
  <si>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</si>
  <si>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</si>
  <si>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</si>
  <si>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</si>
  <si>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</si>
  <si>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</si>
  <si>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</si>
  <si>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</si>
  <si>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</si>
  <si>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</si>
  <si>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</si>
  <si>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</si>
  <si>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</si>
  <si>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</si>
  <si>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</si>
  <si>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</si>
  <si>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</si>
  <si>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</si>
  <si>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</si>
  <si>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</si>
  <si>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</si>
  <si>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</si>
  <si>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</si>
  <si>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</si>
  <si>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</si>
  <si>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</si>
  <si>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</si>
  <si>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</si>
  <si>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</si>
  <si>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</si>
  <si>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</si>
  <si>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</si>
  <si>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</si>
  <si>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</si>
  <si>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</si>
  <si>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</si>
  <si>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</si>
  <si>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</si>
  <si>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</si>
  <si>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</si>
  <si>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</si>
  <si>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</si>
  <si>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</si>
  <si>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</si>
  <si>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</si>
  <si>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</si>
  <si>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</si>
  <si>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</si>
  <si>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</si>
  <si>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</si>
  <si>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</si>
  <si>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</si>
  <si>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</si>
  <si>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</si>
  <si>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</si>
  <si>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</si>
  <si>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</si>
  <si>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</si>
  <si>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</si>
  <si>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</si>
  <si>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</si>
  <si>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</si>
  <si>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</si>
  <si>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</si>
  <si>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</si>
  <si>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</si>
  <si>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</si>
  <si>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</si>
  <si>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</si>
  <si>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</si>
  <si>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</si>
  <si>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</si>
  <si>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</si>
  <si>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</si>
  <si>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</si>
  <si>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</si>
  <si>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</si>
  <si>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</si>
  <si>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</si>
  <si>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</si>
  <si>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</si>
  <si>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</si>
  <si>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</si>
  <si>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</si>
  <si>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</si>
  <si>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</si>
  <si>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</si>
  <si>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</si>
  <si>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</si>
  <si>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</si>
  <si>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</si>
  <si>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</si>
  <si>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</si>
  <si>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</si>
  <si>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</si>
  <si>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</si>
  <si>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</si>
  <si>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</si>
  <si>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</si>
  <si>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</si>
  <si>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</si>
  <si>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</si>
  <si>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</si>
  <si>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</si>
  <si>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</si>
  <si>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</si>
  <si>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</si>
  <si>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</si>
  <si>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</si>
  <si>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</si>
  <si>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</si>
  <si>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</si>
  <si>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</si>
  <si>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</si>
  <si>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</si>
  <si>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</si>
  <si>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</si>
  <si>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</si>
  <si>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</si>
  <si>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</si>
  <si>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</si>
  <si>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</si>
  <si>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</si>
  <si>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</si>
  <si>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</si>
  <si>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</si>
  <si>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</si>
  <si>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</si>
  <si>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</si>
  <si>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</si>
  <si>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</si>
  <si>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</si>
  <si>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</si>
  <si>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</si>
  <si>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</si>
  <si>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</si>
  <si>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</si>
  <si>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</si>
  <si>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</si>
  <si>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</si>
  <si>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</si>
  <si>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</si>
  <si>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</si>
  <si>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</si>
  <si>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</si>
  <si>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</si>
  <si>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</si>
  <si>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</si>
  <si>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</si>
  <si>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</si>
  <si>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</si>
  <si>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</si>
  <si>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</si>
  <si>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</si>
  <si>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</si>
  <si>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</si>
  <si>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</si>
  <si>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</si>
  <si>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</si>
  <si>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</si>
  <si>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</si>
  <si>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</si>
  <si>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</si>
  <si>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</si>
  <si>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</si>
  <si>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</si>
  <si>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</si>
  <si>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</si>
  <si>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</si>
  <si>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</si>
  <si>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</si>
  <si>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</si>
  <si>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</si>
  <si>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</si>
  <si>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</si>
  <si>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</si>
  <si>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</si>
  <si>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</si>
  <si>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</si>
  <si>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</si>
  <si>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</si>
  <si>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</si>
  <si>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</si>
  <si>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</si>
  <si>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</si>
  <si>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</si>
  <si>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</si>
  <si>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</si>
  <si>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</si>
  <si>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</si>
  <si>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</si>
  <si>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</si>
  <si>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</si>
  <si>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</si>
  <si>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</si>
  <si>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</si>
  <si>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</si>
  <si>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</si>
  <si>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</si>
  <si>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</si>
  <si>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</si>
  <si>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</si>
  <si>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</si>
  <si>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</si>
  <si>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</si>
  <si>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</si>
  <si>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</si>
  <si>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</si>
  <si>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</si>
  <si>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</si>
  <si>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</si>
  <si>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</si>
  <si>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</si>
  <si>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</si>
  <si>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</si>
  <si>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</si>
  <si>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</si>
  <si>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</si>
  <si>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</si>
  <si>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</si>
  <si>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</si>
  <si>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</si>
  <si>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</si>
  <si>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</si>
  <si>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</si>
  <si>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</si>
  <si>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</si>
  <si>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</si>
  <si>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</si>
  <si>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</si>
  <si>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</si>
  <si>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</si>
  <si>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</si>
  <si>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</si>
  <si>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</si>
  <si>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</si>
  <si>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</si>
  <si>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</si>
  <si>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</si>
  <si>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</si>
  <si>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</si>
  <si>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</si>
  <si>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</si>
  <si>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</si>
  <si>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</si>
  <si>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</si>
  <si>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</si>
  <si>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</si>
  <si>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</si>
  <si>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</si>
  <si>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</si>
  <si>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</si>
  <si>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</si>
  <si>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</si>
  <si>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</si>
  <si>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</si>
  <si>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</si>
  <si>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</si>
  <si>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</si>
  <si>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</si>
  <si>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</si>
  <si>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</si>
  <si>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</si>
  <si>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</si>
  <si>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</si>
  <si>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</si>
  <si>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</si>
  <si>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</si>
  <si>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</si>
  <si>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</si>
  <si>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</si>
  <si>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</si>
  <si>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</si>
  <si>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</si>
  <si>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</si>
  <si>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</si>
  <si>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</si>
  <si>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</si>
  <si>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</si>
  <si>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</si>
  <si>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</si>
  <si>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</si>
  <si>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</si>
  <si>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</si>
  <si>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</si>
  <si>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</si>
  <si>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</si>
  <si>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</si>
  <si>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</si>
  <si>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</si>
  <si>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</si>
  <si>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</si>
  <si>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</si>
  <si>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</si>
  <si>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</si>
  <si>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</si>
  <si>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</si>
  <si>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</si>
  <si>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</si>
  <si>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</si>
  <si>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</si>
  <si>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</si>
  <si>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</si>
  <si>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</si>
  <si>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</si>
  <si>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</si>
  <si>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</si>
  <si>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</si>
  <si>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</si>
  <si>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</si>
  <si>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</si>
  <si>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</si>
  <si>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</si>
  <si>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</si>
  <si>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</si>
  <si>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</si>
  <si>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</si>
  <si>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</si>
  <si>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</si>
  <si>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</si>
  <si>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</si>
  <si>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</si>
  <si>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</si>
  <si>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</si>
  <si>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</si>
  <si>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</si>
  <si>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</si>
  <si>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</si>
  <si>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</si>
  <si>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</si>
  <si>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</si>
  <si>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</si>
  <si>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</si>
  <si>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</si>
  <si>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</si>
  <si>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</si>
  <si>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</si>
  <si>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</si>
  <si>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</si>
  <si>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</si>
  <si>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</si>
  <si>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</si>
  <si>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</si>
  <si>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</si>
  <si>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</si>
  <si>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</si>
  <si>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</si>
  <si>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</si>
  <si>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</si>
  <si>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</si>
  <si>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</si>
  <si>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</si>
  <si>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</si>
  <si>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</si>
  <si>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</si>
  <si>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</si>
  <si>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</si>
  <si>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</si>
  <si>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</si>
  <si>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</si>
  <si>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</si>
  <si>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</si>
  <si>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</si>
  <si>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</si>
  <si>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</si>
  <si>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</si>
  <si>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</si>
  <si>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</si>
  <si>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</si>
  <si>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</si>
  <si>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</si>
  <si>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</si>
  <si>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</si>
  <si>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</si>
  <si>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</si>
  <si>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</si>
  <si>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</si>
  <si>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</si>
  <si>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</si>
  <si>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</si>
  <si>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</si>
  <si>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</si>
  <si>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</si>
  <si>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</si>
  <si>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</si>
  <si>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</si>
  <si>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</si>
  <si>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</si>
  <si>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</si>
  <si>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</si>
  <si>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</si>
  <si>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</si>
  <si>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</si>
  <si>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</si>
  <si>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</si>
  <si>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</si>
  <si>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</si>
  <si>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</si>
  <si>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</si>
  <si>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</si>
  <si>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</si>
  <si>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</si>
  <si>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</si>
  <si>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</si>
  <si>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</si>
  <si>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</si>
  <si>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</si>
  <si>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</si>
  <si>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</si>
  <si>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</si>
  <si>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</si>
  <si>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</si>
  <si>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</si>
  <si>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</si>
  <si>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</si>
  <si>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</si>
  <si>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</si>
  <si>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</si>
  <si>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</si>
  <si>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</si>
  <si>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</si>
  <si>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</si>
  <si>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</si>
  <si>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</si>
  <si>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</si>
  <si>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</si>
  <si>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</si>
  <si>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</si>
  <si>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</si>
  <si>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</si>
  <si>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</si>
  <si>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</si>
  <si>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</si>
  <si>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</si>
  <si>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</si>
  <si>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</si>
  <si>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</si>
  <si>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</si>
  <si>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</si>
  <si>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</si>
  <si>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</si>
  <si>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</si>
  <si>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</si>
  <si>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</si>
  <si>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</si>
  <si>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</si>
  <si>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</si>
  <si>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</si>
  <si>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</si>
  <si>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</si>
  <si>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</si>
  <si>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</si>
  <si>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</si>
  <si>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</si>
  <si>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</si>
  <si>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</si>
  <si>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</si>
  <si>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</si>
  <si>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</si>
  <si>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</si>
  <si>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</si>
  <si>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</si>
  <si>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</si>
  <si>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</si>
  <si>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</si>
  <si>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</si>
  <si>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</si>
  <si>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</si>
  <si>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</si>
  <si>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</si>
  <si>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</si>
  <si>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</si>
  <si>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</si>
  <si>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</si>
  <si>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</si>
  <si>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</si>
  <si>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</si>
  <si>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</si>
  <si>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</si>
  <si>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</si>
  <si>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</si>
  <si>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</si>
  <si>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</si>
  <si>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</si>
  <si>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</si>
  <si>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</si>
  <si>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</si>
  <si>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</si>
  <si>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</si>
  <si>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</si>
  <si>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</si>
  <si>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</si>
  <si>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</si>
  <si>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</si>
  <si>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</si>
  <si>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</si>
  <si>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</si>
  <si>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</si>
  <si>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</si>
  <si>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</si>
  <si>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</si>
  <si>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</si>
  <si>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</si>
  <si>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</si>
  <si>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</si>
  <si>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</si>
  <si>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</si>
  <si>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</si>
  <si>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</si>
  <si>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</si>
  <si>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</si>
  <si>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</si>
  <si>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</si>
  <si>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</si>
  <si>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</si>
  <si>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</si>
  <si>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</si>
  <si>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</si>
  <si>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</si>
  <si>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</si>
  <si>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</si>
  <si>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</si>
  <si>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</si>
  <si>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</si>
  <si>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</si>
  <si>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</si>
  <si>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</si>
  <si>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</si>
  <si>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</si>
  <si>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</si>
  <si>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</si>
  <si>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</si>
  <si>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</si>
  <si>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</si>
  <si>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</si>
  <si>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</si>
  <si>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</si>
  <si>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</si>
  <si>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</si>
  <si>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</si>
  <si>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</si>
  <si>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</si>
  <si>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</si>
  <si>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</si>
  <si>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</si>
  <si>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</si>
  <si>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</si>
  <si>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</si>
  <si>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</si>
  <si>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</si>
  <si>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</si>
  <si>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</si>
  <si>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</si>
  <si>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</si>
  <si>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</si>
  <si>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</si>
  <si>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</si>
  <si>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</si>
  <si>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</si>
  <si>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</si>
  <si>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</si>
  <si>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</si>
  <si>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</si>
  <si>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</si>
  <si>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</si>
  <si>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</si>
  <si>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</si>
  <si>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</si>
  <si>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</si>
  <si>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</si>
  <si>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</si>
  <si>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</si>
  <si>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</si>
  <si>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</si>
  <si>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</si>
  <si>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</si>
  <si>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</si>
  <si>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</si>
  <si>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</si>
  <si>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</si>
  <si>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</si>
  <si>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</si>
  <si>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</si>
  <si>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</si>
  <si>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</si>
  <si>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</si>
  <si>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</si>
  <si>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</si>
  <si>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</si>
  <si>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</si>
  <si>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</si>
  <si>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</si>
  <si>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</si>
  <si>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</si>
  <si>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</si>
  <si>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</si>
  <si>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</si>
  <si>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</si>
  <si>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</si>
  <si>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</si>
  <si>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</si>
  <si>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</si>
  <si>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</si>
  <si>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</si>
  <si>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</si>
  <si>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</si>
  <si>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</si>
  <si>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</si>
  <si>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</si>
  <si>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</si>
  <si>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</si>
  <si>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</si>
  <si>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</si>
  <si>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</si>
  <si>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</si>
  <si>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</si>
  <si>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</si>
  <si>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</si>
  <si>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</si>
  <si>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</si>
  <si>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</si>
  <si>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</si>
  <si>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</si>
  <si>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</si>
  <si>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</si>
  <si>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</si>
  <si>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</si>
  <si>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</si>
  <si>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</si>
  <si>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</si>
  <si>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</si>
  <si>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</si>
  <si>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</si>
  <si>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</si>
  <si>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</si>
  <si>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</si>
  <si>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</si>
  <si>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</si>
  <si>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</si>
  <si>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</si>
  <si>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</si>
  <si>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</si>
  <si>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</si>
  <si>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</si>
  <si>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</si>
  <si>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</si>
  <si>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</si>
  <si>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</si>
  <si>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</si>
  <si>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</si>
  <si>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</si>
  <si>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</si>
  <si>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</si>
  <si>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</si>
  <si>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</si>
  <si>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</si>
  <si>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</si>
  <si>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</si>
  <si>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</si>
  <si>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</si>
  <si>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</si>
  <si>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</si>
  <si>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</si>
  <si>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</si>
  <si>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</si>
  <si>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</si>
  <si>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</si>
  <si>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</si>
  <si>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</si>
  <si>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</si>
  <si>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</si>
  <si>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</si>
  <si>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</si>
  <si>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</si>
  <si>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</si>
  <si>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</si>
  <si>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</si>
  <si>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</si>
  <si>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</si>
  <si>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</si>
  <si>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</si>
  <si>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</si>
  <si>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</si>
  <si>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</si>
  <si>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</si>
  <si>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</si>
  <si>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</si>
  <si>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</si>
  <si>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</si>
  <si>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</si>
  <si>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기타외주</t>
    <phoneticPr fontId="2" type="noConversion"/>
  </si>
  <si>
    <t>박주성</t>
    <phoneticPr fontId="2" type="noConversion"/>
  </si>
  <si>
    <t>진진(2), DST(1)</t>
    <phoneticPr fontId="2" type="noConversion"/>
  </si>
  <si>
    <t>WB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</si>
  <si>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</si>
  <si>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</si>
  <si>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</si>
  <si>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</si>
  <si>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</si>
  <si>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</si>
  <si>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</si>
  <si>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</si>
  <si>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</si>
  <si>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</si>
  <si>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</si>
  <si>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</si>
  <si>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</si>
  <si>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</si>
  <si>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</si>
  <si>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</si>
  <si>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</si>
  <si>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</si>
  <si>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</si>
  <si>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</si>
  <si>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</si>
  <si>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</si>
  <si>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</si>
  <si>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</si>
  <si>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</si>
  <si>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</si>
  <si>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</si>
  <si>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</si>
  <si>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진진(2)</t>
    <phoneticPr fontId="2" type="noConversion"/>
  </si>
  <si>
    <t>우신(1)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</si>
  <si>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</si>
  <si>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</si>
  <si>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</si>
  <si>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</si>
  <si>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</si>
  <si>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진진(1)</t>
    <phoneticPr fontId="2" type="noConversion"/>
  </si>
  <si>
    <t>램프 공급/ 설치</t>
    <phoneticPr fontId="2" type="noConversion"/>
  </si>
  <si>
    <t>와이어로프 교체(손상 원인 파악/와이어로프 회수요함)</t>
    <phoneticPr fontId="2" type="noConversion"/>
  </si>
  <si>
    <t>14주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</si>
  <si>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</si>
  <si>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</si>
  <si>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</si>
  <si>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13주 긴급지원</t>
    <phoneticPr fontId="2" type="noConversion"/>
  </si>
  <si>
    <t>TF</t>
  </si>
  <si>
    <t>ASS`Y 조립</t>
  </si>
  <si>
    <t>HIO(1)</t>
    <phoneticPr fontId="2" type="noConversion"/>
  </si>
  <si>
    <t>SWN0290</t>
    <phoneticPr fontId="2" type="noConversion"/>
  </si>
  <si>
    <t>RB</t>
    <phoneticPr fontId="2" type="noConversion"/>
  </si>
  <si>
    <t>포장</t>
    <phoneticPr fontId="2" type="noConversion"/>
  </si>
  <si>
    <t>송영국</t>
    <phoneticPr fontId="2" type="noConversion"/>
  </si>
  <si>
    <t>우신(1)</t>
    <phoneticPr fontId="2" type="noConversion"/>
  </si>
  <si>
    <t>14주</t>
    <phoneticPr fontId="2" type="noConversion"/>
  </si>
  <si>
    <t>서영진</t>
    <phoneticPr fontId="2" type="noConversion"/>
  </si>
  <si>
    <t>선주코멘트</t>
    <phoneticPr fontId="2" type="noConversion"/>
  </si>
  <si>
    <t>정기보증수리</t>
    <phoneticPr fontId="2" type="noConversion"/>
  </si>
  <si>
    <t>계약사항</t>
    <phoneticPr fontId="2" type="noConversion"/>
  </si>
  <si>
    <t>인평대 지적사항 조치(조이스틱 보관함 수정)</t>
    <phoneticPr fontId="2" type="noConversion"/>
  </si>
  <si>
    <t>박성용</t>
    <phoneticPr fontId="2" type="noConversion"/>
  </si>
  <si>
    <t>동아(1)</t>
    <phoneticPr fontId="2" type="noConversion"/>
  </si>
  <si>
    <t>무상</t>
    <phoneticPr fontId="2" type="noConversion"/>
  </si>
  <si>
    <t>ASS`Y 조립, FOLDING RAIL 조립</t>
  </si>
  <si>
    <t>박해식</t>
    <phoneticPr fontId="2" type="noConversion"/>
  </si>
  <si>
    <t>최기추, HIO(5)</t>
    <phoneticPr fontId="2" type="noConversion"/>
  </si>
  <si>
    <t>SWN0288</t>
    <phoneticPr fontId="2" type="noConversion"/>
  </si>
  <si>
    <t>KT</t>
    <phoneticPr fontId="2" type="noConversion"/>
  </si>
  <si>
    <t>TNG026</t>
    <phoneticPr fontId="2" type="noConversion"/>
  </si>
  <si>
    <t>RB</t>
    <phoneticPr fontId="2" type="noConversion"/>
  </si>
  <si>
    <t>보수도장/ 포장</t>
    <phoneticPr fontId="2" type="noConversion"/>
  </si>
  <si>
    <t>송영국</t>
    <phoneticPr fontId="2" type="noConversion"/>
  </si>
  <si>
    <t>보수도장</t>
    <phoneticPr fontId="2" type="noConversion"/>
  </si>
  <si>
    <t>우신(1)</t>
    <phoneticPr fontId="2" type="noConversion"/>
  </si>
  <si>
    <t>우신(4)</t>
    <phoneticPr fontId="2" type="noConversion"/>
  </si>
  <si>
    <t>HIO(3)</t>
    <phoneticPr fontId="2" type="noConversion"/>
  </si>
  <si>
    <t>4/7~4/10</t>
    <phoneticPr fontId="2" type="noConversion"/>
  </si>
  <si>
    <t>4/6 ~ 4/10</t>
    <phoneticPr fontId="2" type="noConversion"/>
  </si>
  <si>
    <t>4/6 ~ 4/8</t>
    <phoneticPr fontId="2" type="noConversion"/>
  </si>
  <si>
    <t>S207</t>
    <phoneticPr fontId="2" type="noConversion"/>
  </si>
  <si>
    <t>CS</t>
    <phoneticPr fontId="2" type="noConversion"/>
  </si>
  <si>
    <t>설치/시운전</t>
    <phoneticPr fontId="2" type="noConversion"/>
  </si>
  <si>
    <t>HIO(2)</t>
    <phoneticPr fontId="2" type="noConversion"/>
  </si>
  <si>
    <t>4/9 ~ 4/10</t>
    <phoneticPr fontId="2" type="noConversion"/>
  </si>
  <si>
    <t>CS</t>
    <phoneticPr fontId="2" type="noConversion"/>
  </si>
  <si>
    <t>소형계선기 설치</t>
    <phoneticPr fontId="2" type="noConversion"/>
  </si>
  <si>
    <t xml:space="preserve"> HJSC</t>
    <phoneticPr fontId="2" type="noConversion"/>
  </si>
  <si>
    <t>박주성</t>
    <phoneticPr fontId="2" type="noConversion"/>
  </si>
  <si>
    <t>진진(2)</t>
    <phoneticPr fontId="2" type="noConversion"/>
  </si>
  <si>
    <t>ERC, FOLDING RAIL 시운전/ 자체TEST</t>
    <phoneticPr fontId="2" type="noConversion"/>
  </si>
  <si>
    <t>13주 추가</t>
    <phoneticPr fontId="2" type="noConversion"/>
  </si>
  <si>
    <t>설치</t>
    <phoneticPr fontId="2" type="noConversion"/>
  </si>
  <si>
    <t>CNM(2)</t>
    <phoneticPr fontId="2" type="noConversion"/>
  </si>
  <si>
    <t>인도전</t>
    <phoneticPr fontId="2" type="noConversion"/>
  </si>
  <si>
    <t>RB</t>
    <phoneticPr fontId="2" type="noConversion"/>
  </si>
  <si>
    <t>동아(1)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</si>
  <si>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</si>
  <si>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</si>
  <si>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</si>
  <si>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</si>
  <si>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</si>
  <si>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우신(2)</t>
    <phoneticPr fontId="2" type="noConversion"/>
  </si>
  <si>
    <t>박주성</t>
    <phoneticPr fontId="2" type="noConversion"/>
  </si>
  <si>
    <t>0160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</si>
  <si>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</si>
  <si>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</si>
  <si>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</si>
  <si>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</si>
  <si>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</si>
  <si>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</si>
  <si>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</si>
  <si>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</si>
  <si>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</si>
  <si>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조이스틱 보관함 수정 (김용훈 안전교육)</t>
    <phoneticPr fontId="2" type="noConversion"/>
  </si>
  <si>
    <t>박해식(오후)반차</t>
    <phoneticPr fontId="2" type="noConversion"/>
  </si>
  <si>
    <t>김은영(오후)반차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</si>
  <si>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</si>
  <si>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</si>
  <si>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</si>
  <si>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</si>
  <si>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</si>
  <si>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</si>
  <si>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</si>
  <si>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출입신청&amp;교육신청 완료</t>
    <phoneticPr fontId="2" type="noConversion"/>
  </si>
  <si>
    <t>0160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</si>
</sst>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9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3" fillId="3" borderId="1" xfId="0" applyFont="1" applyFill="1" applyBorder="1">
      <alignment vertical="center"/>
    </xf>
    <xf numFmtId="0" fontId="7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26" fillId="0" borderId="9" xfId="0" applyFont="1" applyBorder="1" applyAlignment="1">
      <alignment vertical="center" wrapText="1"/>
    </xf>
    <xf numFmtId="0" fontId="99" fillId="0" borderId="9" xfId="0" applyFont="1" applyBorder="1">
      <alignment vertical="center"/>
    </xf>
    <xf numFmtId="0" fontId="26" fillId="0" borderId="9" xfId="0" applyFont="1" applyBorder="1">
      <alignment vertical="center"/>
    </xf>
    <xf numFmtId="0" fontId="99" fillId="0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58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62"/>
  <sheetViews>
    <sheetView showGridLines="0" tabSelected="1" topLeftCell="A219" zoomScaleNormal="100" workbookViewId="0">
      <selection activeCell="H232" sqref="H232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 x14ac:dyDescent="0.3">
      <c r="A1" s="648" t="s">
        <v>3265</v>
      </c>
      <c r="B1" s="648"/>
      <c r="C1" s="648"/>
      <c r="D1" s="648"/>
      <c r="E1" s="648"/>
      <c r="F1" s="648"/>
      <c r="G1" s="648"/>
      <c r="H1" s="648"/>
      <c r="I1" s="648"/>
      <c r="J1" s="648"/>
      <c r="K1" s="648"/>
      <c r="L1" s="648"/>
      <c r="M1" s="648"/>
      <c r="N1" s="1"/>
    </row>
    <row r="2" spans="1:17" s="17" customFormat="1" ht="27" customHeight="1" x14ac:dyDescent="0.3">
      <c r="A2" s="330" t="s">
        <v>0</v>
      </c>
      <c r="B2" s="331" t="s">
        <v>1</v>
      </c>
      <c r="C2" s="330" t="s">
        <v>2</v>
      </c>
      <c r="D2" s="330" t="s">
        <v>3</v>
      </c>
      <c r="E2" s="330" t="s">
        <v>4</v>
      </c>
      <c r="F2" s="330" t="s">
        <v>5</v>
      </c>
      <c r="G2" s="330" t="s">
        <v>6</v>
      </c>
      <c r="H2" s="332" t="s">
        <v>7</v>
      </c>
      <c r="I2" s="330" t="s">
        <v>8</v>
      </c>
      <c r="J2" s="330" t="s">
        <v>9</v>
      </c>
      <c r="K2" s="333" t="s">
        <v>10</v>
      </c>
      <c r="L2" s="334" t="s">
        <v>11</v>
      </c>
      <c r="M2" s="330" t="s">
        <v>12</v>
      </c>
      <c r="N2" s="467" t="s">
        <v>13</v>
      </c>
      <c r="O2" s="330" t="s">
        <v>63</v>
      </c>
    </row>
    <row r="3" spans="1:17" s="17" customFormat="1" ht="33" customHeight="1" x14ac:dyDescent="0.3">
      <c r="A3" s="446" t="s">
        <v>3337</v>
      </c>
      <c r="B3" s="412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8" t="s">
        <v>3342</v>
      </c>
      <c r="I3" s="31" t="s">
        <v>90</v>
      </c>
      <c r="J3" s="198" t="s">
        <v>3343</v>
      </c>
      <c r="K3" s="125" t="s">
        <v>15</v>
      </c>
      <c r="L3" s="16"/>
      <c r="M3" s="8">
        <v>3</v>
      </c>
      <c r="N3" s="31" t="s">
        <v>3344</v>
      </c>
      <c r="O3" s="451" t="s">
        <v>3345</v>
      </c>
    </row>
    <row r="4" spans="1:17" s="17" customFormat="1" ht="33" customHeight="1" x14ac:dyDescent="0.3">
      <c r="A4" s="447"/>
      <c r="B4" s="412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8" t="s">
        <v>3348</v>
      </c>
      <c r="I4" s="31" t="s">
        <v>1952</v>
      </c>
      <c r="J4" s="198" t="s">
        <v>2832</v>
      </c>
      <c r="K4" s="125" t="s">
        <v>15</v>
      </c>
      <c r="L4" s="16">
        <v>9080</v>
      </c>
      <c r="M4" s="8">
        <v>2</v>
      </c>
      <c r="N4" s="198"/>
      <c r="O4" s="452" t="s">
        <v>4518</v>
      </c>
    </row>
    <row r="5" spans="1:17" s="17" customFormat="1" ht="33" customHeight="1" x14ac:dyDescent="0.3">
      <c r="A5" s="447"/>
      <c r="B5" s="412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8" t="s">
        <v>3350</v>
      </c>
      <c r="I5" s="31"/>
      <c r="J5" s="198" t="s">
        <v>3351</v>
      </c>
      <c r="K5" s="125" t="s">
        <v>15</v>
      </c>
      <c r="L5" s="16"/>
      <c r="M5" s="8">
        <v>5</v>
      </c>
      <c r="N5" s="444"/>
      <c r="O5" s="452" t="s">
        <v>3352</v>
      </c>
      <c r="P5" s="414" t="s">
        <v>3353</v>
      </c>
      <c r="Q5"/>
    </row>
    <row r="6" spans="1:17" s="17" customFormat="1" ht="33" customHeight="1" x14ac:dyDescent="0.3">
      <c r="A6" s="447"/>
      <c r="B6" s="412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8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51" t="s">
        <v>3358</v>
      </c>
      <c r="Q6"/>
    </row>
    <row r="7" spans="1:17" s="17" customFormat="1" ht="33" customHeight="1" x14ac:dyDescent="0.3">
      <c r="A7" s="447"/>
      <c r="B7" s="412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8" t="s">
        <v>3348</v>
      </c>
      <c r="I7" s="31" t="s">
        <v>3361</v>
      </c>
      <c r="J7" s="198" t="s">
        <v>2832</v>
      </c>
      <c r="K7" s="125" t="s">
        <v>15</v>
      </c>
      <c r="L7" s="16"/>
      <c r="M7" s="8">
        <v>3</v>
      </c>
      <c r="N7" s="31"/>
      <c r="O7" s="452" t="s">
        <v>3362</v>
      </c>
      <c r="Q7"/>
    </row>
    <row r="8" spans="1:17" s="17" customFormat="1" ht="33" customHeight="1" x14ac:dyDescent="0.3">
      <c r="A8" s="447"/>
      <c r="B8" s="412">
        <v>46022</v>
      </c>
      <c r="C8" s="59" t="s">
        <v>21</v>
      </c>
      <c r="D8" s="59" t="s">
        <v>17</v>
      </c>
      <c r="E8" s="318" t="s">
        <v>78</v>
      </c>
      <c r="F8" s="318" t="s">
        <v>1649</v>
      </c>
      <c r="G8" s="202" t="s">
        <v>23</v>
      </c>
      <c r="H8" s="317" t="s">
        <v>3363</v>
      </c>
      <c r="I8" s="318" t="s">
        <v>90</v>
      </c>
      <c r="J8" s="318" t="s">
        <v>3364</v>
      </c>
      <c r="K8" s="316" t="s">
        <v>15</v>
      </c>
      <c r="L8" s="202"/>
      <c r="M8" s="187">
        <v>3</v>
      </c>
      <c r="N8" s="318"/>
      <c r="O8" s="468" t="s">
        <v>3365</v>
      </c>
      <c r="Q8" s="420"/>
    </row>
    <row r="9" spans="1:17" s="17" customFormat="1" ht="33" customHeight="1" x14ac:dyDescent="0.3">
      <c r="A9" s="447"/>
      <c r="B9" s="412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8" t="s">
        <v>4318</v>
      </c>
      <c r="I9" s="31"/>
      <c r="J9" s="198" t="s">
        <v>3366</v>
      </c>
      <c r="K9" s="125" t="s">
        <v>15</v>
      </c>
      <c r="L9" s="16"/>
      <c r="M9" s="8">
        <v>2</v>
      </c>
      <c r="N9" s="31" t="s">
        <v>172</v>
      </c>
      <c r="O9" s="452" t="s">
        <v>3367</v>
      </c>
      <c r="P9" s="421" t="s">
        <v>3368</v>
      </c>
      <c r="Q9" s="420"/>
    </row>
    <row r="10" spans="1:17" s="17" customFormat="1" ht="33" customHeight="1" x14ac:dyDescent="0.3">
      <c r="A10" s="447"/>
      <c r="B10" s="412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8" t="s">
        <v>3369</v>
      </c>
      <c r="I10" s="31"/>
      <c r="J10" s="198" t="s">
        <v>686</v>
      </c>
      <c r="K10" s="125" t="s">
        <v>3370</v>
      </c>
      <c r="L10" s="16"/>
      <c r="M10" s="8">
        <v>1</v>
      </c>
      <c r="N10" s="31"/>
      <c r="O10" s="453" t="s">
        <v>4727</v>
      </c>
      <c r="Q10" s="420"/>
    </row>
    <row r="11" spans="1:17" s="17" customFormat="1" ht="33" customHeight="1" x14ac:dyDescent="0.3">
      <c r="A11" s="447"/>
      <c r="B11" s="412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8" t="s">
        <v>3373</v>
      </c>
      <c r="I11" s="31"/>
      <c r="J11" s="198" t="s">
        <v>3274</v>
      </c>
      <c r="K11" s="125" t="s">
        <v>3328</v>
      </c>
      <c r="L11" s="16"/>
      <c r="M11" s="8">
        <v>1</v>
      </c>
      <c r="N11" s="31"/>
      <c r="O11" s="453" t="s">
        <v>3399</v>
      </c>
      <c r="Q11" s="420"/>
    </row>
    <row r="12" spans="1:17" s="17" customFormat="1" ht="33" customHeight="1" x14ac:dyDescent="0.3">
      <c r="A12" s="447"/>
      <c r="B12" s="412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8" t="s">
        <v>3375</v>
      </c>
      <c r="I12" s="31" t="s">
        <v>90</v>
      </c>
      <c r="J12" s="198" t="s">
        <v>686</v>
      </c>
      <c r="K12" s="125" t="s">
        <v>15</v>
      </c>
      <c r="L12" s="16"/>
      <c r="M12" s="8">
        <v>2</v>
      </c>
      <c r="N12" s="31"/>
      <c r="O12" s="453" t="s">
        <v>3374</v>
      </c>
      <c r="Q12" s="420"/>
    </row>
    <row r="13" spans="1:17" s="17" customFormat="1" ht="33" customHeight="1" x14ac:dyDescent="0.3">
      <c r="A13" s="447"/>
      <c r="B13" s="412">
        <v>46022</v>
      </c>
      <c r="C13" s="4" t="s">
        <v>3326</v>
      </c>
      <c r="D13" s="4" t="s">
        <v>14</v>
      </c>
      <c r="E13" s="31" t="s">
        <v>3377</v>
      </c>
      <c r="F13" s="198">
        <v>7064</v>
      </c>
      <c r="G13" s="16" t="s">
        <v>83</v>
      </c>
      <c r="H13" s="321" t="s">
        <v>3378</v>
      </c>
      <c r="I13" s="198"/>
      <c r="J13" s="198" t="s">
        <v>3395</v>
      </c>
      <c r="K13" s="125" t="s">
        <v>15</v>
      </c>
      <c r="L13" s="16"/>
      <c r="M13" s="8">
        <v>3</v>
      </c>
      <c r="N13" s="31"/>
      <c r="O13" s="453" t="s">
        <v>3380</v>
      </c>
      <c r="Q13" s="420"/>
    </row>
    <row r="14" spans="1:17" s="17" customFormat="1" ht="33" customHeight="1" x14ac:dyDescent="0.3">
      <c r="A14" s="447"/>
      <c r="B14" s="412">
        <v>46023</v>
      </c>
      <c r="C14" s="4"/>
      <c r="D14" s="4"/>
      <c r="E14" s="31"/>
      <c r="F14" s="31"/>
      <c r="G14" s="16"/>
      <c r="H14" s="422" t="s">
        <v>3381</v>
      </c>
      <c r="I14" s="31"/>
      <c r="J14" s="198"/>
      <c r="K14" s="125"/>
      <c r="L14" s="16"/>
      <c r="M14" s="8"/>
      <c r="N14" s="31"/>
      <c r="O14" s="469"/>
    </row>
    <row r="15" spans="1:17" s="17" customFormat="1" ht="33" customHeight="1" x14ac:dyDescent="0.3">
      <c r="A15" s="447"/>
      <c r="B15" s="412">
        <v>46023</v>
      </c>
      <c r="C15" s="4"/>
      <c r="D15" s="4"/>
      <c r="E15" s="31"/>
      <c r="F15" s="31"/>
      <c r="G15" s="16"/>
      <c r="H15" s="198"/>
      <c r="I15" s="31"/>
      <c r="J15" s="31"/>
      <c r="K15" s="125"/>
      <c r="L15" s="16"/>
      <c r="M15" s="8"/>
      <c r="N15" s="31"/>
      <c r="O15" s="451"/>
    </row>
    <row r="16" spans="1:17" s="17" customFormat="1" ht="32.25" customHeight="1" x14ac:dyDescent="0.3">
      <c r="A16" s="447"/>
      <c r="B16" s="412">
        <v>46024</v>
      </c>
      <c r="C16" s="4" t="s">
        <v>3382</v>
      </c>
      <c r="D16" s="4" t="s">
        <v>14</v>
      </c>
      <c r="E16" s="31" t="s">
        <v>3383</v>
      </c>
      <c r="F16" s="198">
        <v>222003</v>
      </c>
      <c r="G16" s="16" t="s">
        <v>23</v>
      </c>
      <c r="H16" s="198" t="s">
        <v>3384</v>
      </c>
      <c r="I16" s="31"/>
      <c r="J16" s="198" t="s">
        <v>41</v>
      </c>
      <c r="K16" s="125" t="s">
        <v>15</v>
      </c>
      <c r="L16" s="16"/>
      <c r="M16" s="8">
        <v>1</v>
      </c>
      <c r="N16" s="298" t="s">
        <v>3397</v>
      </c>
      <c r="O16" s="453" t="s">
        <v>3385</v>
      </c>
      <c r="Q16" s="327"/>
    </row>
    <row r="17" spans="1:19" s="17" customFormat="1" ht="32.25" customHeight="1" x14ac:dyDescent="0.3">
      <c r="A17" s="447"/>
      <c r="B17" s="412">
        <v>46024</v>
      </c>
      <c r="C17" s="4" t="s">
        <v>3338</v>
      </c>
      <c r="D17" s="4" t="s">
        <v>17</v>
      </c>
      <c r="E17" s="321" t="s">
        <v>78</v>
      </c>
      <c r="F17" s="31" t="s">
        <v>3304</v>
      </c>
      <c r="G17" s="16" t="s">
        <v>3305</v>
      </c>
      <c r="H17" s="198" t="s">
        <v>3386</v>
      </c>
      <c r="I17" s="31" t="s">
        <v>2817</v>
      </c>
      <c r="J17" s="198"/>
      <c r="K17" s="125" t="s">
        <v>3328</v>
      </c>
      <c r="L17" s="16" t="s">
        <v>33</v>
      </c>
      <c r="M17" s="8">
        <v>1</v>
      </c>
      <c r="N17" s="31"/>
      <c r="O17" s="454" t="s">
        <v>3387</v>
      </c>
      <c r="Q17" s="327"/>
    </row>
    <row r="18" spans="1:19" s="17" customFormat="1" ht="32.25" customHeight="1" x14ac:dyDescent="0.3">
      <c r="A18" s="447"/>
      <c r="B18" s="412">
        <v>46024</v>
      </c>
      <c r="C18" s="4" t="s">
        <v>3382</v>
      </c>
      <c r="D18" s="4" t="s">
        <v>14</v>
      </c>
      <c r="E18" s="31" t="s">
        <v>3376</v>
      </c>
      <c r="F18" s="198">
        <v>7064</v>
      </c>
      <c r="G18" s="16" t="s">
        <v>3699</v>
      </c>
      <c r="H18" s="298" t="s">
        <v>4564</v>
      </c>
      <c r="I18" s="198"/>
      <c r="J18" s="198" t="s">
        <v>3379</v>
      </c>
      <c r="K18" s="125" t="s">
        <v>3328</v>
      </c>
      <c r="L18" s="16">
        <v>9080</v>
      </c>
      <c r="M18" s="8">
        <v>3</v>
      </c>
      <c r="N18" s="31"/>
      <c r="O18" s="453" t="s">
        <v>4312</v>
      </c>
      <c r="Q18" s="327"/>
    </row>
    <row r="19" spans="1:19" s="17" customFormat="1" ht="33" customHeight="1" x14ac:dyDescent="0.3">
      <c r="A19" s="447"/>
      <c r="B19" s="412">
        <v>46025</v>
      </c>
      <c r="C19" s="4"/>
      <c r="D19" s="4"/>
      <c r="E19" s="31"/>
      <c r="F19" s="31"/>
      <c r="G19" s="16"/>
      <c r="H19" s="198"/>
      <c r="I19" s="198"/>
      <c r="J19" s="198"/>
      <c r="K19" s="125"/>
      <c r="L19" s="16"/>
      <c r="M19" s="8"/>
      <c r="N19" s="31"/>
      <c r="O19" s="455"/>
    </row>
    <row r="20" spans="1:19" s="17" customFormat="1" ht="33" customHeight="1" x14ac:dyDescent="0.3">
      <c r="A20" s="448"/>
      <c r="B20" s="412">
        <v>46025</v>
      </c>
      <c r="C20" s="4"/>
      <c r="D20" s="4"/>
      <c r="E20" s="31"/>
      <c r="F20" s="31"/>
      <c r="G20" s="16"/>
      <c r="H20" s="198"/>
      <c r="I20" s="198"/>
      <c r="J20" s="198"/>
      <c r="K20" s="125"/>
      <c r="L20" s="16"/>
      <c r="M20" s="8"/>
      <c r="N20" s="31"/>
      <c r="O20" s="455"/>
    </row>
    <row r="21" spans="1:19" s="17" customFormat="1" ht="27" customHeight="1" x14ac:dyDescent="0.3">
      <c r="A21" s="449" t="s">
        <v>0</v>
      </c>
      <c r="B21" s="331" t="s">
        <v>1</v>
      </c>
      <c r="C21" s="330" t="s">
        <v>2</v>
      </c>
      <c r="D21" s="330" t="s">
        <v>3</v>
      </c>
      <c r="E21" s="330" t="s">
        <v>4</v>
      </c>
      <c r="F21" s="330" t="s">
        <v>5</v>
      </c>
      <c r="G21" s="330" t="s">
        <v>6</v>
      </c>
      <c r="H21" s="332" t="s">
        <v>7</v>
      </c>
      <c r="I21" s="330" t="s">
        <v>8</v>
      </c>
      <c r="J21" s="330" t="s">
        <v>9</v>
      </c>
      <c r="K21" s="333" t="s">
        <v>10</v>
      </c>
      <c r="L21" s="334" t="s">
        <v>11</v>
      </c>
      <c r="M21" s="330" t="s">
        <v>12</v>
      </c>
      <c r="N21" s="335" t="s">
        <v>13</v>
      </c>
      <c r="O21" s="450" t="s">
        <v>63</v>
      </c>
    </row>
    <row r="22" spans="1:19" s="17" customFormat="1" ht="33" customHeight="1" x14ac:dyDescent="0.3">
      <c r="A22" s="446" t="s">
        <v>3275</v>
      </c>
      <c r="B22" s="412">
        <v>46027</v>
      </c>
      <c r="C22" s="4" t="s">
        <v>21</v>
      </c>
      <c r="D22" s="4" t="s">
        <v>14</v>
      </c>
      <c r="E22" s="31" t="s">
        <v>140</v>
      </c>
      <c r="F22" s="198" t="s">
        <v>3276</v>
      </c>
      <c r="G22" s="16" t="s">
        <v>3277</v>
      </c>
      <c r="H22" s="198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6" t="s">
        <v>3281</v>
      </c>
      <c r="P22" s="642"/>
      <c r="Q22" s="643"/>
      <c r="R22" s="643"/>
      <c r="S22" s="643"/>
    </row>
    <row r="23" spans="1:19" s="17" customFormat="1" ht="33" customHeight="1" x14ac:dyDescent="0.3">
      <c r="A23" s="447"/>
      <c r="B23" s="412">
        <v>46027</v>
      </c>
      <c r="C23" s="4" t="s">
        <v>3282</v>
      </c>
      <c r="D23" s="4" t="s">
        <v>3283</v>
      </c>
      <c r="E23" s="31" t="s">
        <v>3284</v>
      </c>
      <c r="F23" s="198" t="s">
        <v>2821</v>
      </c>
      <c r="G23" s="16" t="s">
        <v>3285</v>
      </c>
      <c r="H23" s="198" t="s">
        <v>4315</v>
      </c>
      <c r="I23" s="198"/>
      <c r="J23" s="198" t="s">
        <v>3286</v>
      </c>
      <c r="K23" s="125" t="s">
        <v>84</v>
      </c>
      <c r="L23" s="16">
        <v>9080</v>
      </c>
      <c r="M23" s="8">
        <v>3</v>
      </c>
      <c r="N23" s="31"/>
      <c r="O23" s="452" t="s">
        <v>4474</v>
      </c>
      <c r="P23" s="419"/>
      <c r="Q23" s="392"/>
      <c r="R23" s="392"/>
    </row>
    <row r="24" spans="1:19" s="17" customFormat="1" ht="33" customHeight="1" x14ac:dyDescent="0.3">
      <c r="A24" s="447"/>
      <c r="B24" s="412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8" t="s">
        <v>4316</v>
      </c>
      <c r="I24" s="31"/>
      <c r="J24" s="198" t="s">
        <v>3292</v>
      </c>
      <c r="K24" s="125" t="s">
        <v>84</v>
      </c>
      <c r="L24" s="16"/>
      <c r="M24" s="8">
        <v>5</v>
      </c>
      <c r="N24" s="31"/>
      <c r="O24" s="457" t="s">
        <v>3293</v>
      </c>
      <c r="P24" s="419"/>
      <c r="Q24" s="392"/>
      <c r="R24" s="392"/>
    </row>
    <row r="25" spans="1:19" s="17" customFormat="1" ht="33" customHeight="1" x14ac:dyDescent="0.3">
      <c r="A25" s="447"/>
      <c r="B25" s="412">
        <v>46028</v>
      </c>
      <c r="C25" s="4" t="s">
        <v>21</v>
      </c>
      <c r="D25" s="4" t="s">
        <v>3294</v>
      </c>
      <c r="E25" s="198" t="s">
        <v>3295</v>
      </c>
      <c r="F25" s="31">
        <v>7060</v>
      </c>
      <c r="G25" s="16" t="s">
        <v>4395</v>
      </c>
      <c r="H25" s="198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51" t="s">
        <v>4415</v>
      </c>
      <c r="P25" s="419"/>
    </row>
    <row r="26" spans="1:19" s="17" customFormat="1" ht="33" customHeight="1" x14ac:dyDescent="0.3">
      <c r="A26" s="447"/>
      <c r="B26" s="412">
        <v>46028</v>
      </c>
      <c r="C26" s="4" t="s">
        <v>3296</v>
      </c>
      <c r="D26" s="4" t="s">
        <v>3294</v>
      </c>
      <c r="E26" s="198" t="s">
        <v>78</v>
      </c>
      <c r="F26" s="31">
        <v>7060</v>
      </c>
      <c r="G26" s="16" t="s">
        <v>3297</v>
      </c>
      <c r="H26" s="198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51" t="s">
        <v>3408</v>
      </c>
      <c r="Q26"/>
    </row>
    <row r="27" spans="1:19" s="17" customFormat="1" ht="33" customHeight="1" x14ac:dyDescent="0.3">
      <c r="A27" s="447"/>
      <c r="B27" s="412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8" t="s">
        <v>4322</v>
      </c>
      <c r="I27" s="31"/>
      <c r="J27" s="198" t="s">
        <v>4323</v>
      </c>
      <c r="K27" s="125" t="s">
        <v>66</v>
      </c>
      <c r="L27" s="16"/>
      <c r="M27" s="8">
        <v>5</v>
      </c>
      <c r="N27" s="31"/>
      <c r="O27" s="457" t="s">
        <v>4343</v>
      </c>
      <c r="P27" s="642"/>
      <c r="Q27" s="643"/>
      <c r="R27" s="643"/>
      <c r="S27" s="643"/>
    </row>
    <row r="28" spans="1:19" s="17" customFormat="1" ht="33" customHeight="1" x14ac:dyDescent="0.3">
      <c r="A28" s="447"/>
      <c r="B28" s="412">
        <v>46029</v>
      </c>
      <c r="C28" s="59" t="s">
        <v>3282</v>
      </c>
      <c r="D28" s="59" t="s">
        <v>3298</v>
      </c>
      <c r="E28" s="318" t="s">
        <v>1791</v>
      </c>
      <c r="F28" s="318" t="s">
        <v>3299</v>
      </c>
      <c r="G28" s="202" t="s">
        <v>3300</v>
      </c>
      <c r="H28" s="317" t="s">
        <v>4320</v>
      </c>
      <c r="I28" s="318" t="s">
        <v>3301</v>
      </c>
      <c r="J28" s="317" t="s">
        <v>3302</v>
      </c>
      <c r="K28" s="316" t="s">
        <v>3280</v>
      </c>
      <c r="L28" s="202"/>
      <c r="M28" s="187">
        <v>2</v>
      </c>
      <c r="N28" s="31" t="s">
        <v>4353</v>
      </c>
      <c r="O28" s="458" t="s">
        <v>3409</v>
      </c>
      <c r="P28" s="419"/>
      <c r="Q28" s="419"/>
    </row>
    <row r="29" spans="1:19" s="17" customFormat="1" ht="33" customHeight="1" x14ac:dyDescent="0.3">
      <c r="A29" s="447"/>
      <c r="B29" s="412">
        <v>46029</v>
      </c>
      <c r="C29" s="4" t="s">
        <v>3296</v>
      </c>
      <c r="D29" s="4" t="s">
        <v>3294</v>
      </c>
      <c r="E29" s="321" t="s">
        <v>3303</v>
      </c>
      <c r="F29" s="31" t="s">
        <v>4347</v>
      </c>
      <c r="G29" s="16" t="s">
        <v>3396</v>
      </c>
      <c r="H29" s="198" t="s">
        <v>3400</v>
      </c>
      <c r="I29" s="31" t="s">
        <v>3306</v>
      </c>
      <c r="J29" s="198"/>
      <c r="K29" s="125" t="s">
        <v>3307</v>
      </c>
      <c r="L29" s="16" t="s">
        <v>3308</v>
      </c>
      <c r="M29" s="8">
        <v>1</v>
      </c>
      <c r="N29" s="31"/>
      <c r="O29" s="454" t="s">
        <v>3309</v>
      </c>
      <c r="P29" s="419"/>
      <c r="Q29" s="327"/>
    </row>
    <row r="30" spans="1:19" s="17" customFormat="1" ht="33" customHeight="1" x14ac:dyDescent="0.3">
      <c r="A30" s="447"/>
      <c r="B30" s="412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8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51" t="s">
        <v>4328</v>
      </c>
      <c r="P30" s="419"/>
      <c r="Q30" s="327"/>
    </row>
    <row r="31" spans="1:19" s="17" customFormat="1" ht="33" customHeight="1" x14ac:dyDescent="0.3">
      <c r="A31" s="447"/>
      <c r="B31" s="412">
        <v>46029</v>
      </c>
      <c r="C31" s="59" t="s">
        <v>64</v>
      </c>
      <c r="D31" s="59" t="s">
        <v>70</v>
      </c>
      <c r="E31" s="318" t="s">
        <v>211</v>
      </c>
      <c r="F31" s="318" t="s">
        <v>2920</v>
      </c>
      <c r="G31" s="202" t="s">
        <v>2921</v>
      </c>
      <c r="H31" s="317" t="s">
        <v>4346</v>
      </c>
      <c r="I31" s="318"/>
      <c r="J31" s="318" t="s">
        <v>4342</v>
      </c>
      <c r="K31" s="316" t="s">
        <v>4370</v>
      </c>
      <c r="L31" s="202">
        <v>8585</v>
      </c>
      <c r="M31" s="187">
        <v>2</v>
      </c>
      <c r="N31" s="318"/>
      <c r="O31" s="459" t="s">
        <v>4344</v>
      </c>
      <c r="P31" s="419"/>
      <c r="Q31" s="327"/>
    </row>
    <row r="32" spans="1:19" s="17" customFormat="1" ht="33" customHeight="1" x14ac:dyDescent="0.3">
      <c r="A32" s="447"/>
      <c r="B32" s="412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8" t="s">
        <v>4354</v>
      </c>
      <c r="I32" s="31" t="s">
        <v>3278</v>
      </c>
      <c r="J32" s="198" t="s">
        <v>3312</v>
      </c>
      <c r="K32" s="125" t="s">
        <v>3307</v>
      </c>
      <c r="L32" s="16"/>
      <c r="M32" s="8">
        <v>2</v>
      </c>
      <c r="N32" s="31" t="s">
        <v>4353</v>
      </c>
      <c r="O32" s="453" t="s">
        <v>4348</v>
      </c>
      <c r="P32" s="419"/>
    </row>
    <row r="33" spans="1:19" s="17" customFormat="1" ht="33" customHeight="1" x14ac:dyDescent="0.3">
      <c r="A33" s="447"/>
      <c r="B33" s="412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8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51" t="s">
        <v>4349</v>
      </c>
      <c r="P33" s="419"/>
    </row>
    <row r="34" spans="1:19" s="17" customFormat="1" ht="33" customHeight="1" x14ac:dyDescent="0.3">
      <c r="A34" s="447"/>
      <c r="B34" s="412">
        <v>46030</v>
      </c>
      <c r="C34" s="4" t="s">
        <v>21</v>
      </c>
      <c r="D34" s="4" t="s">
        <v>14</v>
      </c>
      <c r="E34" s="31" t="s">
        <v>3376</v>
      </c>
      <c r="F34" s="198">
        <v>7064</v>
      </c>
      <c r="G34" s="16" t="s">
        <v>207</v>
      </c>
      <c r="H34" s="198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51" t="s">
        <v>4357</v>
      </c>
      <c r="P34" s="414"/>
    </row>
    <row r="35" spans="1:19" s="17" customFormat="1" ht="33" customHeight="1" x14ac:dyDescent="0.3">
      <c r="A35" s="447"/>
      <c r="B35" s="412">
        <v>46030</v>
      </c>
      <c r="C35" s="4" t="s">
        <v>21</v>
      </c>
      <c r="D35" s="4" t="s">
        <v>4359</v>
      </c>
      <c r="E35" s="31" t="s">
        <v>4360</v>
      </c>
      <c r="F35" s="198" t="s">
        <v>4361</v>
      </c>
      <c r="G35" s="16" t="s">
        <v>4362</v>
      </c>
      <c r="H35" s="198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51" t="s">
        <v>4372</v>
      </c>
      <c r="P35" s="414"/>
    </row>
    <row r="36" spans="1:19" s="17" customFormat="1" ht="33" customHeight="1" x14ac:dyDescent="0.3">
      <c r="A36" s="447"/>
      <c r="B36" s="412">
        <v>46031</v>
      </c>
      <c r="C36" s="4" t="s">
        <v>21</v>
      </c>
      <c r="D36" s="4" t="s">
        <v>3287</v>
      </c>
      <c r="E36" s="198" t="s">
        <v>3313</v>
      </c>
      <c r="F36" s="31" t="s">
        <v>3314</v>
      </c>
      <c r="G36" s="16" t="s">
        <v>3315</v>
      </c>
      <c r="H36" s="198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52" t="s">
        <v>4578</v>
      </c>
      <c r="P36" s="642"/>
      <c r="Q36" s="643"/>
      <c r="R36" s="643"/>
      <c r="S36" s="643"/>
    </row>
    <row r="37" spans="1:19" s="17" customFormat="1" ht="33" customHeight="1" x14ac:dyDescent="0.3">
      <c r="A37" s="447"/>
      <c r="B37" s="412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84" t="s">
        <v>23</v>
      </c>
      <c r="H37" s="125" t="s">
        <v>4398</v>
      </c>
      <c r="I37" s="6"/>
      <c r="J37" s="6" t="s">
        <v>4366</v>
      </c>
      <c r="K37" s="125" t="s">
        <v>15</v>
      </c>
      <c r="L37" s="284"/>
      <c r="M37" s="436">
        <v>2</v>
      </c>
      <c r="N37" s="6" t="s">
        <v>4374</v>
      </c>
      <c r="O37" s="460" t="s">
        <v>4373</v>
      </c>
      <c r="P37" s="642"/>
      <c r="Q37" s="643"/>
      <c r="R37" s="643"/>
      <c r="S37" s="643"/>
    </row>
    <row r="38" spans="1:19" s="17" customFormat="1" ht="33" customHeight="1" x14ac:dyDescent="0.3">
      <c r="A38" s="447"/>
      <c r="B38" s="412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84"/>
      <c r="M38" s="436">
        <v>1</v>
      </c>
      <c r="N38" s="6"/>
      <c r="O38" s="451" t="s">
        <v>4349</v>
      </c>
      <c r="P38" s="414"/>
      <c r="Q38" s="327"/>
    </row>
    <row r="39" spans="1:19" s="17" customFormat="1" ht="33" customHeight="1" x14ac:dyDescent="0.3">
      <c r="A39" s="447"/>
      <c r="B39" s="412">
        <v>46032</v>
      </c>
      <c r="C39" s="4"/>
      <c r="D39" s="4"/>
      <c r="E39" s="31"/>
      <c r="F39" s="31"/>
      <c r="G39" s="16"/>
      <c r="H39" s="198"/>
      <c r="I39" s="31"/>
      <c r="J39" s="31"/>
      <c r="K39" s="125"/>
      <c r="L39" s="16"/>
      <c r="M39" s="8"/>
      <c r="N39" s="31"/>
      <c r="O39" s="451"/>
      <c r="P39" s="414"/>
    </row>
    <row r="40" spans="1:19" s="17" customFormat="1" ht="33" customHeight="1" x14ac:dyDescent="0.3">
      <c r="A40" s="448"/>
      <c r="B40" s="412">
        <v>46032</v>
      </c>
      <c r="C40" s="4"/>
      <c r="D40" s="4"/>
      <c r="E40" s="31"/>
      <c r="F40" s="31"/>
      <c r="G40" s="16"/>
      <c r="H40" s="198"/>
      <c r="I40" s="31"/>
      <c r="J40" s="31"/>
      <c r="K40" s="125"/>
      <c r="L40" s="16"/>
      <c r="M40" s="8"/>
      <c r="N40" s="31"/>
      <c r="O40" s="451"/>
      <c r="P40" s="642"/>
      <c r="Q40" s="643"/>
      <c r="R40" s="643"/>
      <c r="S40" s="643"/>
    </row>
    <row r="41" spans="1:19" s="17" customFormat="1" ht="27" customHeight="1" x14ac:dyDescent="0.3">
      <c r="A41" s="449" t="s">
        <v>3318</v>
      </c>
      <c r="B41" s="331" t="s">
        <v>1</v>
      </c>
      <c r="C41" s="330" t="s">
        <v>2</v>
      </c>
      <c r="D41" s="330" t="s">
        <v>3</v>
      </c>
      <c r="E41" s="330" t="s">
        <v>4</v>
      </c>
      <c r="F41" s="330" t="s">
        <v>5</v>
      </c>
      <c r="G41" s="330" t="s">
        <v>6</v>
      </c>
      <c r="H41" s="332" t="s">
        <v>7</v>
      </c>
      <c r="I41" s="330" t="s">
        <v>3319</v>
      </c>
      <c r="J41" s="330" t="s">
        <v>9</v>
      </c>
      <c r="K41" s="333" t="s">
        <v>3320</v>
      </c>
      <c r="L41" s="334" t="s">
        <v>3321</v>
      </c>
      <c r="M41" s="330" t="s">
        <v>3322</v>
      </c>
      <c r="N41" s="335" t="s">
        <v>3323</v>
      </c>
      <c r="O41" s="450" t="s">
        <v>3324</v>
      </c>
      <c r="P41" s="642"/>
      <c r="Q41" s="643"/>
      <c r="R41" s="643"/>
      <c r="S41" s="643"/>
    </row>
    <row r="42" spans="1:19" s="17" customFormat="1" ht="33" customHeight="1" x14ac:dyDescent="0.3">
      <c r="A42" s="446" t="s">
        <v>3325</v>
      </c>
      <c r="B42" s="412">
        <v>46034</v>
      </c>
      <c r="C42" s="4" t="s">
        <v>21</v>
      </c>
      <c r="D42" s="4" t="s">
        <v>17</v>
      </c>
      <c r="E42" s="198" t="s">
        <v>4379</v>
      </c>
      <c r="F42" s="31" t="s">
        <v>4391</v>
      </c>
      <c r="G42" s="16" t="s">
        <v>4772</v>
      </c>
      <c r="H42" s="198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51" t="s">
        <v>4777</v>
      </c>
      <c r="P42" s="414" t="s">
        <v>4313</v>
      </c>
    </row>
    <row r="43" spans="1:19" s="17" customFormat="1" ht="33" customHeight="1" x14ac:dyDescent="0.3">
      <c r="A43" s="447"/>
      <c r="B43" s="412">
        <v>46034</v>
      </c>
      <c r="C43" s="4"/>
      <c r="D43" s="4"/>
      <c r="E43" s="298"/>
      <c r="F43" s="31"/>
      <c r="G43" s="16"/>
      <c r="H43" s="198"/>
      <c r="I43" s="31"/>
      <c r="J43" s="31"/>
      <c r="K43" s="125"/>
      <c r="L43" s="16"/>
      <c r="M43" s="8"/>
      <c r="N43" s="31"/>
      <c r="O43" s="454"/>
      <c r="P43" s="642" t="s">
        <v>4394</v>
      </c>
      <c r="Q43" s="643"/>
      <c r="R43" s="643"/>
      <c r="S43" s="643"/>
    </row>
    <row r="44" spans="1:19" s="17" customFormat="1" ht="33" customHeight="1" x14ac:dyDescent="0.3">
      <c r="A44" s="447"/>
      <c r="B44" s="412">
        <v>46035</v>
      </c>
      <c r="C44" s="59" t="s">
        <v>3282</v>
      </c>
      <c r="D44" s="59" t="s">
        <v>3283</v>
      </c>
      <c r="E44" s="318" t="s">
        <v>3284</v>
      </c>
      <c r="F44" s="318" t="s">
        <v>3299</v>
      </c>
      <c r="G44" s="202" t="s">
        <v>3300</v>
      </c>
      <c r="H44" s="317" t="s">
        <v>4321</v>
      </c>
      <c r="I44" s="318" t="s">
        <v>3278</v>
      </c>
      <c r="J44" s="317" t="s">
        <v>3327</v>
      </c>
      <c r="K44" s="316" t="s">
        <v>3328</v>
      </c>
      <c r="L44" s="202"/>
      <c r="M44" s="187">
        <v>7</v>
      </c>
      <c r="N44" s="31" t="s">
        <v>4397</v>
      </c>
      <c r="O44" s="458" t="s">
        <v>3329</v>
      </c>
      <c r="P44" s="421"/>
    </row>
    <row r="45" spans="1:19" s="17" customFormat="1" ht="33" customHeight="1" x14ac:dyDescent="0.3">
      <c r="A45" s="447"/>
      <c r="B45" s="412">
        <v>46035</v>
      </c>
      <c r="C45" s="4" t="s">
        <v>3326</v>
      </c>
      <c r="D45" s="4" t="s">
        <v>4330</v>
      </c>
      <c r="E45" s="298" t="s">
        <v>4413</v>
      </c>
      <c r="F45" s="31" t="s">
        <v>4331</v>
      </c>
      <c r="G45" s="16" t="s">
        <v>4332</v>
      </c>
      <c r="H45" s="198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51" t="s">
        <v>4399</v>
      </c>
      <c r="P45" s="421"/>
      <c r="Q45"/>
    </row>
    <row r="46" spans="1:19" s="17" customFormat="1" ht="33" customHeight="1" x14ac:dyDescent="0.3">
      <c r="A46" s="447"/>
      <c r="B46" s="412">
        <v>46035</v>
      </c>
      <c r="C46" s="4" t="s">
        <v>21</v>
      </c>
      <c r="D46" s="4" t="s">
        <v>77</v>
      </c>
      <c r="E46" s="198" t="s">
        <v>4557</v>
      </c>
      <c r="F46" s="31" t="s">
        <v>4356</v>
      </c>
      <c r="G46" s="16" t="s">
        <v>4558</v>
      </c>
      <c r="H46" s="198" t="s">
        <v>4566</v>
      </c>
      <c r="I46" s="31"/>
      <c r="J46" s="31" t="s">
        <v>4381</v>
      </c>
      <c r="K46" s="125" t="s">
        <v>15</v>
      </c>
      <c r="L46" s="437" t="s">
        <v>4383</v>
      </c>
      <c r="M46" s="8">
        <v>2</v>
      </c>
      <c r="N46" s="31"/>
      <c r="O46" s="452" t="s">
        <v>4649</v>
      </c>
      <c r="P46" s="435"/>
      <c r="Q46"/>
    </row>
    <row r="47" spans="1:19" s="17" customFormat="1" ht="33" customHeight="1" x14ac:dyDescent="0.3">
      <c r="A47" s="447"/>
      <c r="B47" s="412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84" t="s">
        <v>23</v>
      </c>
      <c r="H47" s="198" t="s">
        <v>4419</v>
      </c>
      <c r="I47" s="198" t="s">
        <v>4414</v>
      </c>
      <c r="J47" s="198" t="s">
        <v>4418</v>
      </c>
      <c r="K47" s="125" t="s">
        <v>15</v>
      </c>
      <c r="L47" s="16">
        <v>8585</v>
      </c>
      <c r="M47" s="8">
        <v>2</v>
      </c>
      <c r="N47" s="444"/>
      <c r="O47" s="453" t="s">
        <v>4420</v>
      </c>
      <c r="P47" s="435"/>
      <c r="Q47"/>
    </row>
    <row r="48" spans="1:19" s="17" customFormat="1" ht="33" customHeight="1" x14ac:dyDescent="0.3">
      <c r="A48" s="447"/>
      <c r="B48" s="412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8" t="s">
        <v>4416</v>
      </c>
      <c r="I48" s="31" t="s">
        <v>4429</v>
      </c>
      <c r="J48" s="198" t="s">
        <v>4423</v>
      </c>
      <c r="K48" s="125" t="s">
        <v>3280</v>
      </c>
      <c r="L48" s="16"/>
      <c r="M48" s="8">
        <v>2</v>
      </c>
      <c r="N48" s="444"/>
      <c r="O48" s="453" t="s">
        <v>4400</v>
      </c>
      <c r="P48" s="419"/>
      <c r="Q48" s="435"/>
    </row>
    <row r="49" spans="1:19" s="17" customFormat="1" ht="33" customHeight="1" x14ac:dyDescent="0.3">
      <c r="A49" s="447"/>
      <c r="B49" s="412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8" t="s">
        <v>4422</v>
      </c>
      <c r="I49" s="31"/>
      <c r="J49" s="198" t="s">
        <v>4424</v>
      </c>
      <c r="K49" s="125" t="s">
        <v>4405</v>
      </c>
      <c r="L49" s="16"/>
      <c r="M49" s="8">
        <v>2</v>
      </c>
      <c r="N49" s="444"/>
      <c r="O49" s="453" t="s">
        <v>4426</v>
      </c>
      <c r="P49" s="419"/>
      <c r="Q49" s="435"/>
    </row>
    <row r="50" spans="1:19" s="17" customFormat="1" ht="33" customHeight="1" x14ac:dyDescent="0.3">
      <c r="A50" s="447"/>
      <c r="B50" s="412">
        <v>46036</v>
      </c>
      <c r="C50" s="4" t="s">
        <v>21</v>
      </c>
      <c r="D50" s="4" t="s">
        <v>17</v>
      </c>
      <c r="E50" s="298" t="s">
        <v>4337</v>
      </c>
      <c r="F50" s="31" t="s">
        <v>4331</v>
      </c>
      <c r="G50" s="16" t="s">
        <v>4332</v>
      </c>
      <c r="H50" s="198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5" t="s">
        <v>4336</v>
      </c>
      <c r="P50" s="419"/>
      <c r="Q50" s="327"/>
    </row>
    <row r="51" spans="1:19" s="17" customFormat="1" ht="33" customHeight="1" x14ac:dyDescent="0.3">
      <c r="A51" s="447"/>
      <c r="B51" s="412">
        <v>46036</v>
      </c>
      <c r="C51" s="4" t="s">
        <v>21</v>
      </c>
      <c r="D51" s="4" t="s">
        <v>4436</v>
      </c>
      <c r="E51" s="321" t="s">
        <v>4431</v>
      </c>
      <c r="F51" s="31" t="s">
        <v>4430</v>
      </c>
      <c r="G51" s="16" t="s">
        <v>4435</v>
      </c>
      <c r="H51" s="198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51" t="s">
        <v>4437</v>
      </c>
      <c r="P51" s="419"/>
      <c r="Q51" s="327"/>
    </row>
    <row r="52" spans="1:19" s="17" customFormat="1" ht="33" customHeight="1" x14ac:dyDescent="0.3">
      <c r="A52" s="447"/>
      <c r="B52" s="412">
        <v>46037</v>
      </c>
      <c r="C52" s="59" t="s">
        <v>3310</v>
      </c>
      <c r="D52" s="59" t="s">
        <v>3333</v>
      </c>
      <c r="E52" s="318" t="s">
        <v>3284</v>
      </c>
      <c r="F52" s="318" t="s">
        <v>4350</v>
      </c>
      <c r="G52" s="202" t="s">
        <v>4345</v>
      </c>
      <c r="H52" s="317" t="s">
        <v>4351</v>
      </c>
      <c r="I52" s="318"/>
      <c r="J52" s="317" t="s">
        <v>3335</v>
      </c>
      <c r="K52" s="316" t="s">
        <v>4335</v>
      </c>
      <c r="L52" s="202"/>
      <c r="M52" s="187">
        <v>1</v>
      </c>
      <c r="N52" s="433"/>
      <c r="O52" s="458" t="s">
        <v>4352</v>
      </c>
      <c r="P52" s="419"/>
    </row>
    <row r="53" spans="1:19" s="17" customFormat="1" ht="33" customHeight="1" x14ac:dyDescent="0.3">
      <c r="A53" s="447"/>
      <c r="B53" s="412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8" t="s">
        <v>4390</v>
      </c>
      <c r="I53" s="125" t="s">
        <v>4417</v>
      </c>
      <c r="J53" s="198"/>
      <c r="K53" s="125" t="s">
        <v>15</v>
      </c>
      <c r="L53" s="16"/>
      <c r="M53" s="8">
        <v>3</v>
      </c>
      <c r="N53" s="444"/>
      <c r="O53" s="453" t="s">
        <v>4412</v>
      </c>
      <c r="P53" s="419"/>
    </row>
    <row r="54" spans="1:19" s="17" customFormat="1" ht="33" customHeight="1" x14ac:dyDescent="0.3">
      <c r="A54" s="447"/>
      <c r="B54" s="412">
        <v>46037</v>
      </c>
      <c r="C54" s="4" t="s">
        <v>21</v>
      </c>
      <c r="D54" s="4" t="s">
        <v>14</v>
      </c>
      <c r="E54" s="31" t="s">
        <v>1791</v>
      </c>
      <c r="F54" s="198" t="s">
        <v>4470</v>
      </c>
      <c r="G54" s="16" t="s">
        <v>4411</v>
      </c>
      <c r="H54" s="198" t="s">
        <v>4392</v>
      </c>
      <c r="I54" s="198"/>
      <c r="J54" s="198" t="s">
        <v>4393</v>
      </c>
      <c r="K54" s="125" t="s">
        <v>15</v>
      </c>
      <c r="L54" s="16">
        <v>9080</v>
      </c>
      <c r="M54" s="8">
        <v>2</v>
      </c>
      <c r="N54" s="444"/>
      <c r="O54" s="452" t="s">
        <v>4738</v>
      </c>
      <c r="P54" s="419"/>
    </row>
    <row r="55" spans="1:19" s="17" customFormat="1" ht="33" customHeight="1" x14ac:dyDescent="0.3">
      <c r="A55" s="447"/>
      <c r="B55" s="412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84" t="s">
        <v>23</v>
      </c>
      <c r="H55" s="198" t="s">
        <v>4427</v>
      </c>
      <c r="I55" s="198"/>
      <c r="J55" s="198" t="s">
        <v>4439</v>
      </c>
      <c r="K55" s="125" t="s">
        <v>15</v>
      </c>
      <c r="L55" s="16">
        <v>8585</v>
      </c>
      <c r="M55" s="8">
        <v>2</v>
      </c>
      <c r="N55" s="444"/>
      <c r="O55" s="453" t="s">
        <v>4328</v>
      </c>
      <c r="P55" s="419"/>
    </row>
    <row r="56" spans="1:19" s="17" customFormat="1" ht="33" customHeight="1" x14ac:dyDescent="0.3">
      <c r="A56" s="447"/>
      <c r="B56" s="412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21" t="s">
        <v>4549</v>
      </c>
      <c r="I56" s="31" t="s">
        <v>120</v>
      </c>
      <c r="J56" s="198" t="s">
        <v>686</v>
      </c>
      <c r="K56" s="125" t="s">
        <v>15</v>
      </c>
      <c r="L56" s="16"/>
      <c r="M56" s="8">
        <v>2</v>
      </c>
      <c r="N56" s="444"/>
      <c r="O56" s="452" t="s">
        <v>4530</v>
      </c>
      <c r="P56" s="419"/>
    </row>
    <row r="57" spans="1:19" s="17" customFormat="1" ht="33" customHeight="1" x14ac:dyDescent="0.3">
      <c r="A57" s="447"/>
      <c r="B57" s="412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84" t="s">
        <v>23</v>
      </c>
      <c r="H57" s="198" t="s">
        <v>4427</v>
      </c>
      <c r="I57" s="198"/>
      <c r="J57" s="198" t="s">
        <v>4439</v>
      </c>
      <c r="K57" s="125" t="s">
        <v>15</v>
      </c>
      <c r="L57" s="16">
        <v>8585</v>
      </c>
      <c r="M57" s="8">
        <v>2</v>
      </c>
      <c r="N57" s="444"/>
      <c r="O57" s="453" t="s">
        <v>4328</v>
      </c>
      <c r="P57" s="419"/>
      <c r="Q57" s="327"/>
    </row>
    <row r="58" spans="1:19" s="17" customFormat="1" ht="33" customHeight="1" x14ac:dyDescent="0.3">
      <c r="A58" s="447"/>
      <c r="B58" s="412">
        <v>46039</v>
      </c>
      <c r="C58" s="4"/>
      <c r="D58" s="4"/>
      <c r="E58" s="6"/>
      <c r="F58" s="6"/>
      <c r="G58" s="284"/>
      <c r="H58" s="198"/>
      <c r="I58" s="198"/>
      <c r="J58" s="198"/>
      <c r="K58" s="125"/>
      <c r="L58" s="16"/>
      <c r="M58" s="8"/>
      <c r="N58" s="444"/>
      <c r="O58" s="453"/>
    </row>
    <row r="59" spans="1:19" s="17" customFormat="1" ht="33" customHeight="1" x14ac:dyDescent="0.3">
      <c r="A59" s="448"/>
      <c r="B59" s="412">
        <v>46039</v>
      </c>
      <c r="C59" s="4"/>
      <c r="D59" s="4"/>
      <c r="E59" s="298"/>
      <c r="F59" s="31"/>
      <c r="G59" s="16"/>
      <c r="H59" s="198"/>
      <c r="I59" s="31"/>
      <c r="J59" s="31"/>
      <c r="K59" s="125"/>
      <c r="L59" s="16"/>
      <c r="M59" s="8"/>
      <c r="N59" s="31"/>
      <c r="O59" s="455"/>
    </row>
    <row r="60" spans="1:19" s="17" customFormat="1" ht="33" customHeight="1" x14ac:dyDescent="0.3">
      <c r="A60" s="449" t="s">
        <v>0</v>
      </c>
      <c r="B60" s="331" t="s">
        <v>1</v>
      </c>
      <c r="C60" s="330" t="s">
        <v>2</v>
      </c>
      <c r="D60" s="330" t="s">
        <v>3</v>
      </c>
      <c r="E60" s="330" t="s">
        <v>4</v>
      </c>
      <c r="F60" s="330" t="s">
        <v>5</v>
      </c>
      <c r="G60" s="330" t="s">
        <v>6</v>
      </c>
      <c r="H60" s="332" t="s">
        <v>7</v>
      </c>
      <c r="I60" s="330" t="s">
        <v>8</v>
      </c>
      <c r="J60" s="330" t="s">
        <v>9</v>
      </c>
      <c r="K60" s="333" t="s">
        <v>10</v>
      </c>
      <c r="L60" s="334" t="s">
        <v>11</v>
      </c>
      <c r="M60" s="330" t="s">
        <v>12</v>
      </c>
      <c r="N60" s="335" t="s">
        <v>13</v>
      </c>
      <c r="O60" s="450" t="s">
        <v>63</v>
      </c>
    </row>
    <row r="61" spans="1:19" s="17" customFormat="1" ht="33" customHeight="1" x14ac:dyDescent="0.3">
      <c r="A61" s="446" t="s">
        <v>4452</v>
      </c>
      <c r="B61" s="412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8" t="s">
        <v>4428</v>
      </c>
      <c r="I61" s="31"/>
      <c r="J61" s="198" t="s">
        <v>3978</v>
      </c>
      <c r="K61" s="125" t="s">
        <v>4368</v>
      </c>
      <c r="L61" s="16"/>
      <c r="M61" s="8">
        <v>2</v>
      </c>
      <c r="N61" s="444"/>
      <c r="O61" s="453" t="s">
        <v>4755</v>
      </c>
      <c r="P61" s="642"/>
      <c r="Q61" s="643"/>
      <c r="R61" s="643"/>
      <c r="S61" s="643"/>
    </row>
    <row r="62" spans="1:19" s="17" customFormat="1" ht="33" customHeight="1" x14ac:dyDescent="0.3">
      <c r="A62" s="447"/>
      <c r="B62" s="412">
        <v>46041</v>
      </c>
      <c r="C62" s="4" t="s">
        <v>21</v>
      </c>
      <c r="D62" s="4" t="s">
        <v>17</v>
      </c>
      <c r="E62" s="198" t="s">
        <v>78</v>
      </c>
      <c r="F62" s="31" t="s">
        <v>4367</v>
      </c>
      <c r="G62" s="16" t="s">
        <v>4371</v>
      </c>
      <c r="H62" s="198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54" t="s">
        <v>4410</v>
      </c>
    </row>
    <row r="63" spans="1:19" s="17" customFormat="1" ht="33" customHeight="1" x14ac:dyDescent="0.3">
      <c r="A63" s="447"/>
      <c r="B63" s="412">
        <v>46041</v>
      </c>
      <c r="C63" s="4" t="s">
        <v>21</v>
      </c>
      <c r="D63" s="4" t="s">
        <v>14</v>
      </c>
      <c r="E63" s="321" t="s">
        <v>1897</v>
      </c>
      <c r="F63" s="31" t="s">
        <v>3837</v>
      </c>
      <c r="G63" s="16" t="s">
        <v>1382</v>
      </c>
      <c r="H63" s="198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51" t="s">
        <v>4451</v>
      </c>
    </row>
    <row r="64" spans="1:19" s="17" customFormat="1" ht="33" customHeight="1" x14ac:dyDescent="0.3">
      <c r="A64" s="447"/>
      <c r="B64" s="412">
        <v>46042</v>
      </c>
      <c r="C64" s="4" t="s">
        <v>21</v>
      </c>
      <c r="D64" s="4" t="s">
        <v>4438</v>
      </c>
      <c r="E64" s="198" t="s">
        <v>4442</v>
      </c>
      <c r="F64" s="198" t="s">
        <v>4441</v>
      </c>
      <c r="G64" s="16" t="s">
        <v>23</v>
      </c>
      <c r="H64" s="198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54" t="s">
        <v>4440</v>
      </c>
      <c r="P64" s="642"/>
      <c r="Q64" s="643"/>
      <c r="R64" s="643"/>
      <c r="S64" s="643"/>
    </row>
    <row r="65" spans="1:19" s="17" customFormat="1" ht="33" customHeight="1" x14ac:dyDescent="0.3">
      <c r="A65" s="447"/>
      <c r="B65" s="412">
        <v>46042</v>
      </c>
      <c r="C65" s="4" t="s">
        <v>21</v>
      </c>
      <c r="D65" s="4" t="s">
        <v>14</v>
      </c>
      <c r="E65" s="31" t="s">
        <v>107</v>
      </c>
      <c r="F65" s="198" t="s">
        <v>4464</v>
      </c>
      <c r="G65" s="16" t="s">
        <v>1391</v>
      </c>
      <c r="H65" s="198" t="s">
        <v>4482</v>
      </c>
      <c r="I65" s="198"/>
      <c r="J65" s="198" t="s">
        <v>4467</v>
      </c>
      <c r="K65" s="125" t="s">
        <v>4369</v>
      </c>
      <c r="L65" s="16"/>
      <c r="M65" s="8">
        <v>1</v>
      </c>
      <c r="N65" s="31"/>
      <c r="O65" s="452" t="s">
        <v>4490</v>
      </c>
    </row>
    <row r="66" spans="1:19" s="17" customFormat="1" ht="33" customHeight="1" x14ac:dyDescent="0.3">
      <c r="A66" s="447"/>
      <c r="B66" s="412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21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44"/>
      <c r="O66" s="452" t="s">
        <v>4466</v>
      </c>
    </row>
    <row r="67" spans="1:19" s="17" customFormat="1" ht="33" customHeight="1" x14ac:dyDescent="0.3">
      <c r="A67" s="447"/>
      <c r="B67" s="412">
        <v>46043</v>
      </c>
      <c r="C67" s="4" t="s">
        <v>21</v>
      </c>
      <c r="D67" s="4" t="s">
        <v>31</v>
      </c>
      <c r="E67" s="198" t="s">
        <v>78</v>
      </c>
      <c r="F67" s="31">
        <v>7060</v>
      </c>
      <c r="G67" s="16" t="s">
        <v>4688</v>
      </c>
      <c r="H67" s="321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51" t="s">
        <v>4594</v>
      </c>
      <c r="P67" s="642"/>
      <c r="Q67" s="643"/>
      <c r="R67" s="643"/>
      <c r="S67" s="643"/>
    </row>
    <row r="68" spans="1:19" s="17" customFormat="1" ht="33" customHeight="1" x14ac:dyDescent="0.3">
      <c r="A68" s="447"/>
      <c r="B68" s="412">
        <v>46043</v>
      </c>
      <c r="C68" s="4"/>
      <c r="D68" s="4"/>
      <c r="E68" s="298"/>
      <c r="F68" s="31"/>
      <c r="G68" s="16"/>
      <c r="H68" s="198"/>
      <c r="I68" s="31"/>
      <c r="J68" s="31"/>
      <c r="K68" s="125"/>
      <c r="L68" s="16"/>
      <c r="M68" s="8"/>
      <c r="N68" s="31"/>
      <c r="O68" s="455"/>
    </row>
    <row r="69" spans="1:19" s="17" customFormat="1" ht="33" customHeight="1" x14ac:dyDescent="0.3">
      <c r="A69" s="447"/>
      <c r="B69" s="412">
        <v>46044</v>
      </c>
      <c r="C69" s="4" t="s">
        <v>4461</v>
      </c>
      <c r="D69" s="4" t="s">
        <v>4402</v>
      </c>
      <c r="E69" s="198" t="s">
        <v>622</v>
      </c>
      <c r="F69" s="31" t="s">
        <v>2838</v>
      </c>
      <c r="G69" s="16" t="s">
        <v>4403</v>
      </c>
      <c r="H69" s="198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54" t="s">
        <v>4408</v>
      </c>
    </row>
    <row r="70" spans="1:19" s="17" customFormat="1" ht="33" customHeight="1" x14ac:dyDescent="0.3">
      <c r="A70" s="447"/>
      <c r="B70" s="412">
        <v>46044</v>
      </c>
      <c r="C70" s="4" t="s">
        <v>21</v>
      </c>
      <c r="D70" s="4" t="s">
        <v>17</v>
      </c>
      <c r="E70" s="198" t="s">
        <v>78</v>
      </c>
      <c r="F70" s="31">
        <v>7060</v>
      </c>
      <c r="G70" s="16" t="s">
        <v>4568</v>
      </c>
      <c r="H70" s="198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51" t="s">
        <v>4485</v>
      </c>
    </row>
    <row r="71" spans="1:19" s="17" customFormat="1" ht="33" customHeight="1" x14ac:dyDescent="0.3">
      <c r="A71" s="447"/>
      <c r="B71" s="412">
        <v>46044</v>
      </c>
      <c r="C71" s="4" t="s">
        <v>21</v>
      </c>
      <c r="D71" s="4" t="s">
        <v>17</v>
      </c>
      <c r="E71" s="198" t="s">
        <v>78</v>
      </c>
      <c r="F71" s="31">
        <v>7060</v>
      </c>
      <c r="G71" s="16" t="s">
        <v>4567</v>
      </c>
      <c r="H71" s="198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54" t="s">
        <v>4487</v>
      </c>
    </row>
    <row r="72" spans="1:19" s="17" customFormat="1" ht="33" customHeight="1" x14ac:dyDescent="0.3">
      <c r="A72" s="447"/>
      <c r="B72" s="412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84" t="s">
        <v>4532</v>
      </c>
      <c r="H72" s="125" t="s">
        <v>4533</v>
      </c>
      <c r="I72" s="6"/>
      <c r="J72" s="6" t="s">
        <v>4494</v>
      </c>
      <c r="K72" s="125" t="s">
        <v>15</v>
      </c>
      <c r="L72" s="284">
        <v>9080</v>
      </c>
      <c r="M72" s="436">
        <v>3</v>
      </c>
      <c r="N72" s="6"/>
      <c r="O72" s="460" t="s">
        <v>4495</v>
      </c>
    </row>
    <row r="73" spans="1:19" s="17" customFormat="1" ht="33" customHeight="1" x14ac:dyDescent="0.3">
      <c r="A73" s="447"/>
      <c r="B73" s="412">
        <v>46045</v>
      </c>
      <c r="C73" s="4"/>
      <c r="D73" s="4"/>
      <c r="E73" s="31"/>
      <c r="F73" s="31"/>
      <c r="G73" s="16"/>
      <c r="H73" s="198"/>
      <c r="I73" s="198"/>
      <c r="J73" s="198"/>
      <c r="K73" s="125"/>
      <c r="L73" s="16"/>
      <c r="M73" s="8"/>
      <c r="N73" s="198"/>
      <c r="O73" s="461"/>
    </row>
    <row r="74" spans="1:19" s="17" customFormat="1" ht="33" customHeight="1" x14ac:dyDescent="0.3">
      <c r="A74" s="447"/>
      <c r="B74" s="412">
        <v>46046</v>
      </c>
      <c r="C74" s="4"/>
      <c r="D74" s="4"/>
      <c r="E74" s="31"/>
      <c r="F74" s="31"/>
      <c r="G74" s="16"/>
      <c r="H74" s="198"/>
      <c r="I74" s="198"/>
      <c r="J74" s="198"/>
      <c r="K74" s="125"/>
      <c r="L74" s="16"/>
      <c r="M74" s="8"/>
      <c r="N74" s="198"/>
      <c r="O74" s="461"/>
      <c r="P74" s="642"/>
      <c r="Q74" s="643"/>
      <c r="R74" s="643"/>
      <c r="S74" s="643"/>
    </row>
    <row r="75" spans="1:19" s="17" customFormat="1" ht="33" customHeight="1" x14ac:dyDescent="0.3">
      <c r="A75" s="448"/>
      <c r="B75" s="412">
        <v>46046</v>
      </c>
      <c r="C75" s="4"/>
      <c r="D75" s="4"/>
      <c r="E75" s="31"/>
      <c r="F75" s="31"/>
      <c r="G75" s="16"/>
      <c r="H75" s="198"/>
      <c r="I75" s="198"/>
      <c r="J75" s="198"/>
      <c r="K75" s="125"/>
      <c r="L75" s="16"/>
      <c r="M75" s="8"/>
      <c r="N75" s="31"/>
      <c r="O75" s="455"/>
    </row>
    <row r="76" spans="1:19" s="17" customFormat="1" ht="33" customHeight="1" x14ac:dyDescent="0.3">
      <c r="A76" s="449" t="s">
        <v>0</v>
      </c>
      <c r="B76" s="331" t="s">
        <v>1</v>
      </c>
      <c r="C76" s="330" t="s">
        <v>2</v>
      </c>
      <c r="D76" s="330" t="s">
        <v>3</v>
      </c>
      <c r="E76" s="330" t="s">
        <v>4</v>
      </c>
      <c r="F76" s="330" t="s">
        <v>5</v>
      </c>
      <c r="G76" s="330" t="s">
        <v>6</v>
      </c>
      <c r="H76" s="332" t="s">
        <v>7</v>
      </c>
      <c r="I76" s="330" t="s">
        <v>8</v>
      </c>
      <c r="J76" s="330" t="s">
        <v>9</v>
      </c>
      <c r="K76" s="333" t="s">
        <v>10</v>
      </c>
      <c r="L76" s="334" t="s">
        <v>11</v>
      </c>
      <c r="M76" s="330" t="s">
        <v>12</v>
      </c>
      <c r="N76" s="335" t="s">
        <v>13</v>
      </c>
      <c r="O76" s="450" t="s">
        <v>63</v>
      </c>
    </row>
    <row r="77" spans="1:19" s="17" customFormat="1" ht="33" customHeight="1" x14ac:dyDescent="0.3">
      <c r="A77" s="446" t="s">
        <v>4453</v>
      </c>
      <c r="B77" s="412">
        <v>46048</v>
      </c>
      <c r="C77" s="4" t="s">
        <v>3411</v>
      </c>
      <c r="D77" s="4" t="s">
        <v>3412</v>
      </c>
      <c r="E77" s="31" t="s">
        <v>3410</v>
      </c>
      <c r="F77" s="198">
        <v>3006</v>
      </c>
      <c r="G77" s="16" t="s">
        <v>3413</v>
      </c>
      <c r="H77" s="321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54" t="s">
        <v>4445</v>
      </c>
      <c r="P77" s="434" t="s">
        <v>4339</v>
      </c>
    </row>
    <row r="78" spans="1:19" s="17" customFormat="1" ht="33" customHeight="1" x14ac:dyDescent="0.3">
      <c r="A78" s="447"/>
      <c r="B78" s="412">
        <v>46048</v>
      </c>
      <c r="C78" s="4" t="s">
        <v>4462</v>
      </c>
      <c r="D78" s="4" t="s">
        <v>4458</v>
      </c>
      <c r="E78" s="198" t="s">
        <v>4542</v>
      </c>
      <c r="F78" s="31" t="s">
        <v>4459</v>
      </c>
      <c r="G78" s="16" t="s">
        <v>4463</v>
      </c>
      <c r="H78" s="198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54" t="s">
        <v>4541</v>
      </c>
    </row>
    <row r="79" spans="1:19" s="17" customFormat="1" ht="33" customHeight="1" x14ac:dyDescent="0.3">
      <c r="A79" s="447"/>
      <c r="B79" s="412">
        <v>46048</v>
      </c>
      <c r="C79" s="59" t="s">
        <v>21</v>
      </c>
      <c r="D79" s="59" t="s">
        <v>17</v>
      </c>
      <c r="E79" s="318" t="s">
        <v>78</v>
      </c>
      <c r="F79" s="318" t="s">
        <v>1649</v>
      </c>
      <c r="G79" s="202" t="s">
        <v>23</v>
      </c>
      <c r="H79" s="317" t="s">
        <v>4483</v>
      </c>
      <c r="I79" s="318" t="s">
        <v>4478</v>
      </c>
      <c r="J79" s="318" t="s">
        <v>4484</v>
      </c>
      <c r="K79" s="316" t="s">
        <v>15</v>
      </c>
      <c r="L79" s="202"/>
      <c r="M79" s="187">
        <v>4</v>
      </c>
      <c r="N79" s="318"/>
      <c r="O79" s="462" t="s">
        <v>4479</v>
      </c>
    </row>
    <row r="80" spans="1:19" s="17" customFormat="1" ht="33" customHeight="1" x14ac:dyDescent="0.3">
      <c r="A80" s="447"/>
      <c r="B80" s="412">
        <v>46049</v>
      </c>
      <c r="C80" s="4" t="s">
        <v>3411</v>
      </c>
      <c r="D80" s="4" t="s">
        <v>3412</v>
      </c>
      <c r="E80" s="31" t="s">
        <v>3410</v>
      </c>
      <c r="F80" s="198">
        <v>3006</v>
      </c>
      <c r="G80" s="16" t="s">
        <v>3413</v>
      </c>
      <c r="H80" s="321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8" t="s">
        <v>4544</v>
      </c>
      <c r="O80" s="454" t="s">
        <v>4445</v>
      </c>
      <c r="P80" s="438"/>
    </row>
    <row r="81" spans="1:19" s="17" customFormat="1" ht="33" customHeight="1" x14ac:dyDescent="0.3">
      <c r="A81" s="447"/>
      <c r="B81" s="412">
        <v>46049</v>
      </c>
      <c r="C81" s="4" t="s">
        <v>24</v>
      </c>
      <c r="D81" s="4" t="s">
        <v>4633</v>
      </c>
      <c r="E81" s="198" t="s">
        <v>4443</v>
      </c>
      <c r="F81" s="31">
        <v>222003</v>
      </c>
      <c r="G81" s="16" t="s">
        <v>4481</v>
      </c>
      <c r="H81" s="321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54" t="s">
        <v>4539</v>
      </c>
      <c r="P81" s="438"/>
    </row>
    <row r="82" spans="1:19" s="17" customFormat="1" ht="33" customHeight="1" x14ac:dyDescent="0.3">
      <c r="A82" s="447"/>
      <c r="B82" s="412">
        <v>46049</v>
      </c>
      <c r="C82" s="4" t="s">
        <v>21</v>
      </c>
      <c r="D82" s="4" t="s">
        <v>14</v>
      </c>
      <c r="E82" s="198" t="s">
        <v>4528</v>
      </c>
      <c r="F82" s="31" t="s">
        <v>108</v>
      </c>
      <c r="G82" s="16" t="s">
        <v>4527</v>
      </c>
      <c r="H82" s="321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54" t="s">
        <v>4536</v>
      </c>
      <c r="P82" s="438"/>
    </row>
    <row r="83" spans="1:19" s="17" customFormat="1" ht="33" customHeight="1" x14ac:dyDescent="0.3">
      <c r="A83" s="447"/>
      <c r="B83" s="412">
        <v>46050</v>
      </c>
      <c r="C83" s="59" t="s">
        <v>21</v>
      </c>
      <c r="D83" s="59" t="s">
        <v>3268</v>
      </c>
      <c r="E83" s="318" t="s">
        <v>1791</v>
      </c>
      <c r="F83" s="318" t="s">
        <v>2139</v>
      </c>
      <c r="G83" s="202" t="s">
        <v>1306</v>
      </c>
      <c r="H83" s="317" t="s">
        <v>4446</v>
      </c>
      <c r="I83" s="318" t="s">
        <v>4545</v>
      </c>
      <c r="J83" s="317"/>
      <c r="K83" s="316" t="s">
        <v>3269</v>
      </c>
      <c r="L83" s="202"/>
      <c r="M83" s="187">
        <v>2</v>
      </c>
      <c r="N83" s="444" t="s">
        <v>4475</v>
      </c>
      <c r="O83" s="463" t="s">
        <v>4546</v>
      </c>
      <c r="P83" s="642"/>
      <c r="Q83" s="643"/>
      <c r="R83" s="643"/>
      <c r="S83" s="643"/>
    </row>
    <row r="84" spans="1:19" s="17" customFormat="1" ht="33" customHeight="1" x14ac:dyDescent="0.3">
      <c r="A84" s="447"/>
      <c r="B84" s="412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8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51" t="s">
        <v>4554</v>
      </c>
      <c r="P84" s="438"/>
    </row>
    <row r="85" spans="1:19" s="17" customFormat="1" ht="33" customHeight="1" x14ac:dyDescent="0.3">
      <c r="A85" s="447"/>
      <c r="B85" s="412">
        <v>46050</v>
      </c>
      <c r="C85" s="4" t="s">
        <v>21</v>
      </c>
      <c r="D85" s="4" t="s">
        <v>17</v>
      </c>
      <c r="E85" s="198" t="s">
        <v>4553</v>
      </c>
      <c r="F85" s="298" t="s">
        <v>4401</v>
      </c>
      <c r="G85" s="16" t="s">
        <v>23</v>
      </c>
      <c r="H85" s="198" t="s">
        <v>4555</v>
      </c>
      <c r="I85" s="31" t="s">
        <v>90</v>
      </c>
      <c r="J85" s="198"/>
      <c r="K85" s="125" t="s">
        <v>15</v>
      </c>
      <c r="L85" s="16">
        <v>9080</v>
      </c>
      <c r="M85" s="8">
        <v>1</v>
      </c>
      <c r="N85" s="31"/>
      <c r="O85" s="452" t="s">
        <v>4547</v>
      </c>
      <c r="P85" s="642"/>
      <c r="Q85" s="643"/>
      <c r="R85" s="643"/>
      <c r="S85" s="643"/>
    </row>
    <row r="86" spans="1:19" s="17" customFormat="1" ht="33" customHeight="1" x14ac:dyDescent="0.3">
      <c r="A86" s="447"/>
      <c r="B86" s="412">
        <v>46051</v>
      </c>
      <c r="C86" s="4" t="s">
        <v>21</v>
      </c>
      <c r="D86" s="4" t="s">
        <v>14</v>
      </c>
      <c r="E86" s="198" t="s">
        <v>3383</v>
      </c>
      <c r="F86" s="31">
        <v>222003</v>
      </c>
      <c r="G86" s="16" t="s">
        <v>4492</v>
      </c>
      <c r="H86" s="198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44" t="s">
        <v>4448</v>
      </c>
      <c r="O86" s="451" t="s">
        <v>4538</v>
      </c>
    </row>
    <row r="87" spans="1:19" s="17" customFormat="1" ht="33" customHeight="1" x14ac:dyDescent="0.3">
      <c r="A87" s="447"/>
      <c r="B87" s="412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8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51" t="s">
        <v>4548</v>
      </c>
      <c r="P87" s="17" t="s">
        <v>4752</v>
      </c>
    </row>
    <row r="88" spans="1:19" s="17" customFormat="1" ht="33" customHeight="1" x14ac:dyDescent="0.3">
      <c r="A88" s="447"/>
      <c r="B88" s="412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8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51" t="s">
        <v>4551</v>
      </c>
    </row>
    <row r="89" spans="1:19" s="17" customFormat="1" ht="33" customHeight="1" x14ac:dyDescent="0.3">
      <c r="A89" s="447"/>
      <c r="B89" s="412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8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51" t="s">
        <v>4570</v>
      </c>
      <c r="P89" s="17" t="s">
        <v>4752</v>
      </c>
    </row>
    <row r="90" spans="1:19" s="17" customFormat="1" ht="33" customHeight="1" x14ac:dyDescent="0.3">
      <c r="A90" s="447"/>
      <c r="B90" s="412">
        <v>46053</v>
      </c>
      <c r="C90" s="4"/>
      <c r="D90" s="4"/>
      <c r="E90" s="31"/>
      <c r="F90" s="31"/>
      <c r="G90" s="16"/>
      <c r="H90" s="198"/>
      <c r="I90" s="198"/>
      <c r="J90" s="198"/>
      <c r="K90" s="125"/>
      <c r="L90" s="16"/>
      <c r="M90" s="8"/>
      <c r="N90" s="321" t="s">
        <v>4448</v>
      </c>
      <c r="O90" s="461"/>
    </row>
    <row r="91" spans="1:19" s="17" customFormat="1" ht="33" customHeight="1" x14ac:dyDescent="0.3">
      <c r="A91" s="448"/>
      <c r="B91" s="412">
        <v>46053</v>
      </c>
      <c r="C91" s="4"/>
      <c r="D91" s="4"/>
      <c r="E91" s="31"/>
      <c r="F91" s="31"/>
      <c r="G91" s="16"/>
      <c r="H91" s="198"/>
      <c r="I91" s="198"/>
      <c r="J91" s="198"/>
      <c r="K91" s="125"/>
      <c r="L91" s="16"/>
      <c r="M91" s="8"/>
      <c r="N91" s="31"/>
      <c r="O91" s="455"/>
    </row>
    <row r="92" spans="1:19" s="17" customFormat="1" ht="33" customHeight="1" x14ac:dyDescent="0.3">
      <c r="A92" s="449" t="s">
        <v>0</v>
      </c>
      <c r="B92" s="331" t="s">
        <v>1</v>
      </c>
      <c r="C92" s="330" t="s">
        <v>2</v>
      </c>
      <c r="D92" s="330" t="s">
        <v>3</v>
      </c>
      <c r="E92" s="330" t="s">
        <v>4</v>
      </c>
      <c r="F92" s="330" t="s">
        <v>5</v>
      </c>
      <c r="G92" s="330" t="s">
        <v>6</v>
      </c>
      <c r="H92" s="332" t="s">
        <v>7</v>
      </c>
      <c r="I92" s="330" t="s">
        <v>8</v>
      </c>
      <c r="J92" s="330" t="s">
        <v>9</v>
      </c>
      <c r="K92" s="333" t="s">
        <v>10</v>
      </c>
      <c r="L92" s="334" t="s">
        <v>11</v>
      </c>
      <c r="M92" s="330" t="s">
        <v>12</v>
      </c>
      <c r="N92" s="335" t="s">
        <v>13</v>
      </c>
      <c r="O92" s="450" t="s">
        <v>63</v>
      </c>
    </row>
    <row r="93" spans="1:19" s="17" customFormat="1" ht="33" customHeight="1" x14ac:dyDescent="0.3">
      <c r="A93" s="446" t="s">
        <v>4454</v>
      </c>
      <c r="B93" s="412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84" t="s">
        <v>23</v>
      </c>
      <c r="H93" s="198" t="s">
        <v>4743</v>
      </c>
      <c r="I93" s="198"/>
      <c r="J93" s="198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53" t="s">
        <v>4328</v>
      </c>
      <c r="P93" s="642" t="s">
        <v>4394</v>
      </c>
      <c r="Q93" s="643"/>
      <c r="R93" s="643"/>
      <c r="S93" s="643"/>
    </row>
    <row r="94" spans="1:19" s="17" customFormat="1" ht="33" customHeight="1" x14ac:dyDescent="0.3">
      <c r="A94" s="447"/>
      <c r="B94" s="412">
        <v>46055</v>
      </c>
      <c r="C94" s="4" t="s">
        <v>21</v>
      </c>
      <c r="D94" s="4" t="s">
        <v>14</v>
      </c>
      <c r="E94" s="321" t="s">
        <v>4574</v>
      </c>
      <c r="F94" s="198" t="s">
        <v>4561</v>
      </c>
      <c r="G94" s="16" t="s">
        <v>4562</v>
      </c>
      <c r="H94" s="198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54" t="s">
        <v>4573</v>
      </c>
    </row>
    <row r="95" spans="1:19" s="17" customFormat="1" ht="33" customHeight="1" x14ac:dyDescent="0.3">
      <c r="A95" s="447"/>
      <c r="B95" s="412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84" t="s">
        <v>23</v>
      </c>
      <c r="H95" s="198" t="s">
        <v>4744</v>
      </c>
      <c r="I95" s="198"/>
      <c r="J95" s="198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53" t="s">
        <v>4572</v>
      </c>
    </row>
    <row r="96" spans="1:19" s="17" customFormat="1" ht="33" customHeight="1" x14ac:dyDescent="0.3">
      <c r="A96" s="447"/>
      <c r="B96" s="412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8" t="s">
        <v>4618</v>
      </c>
      <c r="I96" s="198" t="s">
        <v>4569</v>
      </c>
      <c r="J96" s="198"/>
      <c r="K96" s="125" t="s">
        <v>15</v>
      </c>
      <c r="L96" s="16">
        <v>9080</v>
      </c>
      <c r="M96" s="8">
        <v>1</v>
      </c>
      <c r="N96" s="444"/>
      <c r="O96" s="453" t="s">
        <v>4571</v>
      </c>
    </row>
    <row r="97" spans="1:16" s="17" customFormat="1" ht="33" customHeight="1" x14ac:dyDescent="0.3">
      <c r="A97" s="447"/>
      <c r="B97" s="412">
        <v>46056</v>
      </c>
      <c r="C97" s="4" t="s">
        <v>21</v>
      </c>
      <c r="D97" s="4" t="s">
        <v>14</v>
      </c>
      <c r="E97" s="198" t="s">
        <v>1791</v>
      </c>
      <c r="F97" s="198" t="s">
        <v>2139</v>
      </c>
      <c r="G97" s="16" t="s">
        <v>143</v>
      </c>
      <c r="H97" s="198" t="s">
        <v>4576</v>
      </c>
      <c r="I97" s="198" t="s">
        <v>90</v>
      </c>
      <c r="J97" s="198"/>
      <c r="K97" s="125" t="s">
        <v>15</v>
      </c>
      <c r="L97" s="16"/>
      <c r="M97" s="8">
        <v>1</v>
      </c>
      <c r="N97" s="321"/>
      <c r="O97" s="457" t="s">
        <v>4546</v>
      </c>
    </row>
    <row r="98" spans="1:16" s="17" customFormat="1" ht="33" customHeight="1" x14ac:dyDescent="0.3">
      <c r="A98" s="447"/>
      <c r="B98" s="412">
        <v>46056</v>
      </c>
      <c r="C98" s="4" t="s">
        <v>21</v>
      </c>
      <c r="D98" s="4" t="s">
        <v>17</v>
      </c>
      <c r="E98" s="31" t="s">
        <v>3410</v>
      </c>
      <c r="F98" s="198">
        <v>3006</v>
      </c>
      <c r="G98" s="16" t="s">
        <v>23</v>
      </c>
      <c r="H98" s="321" t="s">
        <v>4619</v>
      </c>
      <c r="I98" s="198"/>
      <c r="J98" s="31" t="s">
        <v>4615</v>
      </c>
      <c r="K98" s="125" t="s">
        <v>15</v>
      </c>
      <c r="L98" s="16"/>
      <c r="M98" s="8">
        <v>2</v>
      </c>
      <c r="N98" s="31"/>
      <c r="O98" s="454" t="s">
        <v>4602</v>
      </c>
    </row>
    <row r="99" spans="1:16" s="17" customFormat="1" ht="33" customHeight="1" x14ac:dyDescent="0.3">
      <c r="A99" s="447"/>
      <c r="B99" s="412">
        <v>46056</v>
      </c>
      <c r="C99" s="4" t="s">
        <v>21</v>
      </c>
      <c r="D99" s="4" t="s">
        <v>14</v>
      </c>
      <c r="E99" s="198" t="s">
        <v>1791</v>
      </c>
      <c r="F99" s="198" t="s">
        <v>4605</v>
      </c>
      <c r="G99" s="16" t="s">
        <v>4599</v>
      </c>
      <c r="H99" s="321" t="s">
        <v>4621</v>
      </c>
      <c r="I99" s="198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54" t="s">
        <v>4606</v>
      </c>
      <c r="P99" s="421" t="s">
        <v>4600</v>
      </c>
    </row>
    <row r="100" spans="1:16" s="17" customFormat="1" ht="33" customHeight="1" x14ac:dyDescent="0.3">
      <c r="A100" s="447"/>
      <c r="B100" s="412">
        <v>46056</v>
      </c>
      <c r="C100" s="4" t="s">
        <v>21</v>
      </c>
      <c r="D100" s="4" t="s">
        <v>14</v>
      </c>
      <c r="E100" s="198" t="s">
        <v>4613</v>
      </c>
      <c r="F100" s="198" t="s">
        <v>4616</v>
      </c>
      <c r="G100" s="16" t="s">
        <v>150</v>
      </c>
      <c r="H100" s="321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54" t="s">
        <v>4604</v>
      </c>
    </row>
    <row r="101" spans="1:16" s="17" customFormat="1" ht="33" customHeight="1" x14ac:dyDescent="0.3">
      <c r="A101" s="447"/>
      <c r="B101" s="412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8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53" t="s">
        <v>4575</v>
      </c>
    </row>
    <row r="102" spans="1:16" s="17" customFormat="1" ht="33" customHeight="1" x14ac:dyDescent="0.3">
      <c r="A102" s="447"/>
      <c r="B102" s="412">
        <v>46057</v>
      </c>
      <c r="C102" s="4" t="s">
        <v>21</v>
      </c>
      <c r="D102" s="4" t="s">
        <v>17</v>
      </c>
      <c r="E102" s="31" t="s">
        <v>3410</v>
      </c>
      <c r="F102" s="198">
        <v>3006</v>
      </c>
      <c r="G102" s="16" t="s">
        <v>23</v>
      </c>
      <c r="H102" s="321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54" t="s">
        <v>4588</v>
      </c>
    </row>
    <row r="103" spans="1:16" s="17" customFormat="1" ht="33" customHeight="1" x14ac:dyDescent="0.3">
      <c r="A103" s="447"/>
      <c r="B103" s="412">
        <v>46057</v>
      </c>
      <c r="C103" s="4" t="s">
        <v>21</v>
      </c>
      <c r="D103" s="4" t="s">
        <v>14</v>
      </c>
      <c r="E103" s="31" t="s">
        <v>4627</v>
      </c>
      <c r="F103" s="198">
        <v>222003</v>
      </c>
      <c r="G103" s="16" t="s">
        <v>4628</v>
      </c>
      <c r="H103" s="321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54" t="s">
        <v>4630</v>
      </c>
    </row>
    <row r="104" spans="1:16" s="17" customFormat="1" ht="33" customHeight="1" x14ac:dyDescent="0.3">
      <c r="A104" s="447"/>
      <c r="B104" s="412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21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53" t="s">
        <v>4603</v>
      </c>
    </row>
    <row r="105" spans="1:16" s="17" customFormat="1" ht="33" customHeight="1" x14ac:dyDescent="0.3">
      <c r="A105" s="447"/>
      <c r="B105" s="412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8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52" t="s">
        <v>4632</v>
      </c>
    </row>
    <row r="106" spans="1:16" s="17" customFormat="1" ht="33" customHeight="1" x14ac:dyDescent="0.3">
      <c r="A106" s="447"/>
      <c r="B106" s="412">
        <v>46058</v>
      </c>
      <c r="C106" s="4" t="s">
        <v>21</v>
      </c>
      <c r="D106" s="4" t="s">
        <v>14</v>
      </c>
      <c r="E106" s="31" t="s">
        <v>4623</v>
      </c>
      <c r="F106" s="198" t="s">
        <v>3012</v>
      </c>
      <c r="G106" s="16" t="s">
        <v>1382</v>
      </c>
      <c r="H106" s="321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54"/>
    </row>
    <row r="107" spans="1:16" s="17" customFormat="1" ht="33" customHeight="1" x14ac:dyDescent="0.3">
      <c r="A107" s="447"/>
      <c r="B107" s="412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21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8" t="s">
        <v>4644</v>
      </c>
      <c r="O107" s="453" t="s">
        <v>4642</v>
      </c>
    </row>
    <row r="108" spans="1:16" s="17" customFormat="1" ht="33" customHeight="1" x14ac:dyDescent="0.3">
      <c r="A108" s="447"/>
      <c r="B108" s="412">
        <v>46059</v>
      </c>
      <c r="C108" s="4"/>
      <c r="D108" s="4"/>
      <c r="E108" s="31"/>
      <c r="F108" s="31"/>
      <c r="G108" s="16"/>
      <c r="H108" s="198"/>
      <c r="I108" s="31"/>
      <c r="J108" s="31"/>
      <c r="K108" s="125"/>
      <c r="L108" s="16"/>
      <c r="M108" s="8"/>
      <c r="N108" s="31"/>
      <c r="O108" s="451"/>
    </row>
    <row r="109" spans="1:16" s="17" customFormat="1" ht="33" customHeight="1" x14ac:dyDescent="0.3">
      <c r="A109" s="447"/>
      <c r="B109" s="412">
        <v>46060</v>
      </c>
      <c r="C109" s="4" t="s">
        <v>21</v>
      </c>
      <c r="D109" s="4" t="s">
        <v>14</v>
      </c>
      <c r="E109" s="298" t="s">
        <v>107</v>
      </c>
      <c r="F109" s="31" t="s">
        <v>4598</v>
      </c>
      <c r="G109" s="16" t="s">
        <v>4608</v>
      </c>
      <c r="H109" s="198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54" t="s">
        <v>4595</v>
      </c>
    </row>
    <row r="110" spans="1:16" s="17" customFormat="1" ht="33" customHeight="1" x14ac:dyDescent="0.3">
      <c r="A110" s="448"/>
      <c r="B110" s="412">
        <v>46060</v>
      </c>
      <c r="C110" s="4"/>
      <c r="D110" s="4"/>
      <c r="E110" s="31"/>
      <c r="F110" s="31"/>
      <c r="G110" s="16"/>
      <c r="H110" s="198"/>
      <c r="I110" s="198"/>
      <c r="J110" s="198"/>
      <c r="K110" s="125"/>
      <c r="L110" s="16"/>
      <c r="M110" s="8"/>
      <c r="N110" s="31"/>
      <c r="O110" s="455"/>
    </row>
    <row r="111" spans="1:16" s="17" customFormat="1" ht="33" customHeight="1" x14ac:dyDescent="0.3">
      <c r="A111" s="449" t="s">
        <v>0</v>
      </c>
      <c r="B111" s="331" t="s">
        <v>1</v>
      </c>
      <c r="C111" s="330" t="s">
        <v>2</v>
      </c>
      <c r="D111" s="330" t="s">
        <v>3</v>
      </c>
      <c r="E111" s="330" t="s">
        <v>4</v>
      </c>
      <c r="F111" s="330" t="s">
        <v>5</v>
      </c>
      <c r="G111" s="330" t="s">
        <v>6</v>
      </c>
      <c r="H111" s="332" t="s">
        <v>7</v>
      </c>
      <c r="I111" s="330" t="s">
        <v>8</v>
      </c>
      <c r="J111" s="330" t="s">
        <v>9</v>
      </c>
      <c r="K111" s="333" t="s">
        <v>10</v>
      </c>
      <c r="L111" s="334" t="s">
        <v>11</v>
      </c>
      <c r="M111" s="330" t="s">
        <v>12</v>
      </c>
      <c r="N111" s="335" t="s">
        <v>13</v>
      </c>
      <c r="O111" s="450" t="s">
        <v>63</v>
      </c>
    </row>
    <row r="112" spans="1:16" s="17" customFormat="1" ht="33" customHeight="1" x14ac:dyDescent="0.3">
      <c r="A112" s="446" t="s">
        <v>3266</v>
      </c>
      <c r="B112" s="412">
        <v>46062</v>
      </c>
      <c r="C112" s="4" t="s">
        <v>21</v>
      </c>
      <c r="D112" s="4" t="s">
        <v>14</v>
      </c>
      <c r="E112" s="298" t="s">
        <v>107</v>
      </c>
      <c r="F112" s="31" t="s">
        <v>4585</v>
      </c>
      <c r="G112" s="16" t="s">
        <v>4587</v>
      </c>
      <c r="H112" s="198" t="s">
        <v>4586</v>
      </c>
      <c r="I112" s="31" t="s">
        <v>4593</v>
      </c>
      <c r="J112" s="198" t="s">
        <v>4654</v>
      </c>
      <c r="K112" s="125" t="s">
        <v>4634</v>
      </c>
      <c r="L112" s="16">
        <v>9080</v>
      </c>
      <c r="M112" s="8">
        <v>6</v>
      </c>
      <c r="N112" s="31"/>
      <c r="O112" s="454" t="s">
        <v>4595</v>
      </c>
    </row>
    <row r="113" spans="1:16" s="17" customFormat="1" ht="33" customHeight="1" x14ac:dyDescent="0.3">
      <c r="A113" s="447"/>
      <c r="B113" s="412">
        <v>46062</v>
      </c>
      <c r="C113" s="4"/>
      <c r="D113" s="4"/>
      <c r="E113" s="198"/>
      <c r="F113" s="31"/>
      <c r="G113" s="16"/>
      <c r="H113" s="321"/>
      <c r="I113" s="31"/>
      <c r="J113" s="198"/>
      <c r="K113" s="125"/>
      <c r="L113" s="16"/>
      <c r="M113" s="8"/>
      <c r="N113" s="31"/>
      <c r="O113" s="455"/>
    </row>
    <row r="114" spans="1:16" s="17" customFormat="1" ht="33" customHeight="1" x14ac:dyDescent="0.3">
      <c r="A114" s="447"/>
      <c r="B114" s="412">
        <v>46063</v>
      </c>
      <c r="C114" s="4" t="s">
        <v>21</v>
      </c>
      <c r="D114" s="4" t="s">
        <v>14</v>
      </c>
      <c r="E114" s="321" t="s">
        <v>1791</v>
      </c>
      <c r="F114" s="198" t="s">
        <v>2139</v>
      </c>
      <c r="G114" s="16" t="s">
        <v>142</v>
      </c>
      <c r="H114" s="198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51" t="s">
        <v>4638</v>
      </c>
    </row>
    <row r="115" spans="1:16" s="17" customFormat="1" ht="33" customHeight="1" x14ac:dyDescent="0.3">
      <c r="A115" s="447"/>
      <c r="B115" s="412">
        <v>46063</v>
      </c>
      <c r="C115" s="59" t="s">
        <v>21</v>
      </c>
      <c r="D115" s="59" t="s">
        <v>4659</v>
      </c>
      <c r="E115" s="442" t="s">
        <v>4658</v>
      </c>
      <c r="F115" s="317">
        <v>222003</v>
      </c>
      <c r="G115" s="202" t="s">
        <v>4657</v>
      </c>
      <c r="H115" s="317" t="s">
        <v>4656</v>
      </c>
      <c r="I115" s="318"/>
      <c r="J115" s="318" t="s">
        <v>4660</v>
      </c>
      <c r="K115" s="316" t="s">
        <v>66</v>
      </c>
      <c r="L115" s="202"/>
      <c r="M115" s="187">
        <v>1</v>
      </c>
      <c r="N115" s="31" t="s">
        <v>4662</v>
      </c>
      <c r="O115" s="459" t="s">
        <v>4661</v>
      </c>
    </row>
    <row r="116" spans="1:16" s="17" customFormat="1" ht="33" customHeight="1" x14ac:dyDescent="0.3">
      <c r="A116" s="447"/>
      <c r="B116" s="412">
        <v>46063</v>
      </c>
      <c r="C116" s="4" t="s">
        <v>21</v>
      </c>
      <c r="D116" s="4" t="s">
        <v>14</v>
      </c>
      <c r="E116" s="298" t="s">
        <v>107</v>
      </c>
      <c r="F116" s="31" t="s">
        <v>4665</v>
      </c>
      <c r="G116" s="16" t="s">
        <v>4664</v>
      </c>
      <c r="H116" s="198" t="s">
        <v>4667</v>
      </c>
      <c r="I116" s="31"/>
      <c r="J116" s="198" t="s">
        <v>3078</v>
      </c>
      <c r="K116" s="125" t="s">
        <v>181</v>
      </c>
      <c r="L116" s="16"/>
      <c r="M116" s="8">
        <v>1</v>
      </c>
      <c r="N116" s="31"/>
      <c r="O116" s="454" t="s">
        <v>4595</v>
      </c>
    </row>
    <row r="117" spans="1:16" s="17" customFormat="1" ht="33" customHeight="1" x14ac:dyDescent="0.3">
      <c r="A117" s="447"/>
      <c r="B117" s="412">
        <v>46064</v>
      </c>
      <c r="C117" s="4" t="s">
        <v>21</v>
      </c>
      <c r="D117" s="4" t="s">
        <v>14</v>
      </c>
      <c r="E117" s="298" t="s">
        <v>107</v>
      </c>
      <c r="F117" s="31" t="s">
        <v>141</v>
      </c>
      <c r="G117" s="16" t="s">
        <v>142</v>
      </c>
      <c r="H117" s="198" t="s">
        <v>4583</v>
      </c>
      <c r="I117" s="31" t="s">
        <v>202</v>
      </c>
      <c r="J117" s="198" t="s">
        <v>4584</v>
      </c>
      <c r="K117" s="125" t="s">
        <v>181</v>
      </c>
      <c r="L117" s="16">
        <v>9080</v>
      </c>
      <c r="M117" s="8">
        <v>6</v>
      </c>
      <c r="N117" s="31"/>
      <c r="O117" s="454" t="s">
        <v>4655</v>
      </c>
    </row>
    <row r="118" spans="1:16" s="17" customFormat="1" ht="33" customHeight="1" x14ac:dyDescent="0.3">
      <c r="A118" s="447"/>
      <c r="B118" s="412">
        <v>46064</v>
      </c>
      <c r="C118" s="4" t="s">
        <v>21</v>
      </c>
      <c r="D118" s="4" t="s">
        <v>17</v>
      </c>
      <c r="E118" s="198" t="s">
        <v>78</v>
      </c>
      <c r="F118" s="31">
        <v>7060</v>
      </c>
      <c r="G118" s="16" t="s">
        <v>2858</v>
      </c>
      <c r="H118" s="321" t="s">
        <v>4640</v>
      </c>
      <c r="I118" s="31" t="s">
        <v>90</v>
      </c>
      <c r="J118" s="198" t="s">
        <v>3079</v>
      </c>
      <c r="K118" s="125" t="s">
        <v>32</v>
      </c>
      <c r="L118" s="16"/>
      <c r="M118" s="8">
        <v>2</v>
      </c>
      <c r="N118" s="31"/>
      <c r="O118" s="452" t="s">
        <v>4663</v>
      </c>
    </row>
    <row r="119" spans="1:16" s="17" customFormat="1" ht="33" customHeight="1" x14ac:dyDescent="0.3">
      <c r="A119" s="447"/>
      <c r="B119" s="412">
        <v>46065</v>
      </c>
      <c r="C119" s="4" t="s">
        <v>21</v>
      </c>
      <c r="D119" s="4" t="s">
        <v>14</v>
      </c>
      <c r="E119" s="298" t="s">
        <v>107</v>
      </c>
      <c r="F119" s="31" t="s">
        <v>141</v>
      </c>
      <c r="G119" s="16" t="s">
        <v>142</v>
      </c>
      <c r="H119" s="198" t="s">
        <v>4583</v>
      </c>
      <c r="I119" s="31" t="s">
        <v>202</v>
      </c>
      <c r="J119" s="198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54" t="s">
        <v>4655</v>
      </c>
    </row>
    <row r="120" spans="1:16" s="17" customFormat="1" ht="33" customHeight="1" x14ac:dyDescent="0.3">
      <c r="A120" s="447"/>
      <c r="B120" s="412">
        <v>46065</v>
      </c>
      <c r="C120" s="4"/>
      <c r="D120" s="4"/>
      <c r="E120" s="298"/>
      <c r="F120" s="31"/>
      <c r="G120" s="16"/>
      <c r="H120" s="198"/>
      <c r="I120" s="31"/>
      <c r="J120" s="31"/>
      <c r="K120" s="125"/>
      <c r="L120" s="16"/>
      <c r="M120" s="8"/>
      <c r="N120" s="31"/>
      <c r="O120" s="455"/>
    </row>
    <row r="121" spans="1:16" s="17" customFormat="1" ht="33" customHeight="1" x14ac:dyDescent="0.3">
      <c r="A121" s="447"/>
      <c r="B121" s="412">
        <v>46066</v>
      </c>
      <c r="C121" s="4" t="s">
        <v>21</v>
      </c>
      <c r="D121" s="4" t="s">
        <v>14</v>
      </c>
      <c r="E121" s="298" t="s">
        <v>107</v>
      </c>
      <c r="F121" s="31" t="s">
        <v>4425</v>
      </c>
      <c r="G121" s="16" t="s">
        <v>4421</v>
      </c>
      <c r="H121" s="198" t="s">
        <v>4687</v>
      </c>
      <c r="I121" s="31" t="s">
        <v>202</v>
      </c>
      <c r="J121" s="198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54" t="s">
        <v>4595</v>
      </c>
    </row>
    <row r="122" spans="1:16" s="17" customFormat="1" ht="33" customHeight="1" x14ac:dyDescent="0.3">
      <c r="A122" s="447"/>
      <c r="B122" s="412">
        <v>46066</v>
      </c>
      <c r="C122" s="4" t="s">
        <v>21</v>
      </c>
      <c r="D122" s="4" t="s">
        <v>14</v>
      </c>
      <c r="E122" s="321" t="s">
        <v>4646</v>
      </c>
      <c r="F122" s="31" t="s">
        <v>4750</v>
      </c>
      <c r="G122" s="16" t="s">
        <v>1382</v>
      </c>
      <c r="H122" s="321" t="s">
        <v>4647</v>
      </c>
      <c r="I122" s="31" t="s">
        <v>4666</v>
      </c>
      <c r="J122" s="31" t="s">
        <v>2832</v>
      </c>
      <c r="K122" s="125" t="s">
        <v>32</v>
      </c>
      <c r="L122" s="441" t="s">
        <v>4648</v>
      </c>
      <c r="M122" s="8">
        <v>2</v>
      </c>
      <c r="N122" s="31"/>
      <c r="O122" s="451" t="s">
        <v>4651</v>
      </c>
      <c r="P122" s="421" t="s">
        <v>4672</v>
      </c>
    </row>
    <row r="123" spans="1:16" s="17" customFormat="1" ht="33" customHeight="1" x14ac:dyDescent="0.3">
      <c r="A123" s="447"/>
      <c r="B123" s="412">
        <v>46067</v>
      </c>
      <c r="C123" s="4"/>
      <c r="D123" s="4"/>
      <c r="E123" s="31"/>
      <c r="F123" s="31"/>
      <c r="G123" s="16"/>
      <c r="H123" s="198"/>
      <c r="I123" s="198"/>
      <c r="J123" s="198"/>
      <c r="K123" s="125"/>
      <c r="L123" s="16"/>
      <c r="M123" s="8"/>
      <c r="N123" s="31" t="s">
        <v>4611</v>
      </c>
      <c r="O123" s="455"/>
    </row>
    <row r="124" spans="1:16" s="17" customFormat="1" ht="33" customHeight="1" x14ac:dyDescent="0.3">
      <c r="A124" s="448"/>
      <c r="B124" s="412">
        <v>46067</v>
      </c>
      <c r="C124" s="4"/>
      <c r="D124" s="4"/>
      <c r="E124" s="31"/>
      <c r="F124" s="31"/>
      <c r="G124" s="16"/>
      <c r="H124" s="198"/>
      <c r="I124" s="198"/>
      <c r="J124" s="198"/>
      <c r="K124" s="125"/>
      <c r="L124" s="16"/>
      <c r="M124" s="8"/>
      <c r="N124" s="16"/>
      <c r="O124" s="464"/>
    </row>
    <row r="125" spans="1:16" s="17" customFormat="1" ht="33" customHeight="1" x14ac:dyDescent="0.3">
      <c r="A125" s="449" t="s">
        <v>0</v>
      </c>
      <c r="B125" s="331" t="s">
        <v>1</v>
      </c>
      <c r="C125" s="330" t="s">
        <v>2</v>
      </c>
      <c r="D125" s="330" t="s">
        <v>3</v>
      </c>
      <c r="E125" s="330" t="s">
        <v>4</v>
      </c>
      <c r="F125" s="330" t="s">
        <v>5</v>
      </c>
      <c r="G125" s="330" t="s">
        <v>6</v>
      </c>
      <c r="H125" s="332" t="s">
        <v>7</v>
      </c>
      <c r="I125" s="330" t="s">
        <v>8</v>
      </c>
      <c r="J125" s="330" t="s">
        <v>9</v>
      </c>
      <c r="K125" s="333" t="s">
        <v>10</v>
      </c>
      <c r="L125" s="334" t="s">
        <v>11</v>
      </c>
      <c r="M125" s="330" t="s">
        <v>12</v>
      </c>
      <c r="N125" s="335" t="s">
        <v>13</v>
      </c>
      <c r="O125" s="450" t="s">
        <v>63</v>
      </c>
    </row>
    <row r="126" spans="1:16" s="17" customFormat="1" ht="33" customHeight="1" x14ac:dyDescent="0.3">
      <c r="A126" s="446" t="s">
        <v>3267</v>
      </c>
      <c r="B126" s="412">
        <v>46069</v>
      </c>
      <c r="C126" s="4"/>
      <c r="D126" s="4"/>
      <c r="E126" s="298"/>
      <c r="F126" s="31"/>
      <c r="G126" s="16"/>
      <c r="H126" s="422" t="s">
        <v>4589</v>
      </c>
      <c r="I126" s="31"/>
      <c r="J126" s="31"/>
      <c r="K126" s="125"/>
      <c r="L126" s="16"/>
      <c r="M126" s="8"/>
      <c r="N126" s="31"/>
      <c r="O126" s="454"/>
    </row>
    <row r="127" spans="1:16" s="17" customFormat="1" ht="33" customHeight="1" x14ac:dyDescent="0.3">
      <c r="A127" s="447"/>
      <c r="B127" s="412">
        <v>46069</v>
      </c>
      <c r="C127" s="4"/>
      <c r="D127" s="4"/>
      <c r="E127" s="298"/>
      <c r="F127" s="31"/>
      <c r="G127" s="16"/>
      <c r="H127" s="422"/>
      <c r="I127" s="31"/>
      <c r="J127" s="31"/>
      <c r="K127" s="125"/>
      <c r="L127" s="16"/>
      <c r="M127" s="8"/>
      <c r="N127" s="31"/>
      <c r="O127" s="454"/>
    </row>
    <row r="128" spans="1:16" s="17" customFormat="1" ht="33" customHeight="1" x14ac:dyDescent="0.3">
      <c r="A128" s="447"/>
      <c r="B128" s="412">
        <v>46070</v>
      </c>
      <c r="C128" s="4"/>
      <c r="D128" s="4"/>
      <c r="E128" s="31"/>
      <c r="F128" s="31"/>
      <c r="G128" s="16"/>
      <c r="H128" s="422" t="s">
        <v>4590</v>
      </c>
      <c r="I128" s="31"/>
      <c r="J128" s="198"/>
      <c r="K128" s="125"/>
      <c r="L128" s="16"/>
      <c r="M128" s="8"/>
      <c r="N128" s="444"/>
      <c r="O128" s="453"/>
    </row>
    <row r="129" spans="1:16" s="17" customFormat="1" ht="33" customHeight="1" x14ac:dyDescent="0.3">
      <c r="A129" s="447"/>
      <c r="B129" s="412">
        <v>46070</v>
      </c>
      <c r="C129" s="4"/>
      <c r="D129" s="4"/>
      <c r="E129" s="31"/>
      <c r="F129" s="31"/>
      <c r="G129" s="16"/>
      <c r="H129" s="422"/>
      <c r="I129" s="31"/>
      <c r="J129" s="198"/>
      <c r="K129" s="125"/>
      <c r="L129" s="16"/>
      <c r="M129" s="8"/>
      <c r="N129" s="444"/>
      <c r="O129" s="453"/>
    </row>
    <row r="130" spans="1:16" s="17" customFormat="1" ht="33" customHeight="1" x14ac:dyDescent="0.3">
      <c r="A130" s="447"/>
      <c r="B130" s="412">
        <v>46071</v>
      </c>
      <c r="C130" s="4"/>
      <c r="D130" s="4"/>
      <c r="E130" s="31"/>
      <c r="F130" s="31"/>
      <c r="G130" s="16"/>
      <c r="H130" s="422" t="s">
        <v>4591</v>
      </c>
      <c r="I130" s="31"/>
      <c r="J130" s="198"/>
      <c r="K130" s="125"/>
      <c r="L130" s="16"/>
      <c r="M130" s="8"/>
      <c r="N130" s="444"/>
      <c r="O130" s="453"/>
    </row>
    <row r="131" spans="1:16" s="17" customFormat="1" ht="33" customHeight="1" x14ac:dyDescent="0.3">
      <c r="A131" s="447"/>
      <c r="B131" s="412">
        <v>46071</v>
      </c>
      <c r="C131" s="4"/>
      <c r="D131" s="4"/>
      <c r="E131" s="298"/>
      <c r="F131" s="31"/>
      <c r="G131" s="16"/>
      <c r="H131" s="198"/>
      <c r="I131" s="31"/>
      <c r="J131" s="31"/>
      <c r="K131" s="125"/>
      <c r="L131" s="16"/>
      <c r="M131" s="8"/>
      <c r="N131" s="31"/>
      <c r="O131" s="455"/>
    </row>
    <row r="132" spans="1:16" s="17" customFormat="1" ht="33" customHeight="1" x14ac:dyDescent="0.3">
      <c r="A132" s="447"/>
      <c r="B132" s="412">
        <v>46072</v>
      </c>
      <c r="C132" s="4" t="s">
        <v>21</v>
      </c>
      <c r="D132" s="4" t="s">
        <v>17</v>
      </c>
      <c r="E132" s="298" t="s">
        <v>4669</v>
      </c>
      <c r="F132" s="31">
        <v>3307</v>
      </c>
      <c r="G132" s="16" t="s">
        <v>811</v>
      </c>
      <c r="H132" s="198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8" t="s">
        <v>4698</v>
      </c>
      <c r="O132" s="455"/>
    </row>
    <row r="133" spans="1:16" s="17" customFormat="1" ht="33" customHeight="1" x14ac:dyDescent="0.3">
      <c r="A133" s="447"/>
      <c r="B133" s="412">
        <v>46072</v>
      </c>
      <c r="C133" s="4"/>
      <c r="D133" s="4"/>
      <c r="E133" s="298"/>
      <c r="F133" s="31"/>
      <c r="G133" s="16"/>
      <c r="H133" s="198"/>
      <c r="I133" s="31"/>
      <c r="J133" s="31"/>
      <c r="K133" s="125"/>
      <c r="L133" s="16"/>
      <c r="M133" s="8"/>
      <c r="N133" s="444" t="s">
        <v>4696</v>
      </c>
      <c r="O133" s="455"/>
    </row>
    <row r="134" spans="1:16" s="17" customFormat="1" ht="33" customHeight="1" x14ac:dyDescent="0.3">
      <c r="A134" s="447"/>
      <c r="B134" s="412">
        <v>46073</v>
      </c>
      <c r="C134" s="4" t="s">
        <v>21</v>
      </c>
      <c r="D134" s="4" t="s">
        <v>14</v>
      </c>
      <c r="E134" s="31" t="s">
        <v>1791</v>
      </c>
      <c r="F134" s="198" t="s">
        <v>2139</v>
      </c>
      <c r="G134" s="16" t="s">
        <v>142</v>
      </c>
      <c r="H134" s="198" t="s">
        <v>4747</v>
      </c>
      <c r="I134" s="31" t="s">
        <v>4680</v>
      </c>
      <c r="J134" s="198" t="s">
        <v>4679</v>
      </c>
      <c r="K134" s="125" t="s">
        <v>15</v>
      </c>
      <c r="L134" s="16"/>
      <c r="M134" s="8">
        <v>4</v>
      </c>
      <c r="N134" s="444" t="s">
        <v>4707</v>
      </c>
      <c r="O134" s="453" t="s">
        <v>4719</v>
      </c>
    </row>
    <row r="135" spans="1:16" s="17" customFormat="1" ht="33" customHeight="1" x14ac:dyDescent="0.3">
      <c r="A135" s="447"/>
      <c r="B135" s="412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8" t="s">
        <v>4748</v>
      </c>
      <c r="I135" s="125" t="s">
        <v>4683</v>
      </c>
      <c r="J135" s="198" t="s">
        <v>641</v>
      </c>
      <c r="K135" s="125" t="s">
        <v>15</v>
      </c>
      <c r="L135" s="16"/>
      <c r="M135" s="8">
        <v>3</v>
      </c>
      <c r="N135" s="6" t="s">
        <v>4708</v>
      </c>
      <c r="O135" s="453" t="s">
        <v>4675</v>
      </c>
    </row>
    <row r="136" spans="1:16" s="17" customFormat="1" ht="33" customHeight="1" x14ac:dyDescent="0.3">
      <c r="A136" s="447"/>
      <c r="B136" s="412">
        <v>46074</v>
      </c>
      <c r="C136" s="4" t="s">
        <v>21</v>
      </c>
      <c r="D136" s="4" t="s">
        <v>14</v>
      </c>
      <c r="E136" s="31" t="s">
        <v>1791</v>
      </c>
      <c r="F136" s="198" t="s">
        <v>4681</v>
      </c>
      <c r="G136" s="16" t="s">
        <v>4676</v>
      </c>
      <c r="H136" s="198" t="s">
        <v>4723</v>
      </c>
      <c r="I136" s="31"/>
      <c r="J136" s="198" t="s">
        <v>4713</v>
      </c>
      <c r="K136" s="125" t="s">
        <v>15</v>
      </c>
      <c r="L136" s="16">
        <v>9080</v>
      </c>
      <c r="M136" s="8">
        <v>3</v>
      </c>
      <c r="N136" s="444"/>
      <c r="O136" s="453" t="s">
        <v>4682</v>
      </c>
    </row>
    <row r="137" spans="1:16" s="17" customFormat="1" ht="33" customHeight="1" x14ac:dyDescent="0.3">
      <c r="A137" s="447"/>
      <c r="B137" s="412">
        <v>46074</v>
      </c>
      <c r="C137" s="4" t="s">
        <v>21</v>
      </c>
      <c r="D137" s="4" t="s">
        <v>14</v>
      </c>
      <c r="E137" s="31" t="s">
        <v>1791</v>
      </c>
      <c r="F137" s="198" t="s">
        <v>4715</v>
      </c>
      <c r="G137" s="16" t="s">
        <v>4714</v>
      </c>
      <c r="H137" s="198" t="s">
        <v>4716</v>
      </c>
      <c r="I137" s="31"/>
      <c r="J137" s="198" t="s">
        <v>4713</v>
      </c>
      <c r="K137" s="125" t="s">
        <v>4717</v>
      </c>
      <c r="L137" s="16"/>
      <c r="M137" s="8">
        <v>3</v>
      </c>
      <c r="N137" s="444"/>
      <c r="O137" s="453" t="s">
        <v>4720</v>
      </c>
    </row>
    <row r="138" spans="1:16" s="17" customFormat="1" ht="33" customHeight="1" x14ac:dyDescent="0.3">
      <c r="A138" s="448"/>
      <c r="B138" s="412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8" t="s">
        <v>4693</v>
      </c>
      <c r="I138" s="198"/>
      <c r="J138" s="198" t="s">
        <v>4699</v>
      </c>
      <c r="K138" s="125" t="s">
        <v>4718</v>
      </c>
      <c r="L138" s="16"/>
      <c r="M138" s="8">
        <v>1</v>
      </c>
      <c r="N138" s="31"/>
      <c r="O138" s="451" t="s">
        <v>4692</v>
      </c>
    </row>
    <row r="139" spans="1:16" s="17" customFormat="1" ht="33" customHeight="1" x14ac:dyDescent="0.3">
      <c r="A139" s="449" t="s">
        <v>0</v>
      </c>
      <c r="B139" s="331" t="s">
        <v>1</v>
      </c>
      <c r="C139" s="330" t="s">
        <v>2</v>
      </c>
      <c r="D139" s="330" t="s">
        <v>3</v>
      </c>
      <c r="E139" s="330" t="s">
        <v>4</v>
      </c>
      <c r="F139" s="330" t="s">
        <v>5</v>
      </c>
      <c r="G139" s="330" t="s">
        <v>6</v>
      </c>
      <c r="H139" s="332" t="s">
        <v>7</v>
      </c>
      <c r="I139" s="330" t="s">
        <v>8</v>
      </c>
      <c r="J139" s="330" t="s">
        <v>9</v>
      </c>
      <c r="K139" s="333" t="s">
        <v>10</v>
      </c>
      <c r="L139" s="334" t="s">
        <v>11</v>
      </c>
      <c r="M139" s="330" t="s">
        <v>12</v>
      </c>
      <c r="N139" s="335" t="s">
        <v>13</v>
      </c>
      <c r="O139" s="450" t="s">
        <v>63</v>
      </c>
    </row>
    <row r="140" spans="1:16" s="17" customFormat="1" ht="33" customHeight="1" x14ac:dyDescent="0.3">
      <c r="A140" s="446" t="s">
        <v>4455</v>
      </c>
      <c r="B140" s="412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8" t="s">
        <v>213</v>
      </c>
      <c r="I140" s="31" t="s">
        <v>4684</v>
      </c>
      <c r="J140" s="198"/>
      <c r="K140" s="125" t="s">
        <v>3269</v>
      </c>
      <c r="L140" s="16"/>
      <c r="M140" s="8">
        <v>1</v>
      </c>
      <c r="N140" s="31" t="s">
        <v>4731</v>
      </c>
      <c r="O140" s="454" t="s">
        <v>3270</v>
      </c>
      <c r="P140" s="421"/>
    </row>
    <row r="141" spans="1:16" s="17" customFormat="1" ht="33" customHeight="1" x14ac:dyDescent="0.3">
      <c r="A141" s="447"/>
      <c r="B141" s="412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8" t="s">
        <v>4722</v>
      </c>
      <c r="I141" s="31"/>
      <c r="J141" s="198" t="s">
        <v>3407</v>
      </c>
      <c r="K141" s="125" t="s">
        <v>15</v>
      </c>
      <c r="L141" s="16"/>
      <c r="M141" s="8">
        <v>2</v>
      </c>
      <c r="N141" s="444"/>
      <c r="O141" s="453" t="s">
        <v>4694</v>
      </c>
      <c r="P141" s="421"/>
    </row>
    <row r="142" spans="1:16" s="17" customFormat="1" ht="33" customHeight="1" x14ac:dyDescent="0.3">
      <c r="A142" s="447"/>
      <c r="B142" s="412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8" t="s">
        <v>4686</v>
      </c>
      <c r="I142" s="31" t="s">
        <v>4684</v>
      </c>
      <c r="J142" s="198"/>
      <c r="K142" s="125" t="s">
        <v>3269</v>
      </c>
      <c r="L142" s="16"/>
      <c r="M142" s="8">
        <v>1</v>
      </c>
      <c r="N142" s="198" t="s">
        <v>4734</v>
      </c>
      <c r="O142" s="454" t="s">
        <v>3270</v>
      </c>
    </row>
    <row r="143" spans="1:16" s="17" customFormat="1" ht="33" customHeight="1" x14ac:dyDescent="0.3">
      <c r="A143" s="447"/>
      <c r="B143" s="412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8" t="s">
        <v>4416</v>
      </c>
      <c r="I143" s="31"/>
      <c r="J143" s="198" t="s">
        <v>4668</v>
      </c>
      <c r="K143" s="125" t="s">
        <v>32</v>
      </c>
      <c r="L143" s="16"/>
      <c r="M143" s="8">
        <v>1</v>
      </c>
      <c r="N143" s="444"/>
      <c r="O143" s="460" t="s">
        <v>4712</v>
      </c>
    </row>
    <row r="144" spans="1:16" s="17" customFormat="1" ht="33" customHeight="1" x14ac:dyDescent="0.3">
      <c r="A144" s="447"/>
      <c r="B144" s="412">
        <v>46077</v>
      </c>
      <c r="C144" s="4" t="s">
        <v>21</v>
      </c>
      <c r="D144" s="4" t="s">
        <v>17</v>
      </c>
      <c r="E144" s="198" t="s">
        <v>3313</v>
      </c>
      <c r="F144" s="298" t="s">
        <v>4677</v>
      </c>
      <c r="G144" s="427" t="s">
        <v>4577</v>
      </c>
      <c r="H144" s="198" t="s">
        <v>4645</v>
      </c>
      <c r="I144" s="31"/>
      <c r="J144" s="198" t="s">
        <v>641</v>
      </c>
      <c r="K144" s="125" t="s">
        <v>15</v>
      </c>
      <c r="L144" s="16"/>
      <c r="M144" s="8">
        <v>2</v>
      </c>
      <c r="N144" s="298"/>
      <c r="O144" s="452" t="s">
        <v>4737</v>
      </c>
    </row>
    <row r="145" spans="1:19" s="17" customFormat="1" ht="33" customHeight="1" x14ac:dyDescent="0.3">
      <c r="A145" s="447"/>
      <c r="B145" s="412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8" t="s">
        <v>4685</v>
      </c>
      <c r="I145" s="31" t="s">
        <v>4684</v>
      </c>
      <c r="J145" s="198"/>
      <c r="K145" s="125" t="s">
        <v>3269</v>
      </c>
      <c r="L145" s="16"/>
      <c r="M145" s="8">
        <v>1</v>
      </c>
      <c r="N145" s="198" t="s">
        <v>4735</v>
      </c>
      <c r="O145" s="454" t="s">
        <v>3270</v>
      </c>
    </row>
    <row r="146" spans="1:19" s="17" customFormat="1" ht="33" customHeight="1" x14ac:dyDescent="0.3">
      <c r="A146" s="447"/>
      <c r="B146" s="412">
        <v>46078</v>
      </c>
      <c r="C146" s="4" t="s">
        <v>4700</v>
      </c>
      <c r="D146" s="4" t="s">
        <v>4701</v>
      </c>
      <c r="E146" s="321" t="s">
        <v>4702</v>
      </c>
      <c r="F146" s="31" t="s">
        <v>4703</v>
      </c>
      <c r="G146" s="16" t="s">
        <v>4704</v>
      </c>
      <c r="H146" s="198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51" t="s">
        <v>4721</v>
      </c>
    </row>
    <row r="147" spans="1:19" s="17" customFormat="1" ht="33" customHeight="1" x14ac:dyDescent="0.3">
      <c r="A147" s="447"/>
      <c r="B147" s="412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8" t="s">
        <v>4729</v>
      </c>
      <c r="I147" s="31" t="s">
        <v>90</v>
      </c>
      <c r="J147" s="198"/>
      <c r="K147" s="125" t="s">
        <v>66</v>
      </c>
      <c r="L147" s="16"/>
      <c r="M147" s="8">
        <v>1</v>
      </c>
      <c r="N147" s="31"/>
      <c r="O147" s="451" t="s">
        <v>4730</v>
      </c>
    </row>
    <row r="148" spans="1:19" s="17" customFormat="1" ht="33" customHeight="1" x14ac:dyDescent="0.3">
      <c r="A148" s="447"/>
      <c r="B148" s="412">
        <v>46079</v>
      </c>
      <c r="C148" s="4"/>
      <c r="D148" s="4"/>
      <c r="E148" s="298"/>
      <c r="F148" s="31"/>
      <c r="G148" s="16"/>
      <c r="H148" s="198"/>
      <c r="I148" s="31"/>
      <c r="J148" s="31"/>
      <c r="K148" s="125"/>
      <c r="L148" s="16"/>
      <c r="M148" s="8"/>
      <c r="N148" s="31" t="s">
        <v>4653</v>
      </c>
      <c r="O148" s="455"/>
    </row>
    <row r="149" spans="1:19" s="17" customFormat="1" ht="33" customHeight="1" x14ac:dyDescent="0.3">
      <c r="A149" s="447"/>
      <c r="B149" s="412">
        <v>46079</v>
      </c>
      <c r="C149" s="4"/>
      <c r="D149" s="4"/>
      <c r="E149" s="298"/>
      <c r="F149" s="31"/>
      <c r="G149" s="16"/>
      <c r="H149" s="198"/>
      <c r="I149" s="31"/>
      <c r="J149" s="31"/>
      <c r="K149" s="125"/>
      <c r="L149" s="16"/>
      <c r="M149" s="8"/>
      <c r="N149" s="31"/>
      <c r="O149" s="455"/>
    </row>
    <row r="150" spans="1:19" s="17" customFormat="1" ht="33" customHeight="1" x14ac:dyDescent="0.3">
      <c r="A150" s="447"/>
      <c r="B150" s="412">
        <v>46080</v>
      </c>
      <c r="C150" s="59" t="s">
        <v>21</v>
      </c>
      <c r="D150" s="59" t="s">
        <v>14</v>
      </c>
      <c r="E150" s="318" t="s">
        <v>107</v>
      </c>
      <c r="F150" s="202" t="s">
        <v>1972</v>
      </c>
      <c r="G150" s="202" t="s">
        <v>376</v>
      </c>
      <c r="H150" s="317" t="s">
        <v>4763</v>
      </c>
      <c r="I150" s="318" t="s">
        <v>90</v>
      </c>
      <c r="J150" s="317" t="s">
        <v>4709</v>
      </c>
      <c r="K150" s="316" t="s">
        <v>15</v>
      </c>
      <c r="L150" s="202" t="s">
        <v>4726</v>
      </c>
      <c r="M150" s="187">
        <v>3</v>
      </c>
      <c r="N150" s="317"/>
      <c r="O150" s="459" t="s">
        <v>4710</v>
      </c>
    </row>
    <row r="151" spans="1:19" s="17" customFormat="1" ht="33" customHeight="1" x14ac:dyDescent="0.3">
      <c r="A151" s="447"/>
      <c r="B151" s="412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8" t="s">
        <v>4758</v>
      </c>
      <c r="I151" s="31"/>
      <c r="J151" s="198" t="s">
        <v>3978</v>
      </c>
      <c r="K151" s="125" t="s">
        <v>105</v>
      </c>
      <c r="L151" s="16"/>
      <c r="M151" s="8">
        <v>2</v>
      </c>
      <c r="N151" s="444"/>
      <c r="O151" s="453" t="s">
        <v>4756</v>
      </c>
    </row>
    <row r="152" spans="1:19" s="17" customFormat="1" ht="33" customHeight="1" x14ac:dyDescent="0.3">
      <c r="A152" s="447"/>
      <c r="B152" s="412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21" t="s">
        <v>4783</v>
      </c>
      <c r="I152" s="198"/>
      <c r="J152" s="198" t="s">
        <v>4724</v>
      </c>
      <c r="K152" s="125" t="s">
        <v>4725</v>
      </c>
      <c r="L152" s="16"/>
      <c r="M152" s="8">
        <v>2</v>
      </c>
      <c r="N152" s="198"/>
      <c r="O152" s="451" t="s">
        <v>4710</v>
      </c>
    </row>
    <row r="153" spans="1:19" s="17" customFormat="1" ht="33" customHeight="1" x14ac:dyDescent="0.3">
      <c r="A153" s="448"/>
      <c r="B153" s="377">
        <v>46081</v>
      </c>
      <c r="C153" s="4"/>
      <c r="D153" s="4"/>
      <c r="E153" s="31"/>
      <c r="F153" s="31"/>
      <c r="G153" s="16"/>
      <c r="H153" s="198"/>
      <c r="I153" s="198"/>
      <c r="J153" s="198"/>
      <c r="K153" s="125"/>
      <c r="L153" s="16"/>
      <c r="M153" s="8"/>
      <c r="N153" s="31"/>
      <c r="O153" s="455"/>
      <c r="P153" s="17" t="s">
        <v>4779</v>
      </c>
    </row>
    <row r="154" spans="1:19" s="17" customFormat="1" ht="33" customHeight="1" x14ac:dyDescent="0.3">
      <c r="A154" s="449" t="s">
        <v>0</v>
      </c>
      <c r="B154" s="331" t="s">
        <v>1</v>
      </c>
      <c r="C154" s="330" t="s">
        <v>2</v>
      </c>
      <c r="D154" s="330" t="s">
        <v>3</v>
      </c>
      <c r="E154" s="330" t="s">
        <v>4</v>
      </c>
      <c r="F154" s="330" t="s">
        <v>5</v>
      </c>
      <c r="G154" s="330" t="s">
        <v>6</v>
      </c>
      <c r="H154" s="332" t="s">
        <v>7</v>
      </c>
      <c r="I154" s="330" t="s">
        <v>8</v>
      </c>
      <c r="J154" s="330" t="s">
        <v>9</v>
      </c>
      <c r="K154" s="333" t="s">
        <v>10</v>
      </c>
      <c r="L154" s="334" t="s">
        <v>11</v>
      </c>
      <c r="M154" s="330" t="s">
        <v>12</v>
      </c>
      <c r="N154" s="335" t="s">
        <v>13</v>
      </c>
      <c r="O154" s="450" t="s">
        <v>63</v>
      </c>
    </row>
    <row r="155" spans="1:19" s="17" customFormat="1" ht="33" customHeight="1" x14ac:dyDescent="0.3">
      <c r="A155" s="446" t="s">
        <v>2716</v>
      </c>
      <c r="B155" s="412">
        <v>46083</v>
      </c>
      <c r="C155" s="4"/>
      <c r="D155" s="4"/>
      <c r="E155" s="298"/>
      <c r="F155" s="31"/>
      <c r="G155" s="16"/>
      <c r="H155" s="443" t="s">
        <v>4671</v>
      </c>
      <c r="I155" s="31"/>
      <c r="J155" s="31"/>
      <c r="K155" s="125"/>
      <c r="L155" s="16"/>
      <c r="M155" s="8"/>
      <c r="N155" s="31"/>
      <c r="O155" s="454"/>
      <c r="P155" s="472"/>
      <c r="Q155" s="473"/>
      <c r="R155" s="473"/>
      <c r="S155" s="473"/>
    </row>
    <row r="156" spans="1:19" s="17" customFormat="1" ht="33" customHeight="1" x14ac:dyDescent="0.3">
      <c r="A156" s="447"/>
      <c r="B156" s="412">
        <v>46083</v>
      </c>
      <c r="C156" s="4"/>
      <c r="D156" s="4"/>
      <c r="E156" s="298"/>
      <c r="F156" s="31"/>
      <c r="G156" s="16"/>
      <c r="H156" s="198"/>
      <c r="I156" s="31"/>
      <c r="J156" s="31"/>
      <c r="K156" s="125"/>
      <c r="L156" s="16"/>
      <c r="M156" s="8"/>
      <c r="N156" s="31"/>
      <c r="O156" s="454"/>
      <c r="P156" s="472"/>
      <c r="Q156" s="473"/>
      <c r="R156" s="473"/>
      <c r="S156" s="473"/>
    </row>
    <row r="157" spans="1:19" s="17" customFormat="1" ht="33" customHeight="1" x14ac:dyDescent="0.3">
      <c r="A157" s="447"/>
      <c r="B157" s="412">
        <v>46084</v>
      </c>
      <c r="C157" s="4" t="s">
        <v>21</v>
      </c>
      <c r="D157" s="4" t="s">
        <v>14</v>
      </c>
      <c r="E157" s="31" t="s">
        <v>107</v>
      </c>
      <c r="F157" s="198" t="s">
        <v>4732</v>
      </c>
      <c r="G157" s="16" t="s">
        <v>3331</v>
      </c>
      <c r="H157" s="198" t="s">
        <v>4784</v>
      </c>
      <c r="I157" s="31" t="s">
        <v>90</v>
      </c>
      <c r="J157" s="198" t="s">
        <v>686</v>
      </c>
      <c r="K157" s="125" t="s">
        <v>15</v>
      </c>
      <c r="L157" s="16"/>
      <c r="M157" s="8">
        <v>2</v>
      </c>
      <c r="N157" s="444" t="s">
        <v>4733</v>
      </c>
      <c r="O157" s="452" t="s">
        <v>4768</v>
      </c>
      <c r="P157" s="472"/>
    </row>
    <row r="158" spans="1:19" s="17" customFormat="1" ht="33" customHeight="1" x14ac:dyDescent="0.3">
      <c r="A158" s="447"/>
      <c r="B158" s="412">
        <v>46084</v>
      </c>
      <c r="C158" s="4" t="s">
        <v>21</v>
      </c>
      <c r="D158" s="4" t="s">
        <v>14</v>
      </c>
      <c r="E158" s="31" t="s">
        <v>4776</v>
      </c>
      <c r="F158" s="198" t="s">
        <v>4771</v>
      </c>
      <c r="G158" s="16" t="s">
        <v>4773</v>
      </c>
      <c r="H158" s="198" t="s">
        <v>4775</v>
      </c>
      <c r="I158" s="31"/>
      <c r="J158" s="198" t="s">
        <v>4774</v>
      </c>
      <c r="K158" s="125" t="s">
        <v>15</v>
      </c>
      <c r="L158" s="16"/>
      <c r="M158" s="8">
        <v>1</v>
      </c>
      <c r="N158" s="31"/>
      <c r="O158" s="452" t="s">
        <v>4778</v>
      </c>
    </row>
    <row r="159" spans="1:19" s="17" customFormat="1" ht="33" customHeight="1" x14ac:dyDescent="0.3">
      <c r="A159" s="447"/>
      <c r="B159" s="412">
        <v>46084</v>
      </c>
      <c r="C159" s="4" t="s">
        <v>21</v>
      </c>
      <c r="D159" s="4" t="s">
        <v>14</v>
      </c>
      <c r="E159" s="198" t="s">
        <v>4770</v>
      </c>
      <c r="F159" s="31" t="s">
        <v>108</v>
      </c>
      <c r="G159" s="16" t="s">
        <v>142</v>
      </c>
      <c r="H159" s="298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71" t="s">
        <v>4769</v>
      </c>
    </row>
    <row r="160" spans="1:19" s="17" customFormat="1" ht="33" customHeight="1" x14ac:dyDescent="0.3">
      <c r="A160" s="447"/>
      <c r="B160" s="412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21" t="s">
        <v>4791</v>
      </c>
      <c r="I160" s="31"/>
      <c r="J160" s="198" t="s">
        <v>68</v>
      </c>
      <c r="K160" s="125" t="s">
        <v>15</v>
      </c>
      <c r="L160" s="16"/>
      <c r="M160" s="8">
        <v>1</v>
      </c>
      <c r="N160" s="16" t="s">
        <v>4674</v>
      </c>
      <c r="O160" s="451" t="s">
        <v>4788</v>
      </c>
    </row>
    <row r="161" spans="1:19" s="17" customFormat="1" ht="33" customHeight="1" x14ac:dyDescent="0.3">
      <c r="A161" s="447"/>
      <c r="B161" s="412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8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5" t="s">
        <v>4789</v>
      </c>
    </row>
    <row r="162" spans="1:19" s="17" customFormat="1" ht="33" customHeight="1" x14ac:dyDescent="0.3">
      <c r="A162" s="447"/>
      <c r="B162" s="412">
        <v>46085</v>
      </c>
      <c r="C162" s="4" t="s">
        <v>21</v>
      </c>
      <c r="D162" s="4" t="s">
        <v>14</v>
      </c>
      <c r="E162" s="31" t="s">
        <v>1791</v>
      </c>
      <c r="F162" s="474" t="s">
        <v>2139</v>
      </c>
      <c r="G162" s="16" t="s">
        <v>23</v>
      </c>
      <c r="H162" s="198" t="s">
        <v>4793</v>
      </c>
      <c r="I162" s="31"/>
      <c r="J162" s="198" t="s">
        <v>686</v>
      </c>
      <c r="K162" s="125" t="s">
        <v>15</v>
      </c>
      <c r="L162" s="16"/>
      <c r="M162" s="8">
        <v>1</v>
      </c>
      <c r="N162" s="31"/>
      <c r="O162" s="451" t="s">
        <v>4799</v>
      </c>
    </row>
    <row r="163" spans="1:19" s="17" customFormat="1" ht="33" customHeight="1" x14ac:dyDescent="0.3">
      <c r="A163" s="447"/>
      <c r="B163" s="412">
        <v>46086</v>
      </c>
      <c r="C163" s="4" t="s">
        <v>21</v>
      </c>
      <c r="D163" s="4" t="s">
        <v>17</v>
      </c>
      <c r="E163" s="198" t="s">
        <v>78</v>
      </c>
      <c r="F163" s="31">
        <v>7060</v>
      </c>
      <c r="G163" s="16" t="s">
        <v>4766</v>
      </c>
      <c r="H163" s="321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54" t="s">
        <v>4767</v>
      </c>
    </row>
    <row r="164" spans="1:19" s="17" customFormat="1" ht="33" customHeight="1" x14ac:dyDescent="0.3">
      <c r="A164" s="447"/>
      <c r="B164" s="412">
        <v>46086</v>
      </c>
      <c r="C164" s="4" t="s">
        <v>21</v>
      </c>
      <c r="D164" s="4" t="s">
        <v>14</v>
      </c>
      <c r="E164" s="298" t="s">
        <v>107</v>
      </c>
      <c r="F164" s="31" t="s">
        <v>2963</v>
      </c>
      <c r="G164" s="16" t="s">
        <v>376</v>
      </c>
      <c r="H164" s="198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51" t="s">
        <v>4798</v>
      </c>
    </row>
    <row r="165" spans="1:19" s="17" customFormat="1" ht="33" customHeight="1" x14ac:dyDescent="0.3">
      <c r="A165" s="447"/>
      <c r="B165" s="412">
        <v>46087</v>
      </c>
      <c r="C165" s="4" t="s">
        <v>21</v>
      </c>
      <c r="D165" s="4" t="s">
        <v>675</v>
      </c>
      <c r="E165" s="31" t="s">
        <v>1792</v>
      </c>
      <c r="F165" s="298" t="s">
        <v>3336</v>
      </c>
      <c r="G165" s="16" t="s">
        <v>23</v>
      </c>
      <c r="H165" s="198" t="s">
        <v>4753</v>
      </c>
      <c r="I165" s="31"/>
      <c r="J165" s="198" t="s">
        <v>641</v>
      </c>
      <c r="K165" s="125" t="s">
        <v>15</v>
      </c>
      <c r="L165" s="16"/>
      <c r="M165" s="8">
        <v>2</v>
      </c>
      <c r="N165" s="16" t="s">
        <v>4787</v>
      </c>
      <c r="O165" s="452" t="s">
        <v>4786</v>
      </c>
    </row>
    <row r="166" spans="1:19" s="17" customFormat="1" ht="33" customHeight="1" x14ac:dyDescent="0.3">
      <c r="A166" s="447"/>
      <c r="B166" s="412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8" t="s">
        <v>4804</v>
      </c>
      <c r="I166" s="198" t="s">
        <v>202</v>
      </c>
      <c r="J166" s="198" t="s">
        <v>68</v>
      </c>
      <c r="K166" s="125" t="s">
        <v>15</v>
      </c>
      <c r="L166" s="16"/>
      <c r="M166" s="8">
        <v>2</v>
      </c>
      <c r="N166" s="31"/>
      <c r="O166" s="454" t="s">
        <v>4805</v>
      </c>
    </row>
    <row r="167" spans="1:19" s="17" customFormat="1" ht="33" customHeight="1" x14ac:dyDescent="0.3">
      <c r="A167" s="447"/>
      <c r="B167" s="412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8" t="s">
        <v>4807</v>
      </c>
      <c r="I167" s="198"/>
      <c r="J167" s="198" t="s">
        <v>2842</v>
      </c>
      <c r="K167" s="125" t="s">
        <v>15</v>
      </c>
      <c r="L167" s="16">
        <v>9080</v>
      </c>
      <c r="M167" s="8">
        <v>2</v>
      </c>
      <c r="N167" s="31"/>
      <c r="O167" s="460" t="s">
        <v>4810</v>
      </c>
    </row>
    <row r="168" spans="1:19" s="17" customFormat="1" ht="33" customHeight="1" x14ac:dyDescent="0.3">
      <c r="A168" s="448"/>
      <c r="B168" s="377">
        <v>46088</v>
      </c>
      <c r="C168" s="4"/>
      <c r="D168" s="4"/>
      <c r="E168" s="31"/>
      <c r="F168" s="31"/>
      <c r="G168" s="16"/>
      <c r="H168" s="198"/>
      <c r="I168" s="198"/>
      <c r="J168" s="198"/>
      <c r="K168" s="125"/>
      <c r="L168" s="16"/>
      <c r="M168" s="8"/>
      <c r="N168" s="31"/>
      <c r="O168" s="455"/>
      <c r="P168" s="472"/>
      <c r="Q168" s="473"/>
      <c r="R168" s="473"/>
      <c r="S168" s="473"/>
    </row>
    <row r="169" spans="1:19" s="17" customFormat="1" ht="33" customHeight="1" x14ac:dyDescent="0.3">
      <c r="A169" s="449" t="s">
        <v>0</v>
      </c>
      <c r="B169" s="331" t="s">
        <v>1</v>
      </c>
      <c r="C169" s="330" t="s">
        <v>2</v>
      </c>
      <c r="D169" s="330" t="s">
        <v>3</v>
      </c>
      <c r="E169" s="330" t="s">
        <v>4</v>
      </c>
      <c r="F169" s="330" t="s">
        <v>5</v>
      </c>
      <c r="G169" s="330" t="s">
        <v>6</v>
      </c>
      <c r="H169" s="332" t="s">
        <v>7</v>
      </c>
      <c r="I169" s="330" t="s">
        <v>8</v>
      </c>
      <c r="J169" s="330" t="s">
        <v>9</v>
      </c>
      <c r="K169" s="333" t="s">
        <v>10</v>
      </c>
      <c r="L169" s="334" t="s">
        <v>11</v>
      </c>
      <c r="M169" s="330" t="s">
        <v>12</v>
      </c>
      <c r="N169" s="478" t="s">
        <v>13</v>
      </c>
      <c r="O169" s="450" t="s">
        <v>63</v>
      </c>
      <c r="P169" s="646"/>
      <c r="Q169" s="647"/>
      <c r="R169" s="647"/>
      <c r="S169" s="647"/>
    </row>
    <row r="170" spans="1:19" s="17" customFormat="1" ht="33" customHeight="1" x14ac:dyDescent="0.3">
      <c r="A170" s="446" t="s">
        <v>4456</v>
      </c>
      <c r="B170" s="412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21" t="s">
        <v>4764</v>
      </c>
      <c r="I170" s="31" t="s">
        <v>4460</v>
      </c>
      <c r="J170" s="198" t="s">
        <v>487</v>
      </c>
      <c r="K170" s="125" t="s">
        <v>15</v>
      </c>
      <c r="L170" s="16" t="s">
        <v>3308</v>
      </c>
      <c r="M170" s="8">
        <v>3</v>
      </c>
      <c r="N170" s="444" t="s">
        <v>4674</v>
      </c>
      <c r="O170" s="454" t="s">
        <v>4808</v>
      </c>
    </row>
    <row r="171" spans="1:19" s="17" customFormat="1" ht="33" customHeight="1" x14ac:dyDescent="0.3">
      <c r="A171" s="447"/>
      <c r="B171" s="412">
        <v>46090</v>
      </c>
      <c r="C171" s="4"/>
      <c r="D171" s="4"/>
      <c r="E171" s="31"/>
      <c r="F171" s="31"/>
      <c r="G171" s="16"/>
      <c r="H171" s="198"/>
      <c r="I171" s="31"/>
      <c r="J171" s="198"/>
      <c r="K171" s="125"/>
      <c r="L171" s="16"/>
      <c r="M171" s="8"/>
      <c r="N171" s="444"/>
      <c r="O171" s="453"/>
    </row>
    <row r="172" spans="1:19" s="17" customFormat="1" ht="33" customHeight="1" x14ac:dyDescent="0.3">
      <c r="A172" s="447"/>
      <c r="B172" s="412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8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8" t="s">
        <v>4825</v>
      </c>
      <c r="O172" s="476" t="s">
        <v>4797</v>
      </c>
    </row>
    <row r="173" spans="1:19" s="17" customFormat="1" ht="33" customHeight="1" x14ac:dyDescent="0.3">
      <c r="A173" s="447"/>
      <c r="B173" s="412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8" t="s">
        <v>4795</v>
      </c>
      <c r="I173" s="31" t="s">
        <v>90</v>
      </c>
      <c r="J173" s="198" t="s">
        <v>686</v>
      </c>
      <c r="K173" s="125" t="s">
        <v>15</v>
      </c>
      <c r="L173" s="16"/>
      <c r="M173" s="8">
        <v>2</v>
      </c>
      <c r="N173" s="31"/>
      <c r="O173" s="477" t="s">
        <v>4796</v>
      </c>
    </row>
    <row r="174" spans="1:19" s="17" customFormat="1" ht="33" customHeight="1" x14ac:dyDescent="0.3">
      <c r="A174" s="447"/>
      <c r="B174" s="412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21" t="s">
        <v>4764</v>
      </c>
      <c r="I174" s="480" t="s">
        <v>202</v>
      </c>
      <c r="J174" s="198" t="s">
        <v>487</v>
      </c>
      <c r="K174" s="125" t="s">
        <v>15</v>
      </c>
      <c r="L174" s="16">
        <v>9080</v>
      </c>
      <c r="M174" s="481">
        <v>3</v>
      </c>
      <c r="N174" s="482"/>
      <c r="O174" s="483" t="s">
        <v>4808</v>
      </c>
    </row>
    <row r="175" spans="1:19" s="17" customFormat="1" ht="33" customHeight="1" x14ac:dyDescent="0.3">
      <c r="A175" s="447"/>
      <c r="B175" s="412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8" t="s">
        <v>4794</v>
      </c>
      <c r="I175" s="31"/>
      <c r="J175" s="198" t="s">
        <v>1877</v>
      </c>
      <c r="K175" s="125" t="s">
        <v>15</v>
      </c>
      <c r="L175" s="16"/>
      <c r="M175" s="8">
        <v>2</v>
      </c>
      <c r="N175" s="444"/>
      <c r="O175" s="452" t="s">
        <v>4811</v>
      </c>
    </row>
    <row r="176" spans="1:19" s="17" customFormat="1" ht="33" customHeight="1" x14ac:dyDescent="0.3">
      <c r="A176" s="447"/>
      <c r="B176" s="412">
        <v>46092</v>
      </c>
      <c r="C176" s="4" t="s">
        <v>21</v>
      </c>
      <c r="D176" s="4" t="s">
        <v>17</v>
      </c>
      <c r="E176" s="198" t="s">
        <v>4827</v>
      </c>
      <c r="F176" s="31" t="s">
        <v>4792</v>
      </c>
      <c r="G176" s="16" t="s">
        <v>102</v>
      </c>
      <c r="H176" s="479" t="s">
        <v>4809</v>
      </c>
      <c r="I176" s="31" t="s">
        <v>90</v>
      </c>
      <c r="J176" s="198" t="s">
        <v>686</v>
      </c>
      <c r="K176" s="125" t="s">
        <v>4826</v>
      </c>
      <c r="L176" s="16"/>
      <c r="M176" s="8">
        <v>2</v>
      </c>
      <c r="N176" s="444" t="s">
        <v>4782</v>
      </c>
      <c r="O176" s="475" t="s">
        <v>4813</v>
      </c>
    </row>
    <row r="177" spans="1:19" s="17" customFormat="1" ht="33" customHeight="1" x14ac:dyDescent="0.3">
      <c r="A177" s="447"/>
      <c r="B177" s="412">
        <v>46093</v>
      </c>
      <c r="C177" s="198"/>
      <c r="D177" s="198"/>
      <c r="E177" s="198"/>
      <c r="F177" s="198"/>
      <c r="G177" s="198"/>
      <c r="H177" s="198"/>
      <c r="I177" s="31"/>
      <c r="J177" s="31"/>
      <c r="K177" s="125"/>
      <c r="L177" s="16"/>
      <c r="M177" s="8"/>
      <c r="N177" s="31"/>
      <c r="O177" s="455"/>
      <c r="P177" s="421"/>
    </row>
    <row r="178" spans="1:19" s="17" customFormat="1" ht="33" customHeight="1" x14ac:dyDescent="0.3">
      <c r="A178" s="447"/>
      <c r="B178" s="412">
        <v>46094</v>
      </c>
      <c r="C178" s="4" t="s">
        <v>21</v>
      </c>
      <c r="D178" s="4" t="s">
        <v>17</v>
      </c>
      <c r="E178" s="198" t="s">
        <v>4754</v>
      </c>
      <c r="F178" s="298" t="s">
        <v>4759</v>
      </c>
      <c r="G178" s="470" t="s">
        <v>23</v>
      </c>
      <c r="H178" s="198" t="s">
        <v>4760</v>
      </c>
      <c r="I178" s="31"/>
      <c r="J178" s="198" t="s">
        <v>641</v>
      </c>
      <c r="K178" s="125" t="s">
        <v>15</v>
      </c>
      <c r="L178" s="16"/>
      <c r="M178" s="8">
        <v>2</v>
      </c>
      <c r="N178" s="321" t="s">
        <v>4844</v>
      </c>
      <c r="O178" s="452" t="s">
        <v>4814</v>
      </c>
    </row>
    <row r="179" spans="1:19" s="17" customFormat="1" ht="33" customHeight="1" x14ac:dyDescent="0.3">
      <c r="A179" s="447"/>
      <c r="B179" s="412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8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51"/>
    </row>
    <row r="180" spans="1:19" s="17" customFormat="1" ht="33" customHeight="1" x14ac:dyDescent="0.3">
      <c r="A180" s="447"/>
      <c r="B180" s="412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8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5"/>
    </row>
    <row r="181" spans="1:19" s="17" customFormat="1" ht="33" customHeight="1" x14ac:dyDescent="0.3">
      <c r="A181" s="448"/>
      <c r="B181" s="377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8" t="s">
        <v>4807</v>
      </c>
      <c r="I181" s="198" t="s">
        <v>126</v>
      </c>
      <c r="J181" s="198" t="s">
        <v>4855</v>
      </c>
      <c r="K181" s="125" t="s">
        <v>15</v>
      </c>
      <c r="L181" s="16" t="s">
        <v>33</v>
      </c>
      <c r="M181" s="8">
        <v>3</v>
      </c>
      <c r="N181" s="31"/>
      <c r="O181" s="454" t="s">
        <v>4856</v>
      </c>
    </row>
    <row r="182" spans="1:19" s="17" customFormat="1" ht="33" customHeight="1" x14ac:dyDescent="0.3">
      <c r="A182" s="449" t="s">
        <v>0</v>
      </c>
      <c r="B182" s="331" t="s">
        <v>1</v>
      </c>
      <c r="C182" s="330" t="s">
        <v>2</v>
      </c>
      <c r="D182" s="330" t="s">
        <v>3</v>
      </c>
      <c r="E182" s="330" t="s">
        <v>4</v>
      </c>
      <c r="F182" s="330" t="s">
        <v>5</v>
      </c>
      <c r="G182" s="330" t="s">
        <v>6</v>
      </c>
      <c r="H182" s="332" t="s">
        <v>7</v>
      </c>
      <c r="I182" s="330" t="s">
        <v>8</v>
      </c>
      <c r="J182" s="330" t="s">
        <v>9</v>
      </c>
      <c r="K182" s="333" t="s">
        <v>10</v>
      </c>
      <c r="L182" s="334" t="s">
        <v>11</v>
      </c>
      <c r="M182" s="330" t="s">
        <v>12</v>
      </c>
      <c r="N182" s="335" t="s">
        <v>13</v>
      </c>
      <c r="O182" s="450" t="s">
        <v>63</v>
      </c>
      <c r="P182" s="644" t="s">
        <v>4697</v>
      </c>
      <c r="Q182" s="645"/>
      <c r="R182" s="645"/>
      <c r="S182" s="645"/>
    </row>
    <row r="183" spans="1:19" s="17" customFormat="1" ht="33" customHeight="1" x14ac:dyDescent="0.3">
      <c r="A183" s="446" t="s">
        <v>4497</v>
      </c>
      <c r="B183" s="412">
        <v>46097</v>
      </c>
      <c r="C183" s="3" t="s">
        <v>21</v>
      </c>
      <c r="D183" s="3" t="s">
        <v>4829</v>
      </c>
      <c r="E183" s="484" t="s">
        <v>4845</v>
      </c>
      <c r="F183" s="480">
        <v>3306</v>
      </c>
      <c r="G183" s="485" t="s">
        <v>4846</v>
      </c>
      <c r="H183" s="484" t="s">
        <v>4854</v>
      </c>
      <c r="I183" s="480" t="s">
        <v>4858</v>
      </c>
      <c r="J183" s="479" t="s">
        <v>4857</v>
      </c>
      <c r="K183" s="136" t="s">
        <v>15</v>
      </c>
      <c r="L183" s="485"/>
      <c r="M183" s="8">
        <v>5</v>
      </c>
      <c r="N183" s="488" t="s">
        <v>4890</v>
      </c>
      <c r="O183" s="454"/>
      <c r="P183" s="486"/>
    </row>
    <row r="184" spans="1:19" s="17" customFormat="1" ht="33" customHeight="1" x14ac:dyDescent="0.3">
      <c r="A184" s="447"/>
      <c r="B184" s="412">
        <v>46097</v>
      </c>
      <c r="C184" s="4" t="s">
        <v>21</v>
      </c>
      <c r="D184" s="4" t="s">
        <v>4891</v>
      </c>
      <c r="E184" s="298" t="s">
        <v>4892</v>
      </c>
      <c r="F184" s="31" t="s">
        <v>2920</v>
      </c>
      <c r="G184" s="485" t="s">
        <v>4893</v>
      </c>
      <c r="H184" s="198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54"/>
      <c r="P184" s="486"/>
    </row>
    <row r="185" spans="1:19" s="17" customFormat="1" ht="33" customHeight="1" x14ac:dyDescent="0.3">
      <c r="A185" s="447"/>
      <c r="B185" s="377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8" t="s">
        <v>4909</v>
      </c>
      <c r="I185" s="31" t="s">
        <v>4841</v>
      </c>
      <c r="J185" s="198" t="s">
        <v>4842</v>
      </c>
      <c r="K185" s="125" t="s">
        <v>4843</v>
      </c>
      <c r="L185" s="16">
        <v>9080</v>
      </c>
      <c r="M185" s="8">
        <v>4</v>
      </c>
      <c r="N185" s="444"/>
      <c r="O185" s="453"/>
      <c r="P185" s="418" t="s">
        <v>4736</v>
      </c>
    </row>
    <row r="186" spans="1:19" s="17" customFormat="1" ht="33" customHeight="1" x14ac:dyDescent="0.3">
      <c r="A186" s="447"/>
      <c r="B186" s="412">
        <v>46098</v>
      </c>
      <c r="C186" s="4" t="s">
        <v>21</v>
      </c>
      <c r="D186" s="4" t="s">
        <v>14</v>
      </c>
      <c r="E186" s="489" t="s">
        <v>107</v>
      </c>
      <c r="F186" s="489" t="s">
        <v>1972</v>
      </c>
      <c r="G186" s="16" t="s">
        <v>4899</v>
      </c>
      <c r="H186" s="490" t="s">
        <v>4900</v>
      </c>
      <c r="I186" s="489" t="s">
        <v>4901</v>
      </c>
      <c r="J186" s="490" t="s">
        <v>4902</v>
      </c>
      <c r="K186" s="125" t="s">
        <v>15</v>
      </c>
      <c r="L186" s="16">
        <v>9080</v>
      </c>
      <c r="M186" s="8">
        <v>3</v>
      </c>
      <c r="N186" s="489"/>
      <c r="O186" s="453"/>
      <c r="P186" s="418"/>
    </row>
    <row r="187" spans="1:19" s="17" customFormat="1" ht="33" customHeight="1" x14ac:dyDescent="0.3">
      <c r="A187" s="447"/>
      <c r="B187" s="412">
        <v>46098</v>
      </c>
      <c r="C187" s="3" t="s">
        <v>4815</v>
      </c>
      <c r="D187" s="3" t="s">
        <v>4816</v>
      </c>
      <c r="E187" s="480" t="s">
        <v>4817</v>
      </c>
      <c r="F187" s="480" t="s">
        <v>4818</v>
      </c>
      <c r="G187" s="485" t="s">
        <v>4819</v>
      </c>
      <c r="H187" s="484" t="s">
        <v>4859</v>
      </c>
      <c r="I187" s="480" t="s">
        <v>4821</v>
      </c>
      <c r="J187" s="479" t="s">
        <v>4860</v>
      </c>
      <c r="K187" s="136" t="s">
        <v>15</v>
      </c>
      <c r="L187" s="485" t="s">
        <v>4822</v>
      </c>
      <c r="M187" s="8">
        <v>2</v>
      </c>
      <c r="N187" s="444"/>
      <c r="O187" s="453" t="s">
        <v>4820</v>
      </c>
    </row>
    <row r="188" spans="1:19" s="17" customFormat="1" ht="33" customHeight="1" x14ac:dyDescent="0.3">
      <c r="A188" s="447"/>
      <c r="B188" s="412">
        <v>46098</v>
      </c>
      <c r="C188" s="3" t="s">
        <v>21</v>
      </c>
      <c r="D188" s="3" t="s">
        <v>17</v>
      </c>
      <c r="E188" s="484" t="s">
        <v>4845</v>
      </c>
      <c r="F188" s="480">
        <v>3306</v>
      </c>
      <c r="G188" s="485" t="s">
        <v>4846</v>
      </c>
      <c r="H188" s="484" t="s">
        <v>4854</v>
      </c>
      <c r="I188" s="480" t="s">
        <v>4858</v>
      </c>
      <c r="J188" s="479" t="s">
        <v>4857</v>
      </c>
      <c r="K188" s="136" t="s">
        <v>15</v>
      </c>
      <c r="L188" s="485"/>
      <c r="M188" s="8">
        <v>5</v>
      </c>
      <c r="N188" s="31"/>
      <c r="O188" s="453"/>
    </row>
    <row r="189" spans="1:19" s="17" customFormat="1" ht="33" customHeight="1" x14ac:dyDescent="0.3">
      <c r="A189" s="447"/>
      <c r="B189" s="412">
        <v>46099</v>
      </c>
      <c r="C189" s="4" t="s">
        <v>4828</v>
      </c>
      <c r="D189" s="4" t="s">
        <v>4829</v>
      </c>
      <c r="E189" s="321" t="s">
        <v>4830</v>
      </c>
      <c r="F189" s="31" t="s">
        <v>4831</v>
      </c>
      <c r="G189" s="16" t="s">
        <v>4832</v>
      </c>
      <c r="H189" s="198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5"/>
    </row>
    <row r="190" spans="1:19" s="17" customFormat="1" ht="33" customHeight="1" x14ac:dyDescent="0.3">
      <c r="A190" s="447"/>
      <c r="B190" s="412">
        <v>46099</v>
      </c>
      <c r="C190" s="3" t="s">
        <v>21</v>
      </c>
      <c r="D190" s="3" t="s">
        <v>17</v>
      </c>
      <c r="E190" s="484" t="s">
        <v>4845</v>
      </c>
      <c r="F190" s="480">
        <v>3306</v>
      </c>
      <c r="G190" s="485" t="s">
        <v>4846</v>
      </c>
      <c r="H190" s="484" t="s">
        <v>4854</v>
      </c>
      <c r="I190" s="480" t="s">
        <v>4858</v>
      </c>
      <c r="J190" s="479" t="s">
        <v>4857</v>
      </c>
      <c r="K190" s="136" t="s">
        <v>15</v>
      </c>
      <c r="L190" s="485"/>
      <c r="M190" s="8">
        <v>5</v>
      </c>
      <c r="N190" s="31"/>
      <c r="O190" s="455"/>
    </row>
    <row r="191" spans="1:19" s="17" customFormat="1" ht="33" customHeight="1" x14ac:dyDescent="0.3">
      <c r="A191" s="447"/>
      <c r="B191" s="412">
        <v>46100</v>
      </c>
      <c r="C191" s="4" t="s">
        <v>4828</v>
      </c>
      <c r="D191" s="4" t="s">
        <v>4829</v>
      </c>
      <c r="E191" s="321" t="s">
        <v>4830</v>
      </c>
      <c r="F191" s="31" t="s">
        <v>4831</v>
      </c>
      <c r="G191" s="16" t="s">
        <v>4832</v>
      </c>
      <c r="H191" s="198" t="s">
        <v>4833</v>
      </c>
      <c r="I191" s="31"/>
      <c r="J191" s="198" t="s">
        <v>4861</v>
      </c>
      <c r="K191" s="125" t="s">
        <v>4835</v>
      </c>
      <c r="L191" s="16">
        <v>9080</v>
      </c>
      <c r="M191" s="8">
        <v>5</v>
      </c>
      <c r="N191" s="31"/>
      <c r="O191" s="452"/>
    </row>
    <row r="192" spans="1:19" s="17" customFormat="1" ht="33" customHeight="1" x14ac:dyDescent="0.3">
      <c r="A192" s="447"/>
      <c r="B192" s="412">
        <v>46100</v>
      </c>
      <c r="C192" s="3" t="s">
        <v>21</v>
      </c>
      <c r="D192" s="3" t="s">
        <v>17</v>
      </c>
      <c r="E192" s="484" t="s">
        <v>4845</v>
      </c>
      <c r="F192" s="480">
        <v>3306</v>
      </c>
      <c r="G192" s="485" t="s">
        <v>4846</v>
      </c>
      <c r="H192" s="484" t="s">
        <v>4854</v>
      </c>
      <c r="I192" s="480" t="s">
        <v>4858</v>
      </c>
      <c r="J192" s="479" t="s">
        <v>4857</v>
      </c>
      <c r="K192" s="136" t="s">
        <v>15</v>
      </c>
      <c r="L192" s="16"/>
      <c r="M192" s="8"/>
      <c r="N192" s="31"/>
      <c r="O192" s="452"/>
    </row>
    <row r="193" spans="1:17" s="17" customFormat="1" ht="33" customHeight="1" x14ac:dyDescent="0.3">
      <c r="A193" s="447"/>
      <c r="B193" s="412">
        <v>46100</v>
      </c>
      <c r="C193" s="3" t="s">
        <v>4916</v>
      </c>
      <c r="D193" s="3"/>
      <c r="E193" s="480"/>
      <c r="F193" s="480"/>
      <c r="G193" s="485"/>
      <c r="H193" s="479" t="s">
        <v>4918</v>
      </c>
      <c r="I193" s="480"/>
      <c r="J193" s="479" t="s">
        <v>4919</v>
      </c>
      <c r="K193" s="136"/>
      <c r="L193" s="16"/>
      <c r="M193" s="8"/>
      <c r="N193" s="489"/>
      <c r="O193" s="452"/>
    </row>
    <row r="194" spans="1:17" s="17" customFormat="1" ht="33" customHeight="1" x14ac:dyDescent="0.3">
      <c r="A194" s="447"/>
      <c r="B194" s="412">
        <v>46101</v>
      </c>
      <c r="C194" s="4" t="s">
        <v>4828</v>
      </c>
      <c r="D194" s="4" t="s">
        <v>4829</v>
      </c>
      <c r="E194" s="321" t="s">
        <v>4830</v>
      </c>
      <c r="F194" s="31" t="s">
        <v>4831</v>
      </c>
      <c r="G194" s="16" t="s">
        <v>4832</v>
      </c>
      <c r="H194" s="198" t="s">
        <v>4833</v>
      </c>
      <c r="I194" s="31"/>
      <c r="J194" s="198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51"/>
    </row>
    <row r="195" spans="1:17" s="17" customFormat="1" ht="33" customHeight="1" x14ac:dyDescent="0.3">
      <c r="A195" s="447"/>
      <c r="B195" s="412">
        <v>46101</v>
      </c>
      <c r="C195" s="3" t="s">
        <v>4916</v>
      </c>
      <c r="D195" s="3"/>
      <c r="E195" s="480"/>
      <c r="F195" s="480"/>
      <c r="G195" s="485"/>
      <c r="H195" s="479" t="s">
        <v>4918</v>
      </c>
      <c r="I195" s="480"/>
      <c r="J195" s="479" t="s">
        <v>4919</v>
      </c>
      <c r="K195" s="136"/>
      <c r="L195" s="16"/>
      <c r="M195" s="8"/>
      <c r="N195" s="31"/>
      <c r="O195" s="451"/>
    </row>
    <row r="196" spans="1:17" s="17" customFormat="1" ht="33" customHeight="1" x14ac:dyDescent="0.3">
      <c r="A196" s="448"/>
      <c r="B196" s="412">
        <v>46102</v>
      </c>
      <c r="C196" s="4"/>
      <c r="D196" s="4"/>
      <c r="E196" s="31"/>
      <c r="F196" s="31"/>
      <c r="G196" s="16"/>
      <c r="H196" s="198"/>
      <c r="I196" s="198"/>
      <c r="J196" s="198"/>
      <c r="K196" s="125"/>
      <c r="L196" s="16"/>
      <c r="M196" s="8"/>
      <c r="N196" s="31"/>
      <c r="O196" s="455"/>
      <c r="P196" s="439" t="s">
        <v>4800</v>
      </c>
    </row>
    <row r="197" spans="1:17" s="17" customFormat="1" ht="33" customHeight="1" x14ac:dyDescent="0.3">
      <c r="A197" s="449" t="s">
        <v>0</v>
      </c>
      <c r="B197" s="331" t="s">
        <v>1</v>
      </c>
      <c r="C197" s="330" t="s">
        <v>2</v>
      </c>
      <c r="D197" s="330" t="s">
        <v>3</v>
      </c>
      <c r="E197" s="330" t="s">
        <v>4</v>
      </c>
      <c r="F197" s="330" t="s">
        <v>5</v>
      </c>
      <c r="G197" s="330" t="s">
        <v>6</v>
      </c>
      <c r="H197" s="332" t="s">
        <v>7</v>
      </c>
      <c r="I197" s="330" t="s">
        <v>8</v>
      </c>
      <c r="J197" s="330" t="s">
        <v>9</v>
      </c>
      <c r="K197" s="333" t="s">
        <v>10</v>
      </c>
      <c r="L197" s="334" t="s">
        <v>11</v>
      </c>
      <c r="M197" s="330" t="s">
        <v>12</v>
      </c>
      <c r="N197" s="335" t="s">
        <v>13</v>
      </c>
      <c r="O197" s="450" t="s">
        <v>63</v>
      </c>
    </row>
    <row r="198" spans="1:17" s="17" customFormat="1" ht="33" customHeight="1" x14ac:dyDescent="0.3">
      <c r="A198" s="446" t="s">
        <v>4498</v>
      </c>
      <c r="B198" s="377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8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54"/>
    </row>
    <row r="199" spans="1:17" s="17" customFormat="1" ht="33" customHeight="1" x14ac:dyDescent="0.3">
      <c r="A199" s="447"/>
      <c r="B199" s="377">
        <v>46104</v>
      </c>
      <c r="C199" s="4" t="s">
        <v>21</v>
      </c>
      <c r="D199" s="4" t="s">
        <v>14</v>
      </c>
      <c r="E199" s="517" t="s">
        <v>1791</v>
      </c>
      <c r="F199" s="517" t="s">
        <v>2821</v>
      </c>
      <c r="G199" s="16" t="s">
        <v>23</v>
      </c>
      <c r="H199" s="518" t="s">
        <v>4943</v>
      </c>
      <c r="I199" s="517"/>
      <c r="J199" s="518" t="s">
        <v>4944</v>
      </c>
      <c r="K199" s="125" t="s">
        <v>4945</v>
      </c>
      <c r="L199" s="16">
        <v>9080</v>
      </c>
      <c r="M199" s="8">
        <v>2</v>
      </c>
      <c r="N199" s="517"/>
      <c r="O199" s="454"/>
    </row>
    <row r="200" spans="1:17" s="17" customFormat="1" ht="33" customHeight="1" x14ac:dyDescent="0.3">
      <c r="A200" s="447"/>
      <c r="B200" s="412">
        <v>46104</v>
      </c>
      <c r="C200" s="4" t="s">
        <v>4916</v>
      </c>
      <c r="D200" s="4"/>
      <c r="E200" s="511" t="s">
        <v>4921</v>
      </c>
      <c r="F200" s="31" t="s">
        <v>3593</v>
      </c>
      <c r="G200" s="16" t="s">
        <v>4922</v>
      </c>
      <c r="H200" s="198" t="s">
        <v>4920</v>
      </c>
      <c r="I200" s="31"/>
      <c r="J200" s="31" t="s">
        <v>4917</v>
      </c>
      <c r="K200" s="125"/>
      <c r="L200" s="16"/>
      <c r="M200" s="8"/>
      <c r="N200" s="31"/>
      <c r="O200" s="454"/>
    </row>
    <row r="201" spans="1:17" s="17" customFormat="1" ht="33" customHeight="1" x14ac:dyDescent="0.3">
      <c r="A201" s="447"/>
      <c r="B201" s="412">
        <v>46105</v>
      </c>
      <c r="C201" s="3" t="s">
        <v>4897</v>
      </c>
      <c r="D201" s="3" t="s">
        <v>4898</v>
      </c>
      <c r="E201" s="480" t="s">
        <v>4903</v>
      </c>
      <c r="F201" s="480" t="s">
        <v>4904</v>
      </c>
      <c r="G201" s="485" t="s">
        <v>4905</v>
      </c>
      <c r="H201" s="479" t="s">
        <v>4941</v>
      </c>
      <c r="I201" s="480" t="s">
        <v>4940</v>
      </c>
      <c r="J201" s="480" t="s">
        <v>4907</v>
      </c>
      <c r="K201" s="136" t="s">
        <v>4906</v>
      </c>
      <c r="L201" s="485">
        <v>9080</v>
      </c>
      <c r="M201" s="481">
        <v>2</v>
      </c>
      <c r="N201" s="482"/>
      <c r="O201" s="487"/>
    </row>
    <row r="202" spans="1:17" s="17" customFormat="1" ht="33" customHeight="1" x14ac:dyDescent="0.3">
      <c r="A202" s="447"/>
      <c r="B202" s="412">
        <v>46105</v>
      </c>
      <c r="C202" s="4" t="s">
        <v>21</v>
      </c>
      <c r="D202" s="4" t="s">
        <v>14</v>
      </c>
      <c r="E202" s="298" t="s">
        <v>107</v>
      </c>
      <c r="F202" s="489" t="s">
        <v>3390</v>
      </c>
      <c r="G202" s="16" t="s">
        <v>23</v>
      </c>
      <c r="H202" s="490" t="s">
        <v>4942</v>
      </c>
      <c r="I202" s="489" t="s">
        <v>90</v>
      </c>
      <c r="J202" s="489" t="s">
        <v>3079</v>
      </c>
      <c r="K202" s="125" t="s">
        <v>15</v>
      </c>
      <c r="L202" s="16" t="s">
        <v>33</v>
      </c>
      <c r="M202" s="8">
        <v>2</v>
      </c>
      <c r="N202" s="444"/>
      <c r="O202" s="453"/>
    </row>
    <row r="203" spans="1:17" s="17" customFormat="1" ht="33" customHeight="1" x14ac:dyDescent="0.3">
      <c r="A203" s="447"/>
      <c r="B203" s="412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8" t="s">
        <v>4801</v>
      </c>
      <c r="I203" s="31"/>
      <c r="J203" s="198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25"/>
      <c r="P203" s="486"/>
      <c r="Q203" s="526"/>
    </row>
    <row r="204" spans="1:17" s="17" customFormat="1" ht="33" customHeight="1" x14ac:dyDescent="0.3">
      <c r="A204" s="447"/>
      <c r="B204" s="412">
        <v>46106</v>
      </c>
      <c r="C204" s="4"/>
      <c r="D204" s="4"/>
      <c r="E204" s="298"/>
      <c r="F204" s="31"/>
      <c r="G204" s="16"/>
      <c r="H204" s="198"/>
      <c r="I204" s="31"/>
      <c r="J204" s="31"/>
      <c r="K204" s="125"/>
      <c r="L204" s="16"/>
      <c r="M204" s="8"/>
      <c r="N204" s="31"/>
      <c r="O204" s="455"/>
    </row>
    <row r="205" spans="1:17" s="17" customFormat="1" ht="33" customHeight="1" x14ac:dyDescent="0.3">
      <c r="A205" s="447"/>
      <c r="B205" s="412">
        <v>46107</v>
      </c>
      <c r="C205" s="3" t="s">
        <v>4938</v>
      </c>
      <c r="D205" s="3" t="s">
        <v>17</v>
      </c>
      <c r="E205" s="480" t="s">
        <v>1792</v>
      </c>
      <c r="F205" s="479" t="s">
        <v>4622</v>
      </c>
      <c r="G205" s="485" t="s">
        <v>23</v>
      </c>
      <c r="H205" s="479" t="s">
        <v>4937</v>
      </c>
      <c r="I205" s="480"/>
      <c r="J205" s="479" t="s">
        <v>487</v>
      </c>
      <c r="K205" s="136" t="s">
        <v>42</v>
      </c>
      <c r="L205" s="485">
        <v>9080</v>
      </c>
      <c r="M205" s="481">
        <v>2</v>
      </c>
      <c r="N205" s="482"/>
      <c r="O205" s="453"/>
    </row>
    <row r="206" spans="1:17" s="17" customFormat="1" ht="33" customHeight="1" x14ac:dyDescent="0.3">
      <c r="A206" s="447"/>
      <c r="B206" s="377">
        <v>46107</v>
      </c>
      <c r="C206" s="3" t="s">
        <v>5256</v>
      </c>
      <c r="D206" s="3" t="s">
        <v>5257</v>
      </c>
      <c r="E206" s="480" t="s">
        <v>5258</v>
      </c>
      <c r="F206" s="480" t="s">
        <v>5259</v>
      </c>
      <c r="G206" s="485" t="s">
        <v>5260</v>
      </c>
      <c r="H206" s="479" t="s">
        <v>5261</v>
      </c>
      <c r="I206" s="480" t="s">
        <v>5255</v>
      </c>
      <c r="J206" s="479" t="s">
        <v>5262</v>
      </c>
      <c r="K206" s="136" t="s">
        <v>5263</v>
      </c>
      <c r="L206" s="485" t="s">
        <v>5264</v>
      </c>
      <c r="M206" s="481">
        <v>1</v>
      </c>
      <c r="N206" s="480"/>
      <c r="O206" s="455"/>
    </row>
    <row r="207" spans="1:17" s="17" customFormat="1" ht="33" customHeight="1" x14ac:dyDescent="0.3">
      <c r="A207" s="447"/>
      <c r="B207" s="377">
        <v>46107</v>
      </c>
      <c r="C207" s="3" t="s">
        <v>5256</v>
      </c>
      <c r="D207" s="3" t="s">
        <v>5257</v>
      </c>
      <c r="E207" s="480" t="s">
        <v>5258</v>
      </c>
      <c r="F207" s="480" t="s">
        <v>5296</v>
      </c>
      <c r="G207" s="16" t="s">
        <v>23</v>
      </c>
      <c r="H207" s="523" t="s">
        <v>5297</v>
      </c>
      <c r="I207" s="480" t="s">
        <v>5255</v>
      </c>
      <c r="J207" s="479" t="s">
        <v>5262</v>
      </c>
      <c r="K207" s="136" t="s">
        <v>5263</v>
      </c>
      <c r="L207" s="485" t="s">
        <v>5264</v>
      </c>
      <c r="M207" s="481">
        <v>1</v>
      </c>
      <c r="N207" s="480"/>
      <c r="O207" s="455"/>
    </row>
    <row r="208" spans="1:17" s="17" customFormat="1" ht="33" customHeight="1" x14ac:dyDescent="0.3">
      <c r="A208" s="447"/>
      <c r="B208" s="377">
        <v>46108</v>
      </c>
      <c r="C208" s="3" t="s">
        <v>4939</v>
      </c>
      <c r="D208" s="3" t="s">
        <v>17</v>
      </c>
      <c r="E208" s="480" t="s">
        <v>1792</v>
      </c>
      <c r="F208" s="479" t="s">
        <v>4622</v>
      </c>
      <c r="G208" s="485" t="s">
        <v>23</v>
      </c>
      <c r="H208" s="479" t="s">
        <v>4937</v>
      </c>
      <c r="I208" s="480"/>
      <c r="J208" s="479" t="s">
        <v>487</v>
      </c>
      <c r="K208" s="136" t="s">
        <v>42</v>
      </c>
      <c r="L208" s="485">
        <v>9080</v>
      </c>
      <c r="M208" s="481">
        <v>2</v>
      </c>
      <c r="N208" s="480" t="s">
        <v>4785</v>
      </c>
      <c r="O208" s="487"/>
      <c r="P208" s="486"/>
    </row>
    <row r="209" spans="1:16" s="17" customFormat="1" ht="33" customHeight="1" x14ac:dyDescent="0.3">
      <c r="A209" s="447"/>
      <c r="B209" s="412">
        <v>46108</v>
      </c>
      <c r="C209" s="3" t="s">
        <v>3654</v>
      </c>
      <c r="D209" s="3" t="s">
        <v>157</v>
      </c>
      <c r="E209" s="479" t="s">
        <v>179</v>
      </c>
      <c r="F209" s="480" t="s">
        <v>5254</v>
      </c>
      <c r="G209" s="485"/>
      <c r="H209" s="479" t="s">
        <v>5294</v>
      </c>
      <c r="I209" s="480" t="s">
        <v>5295</v>
      </c>
      <c r="J209" s="480"/>
      <c r="K209" s="136"/>
      <c r="L209" s="485" t="s">
        <v>5305</v>
      </c>
      <c r="M209" s="481">
        <v>2</v>
      </c>
      <c r="N209" s="31"/>
      <c r="O209" s="451"/>
    </row>
    <row r="210" spans="1:16" s="17" customFormat="1" ht="33" customHeight="1" x14ac:dyDescent="0.3">
      <c r="A210" s="447"/>
      <c r="B210" s="412">
        <v>46109</v>
      </c>
      <c r="C210" s="4"/>
      <c r="D210" s="4"/>
      <c r="E210" s="31"/>
      <c r="F210" s="31"/>
      <c r="G210" s="16"/>
      <c r="H210" s="422" t="s">
        <v>5283</v>
      </c>
      <c r="I210" s="198"/>
      <c r="J210" s="198"/>
      <c r="K210" s="125"/>
      <c r="L210" s="16"/>
      <c r="M210" s="8"/>
      <c r="N210" s="198"/>
      <c r="O210" s="461"/>
    </row>
    <row r="211" spans="1:16" s="17" customFormat="1" ht="33" customHeight="1" x14ac:dyDescent="0.3">
      <c r="A211" s="448"/>
      <c r="B211" s="412">
        <v>46109</v>
      </c>
      <c r="C211" s="4"/>
      <c r="D211" s="4"/>
      <c r="E211" s="31"/>
      <c r="F211" s="31"/>
      <c r="G211" s="16"/>
      <c r="H211" s="198"/>
      <c r="I211" s="198"/>
      <c r="J211" s="198"/>
      <c r="K211" s="125"/>
      <c r="L211" s="16"/>
      <c r="M211" s="8"/>
      <c r="N211" s="31"/>
      <c r="O211" s="455"/>
    </row>
    <row r="212" spans="1:16" s="17" customFormat="1" ht="33" customHeight="1" x14ac:dyDescent="0.3">
      <c r="A212" s="449" t="s">
        <v>0</v>
      </c>
      <c r="B212" s="331" t="s">
        <v>1</v>
      </c>
      <c r="C212" s="330" t="s">
        <v>2</v>
      </c>
      <c r="D212" s="330" t="s">
        <v>3</v>
      </c>
      <c r="E212" s="330" t="s">
        <v>4</v>
      </c>
      <c r="F212" s="330" t="s">
        <v>5</v>
      </c>
      <c r="G212" s="330" t="s">
        <v>6</v>
      </c>
      <c r="H212" s="332" t="s">
        <v>7</v>
      </c>
      <c r="I212" s="330" t="s">
        <v>8</v>
      </c>
      <c r="J212" s="330" t="s">
        <v>9</v>
      </c>
      <c r="K212" s="333" t="s">
        <v>10</v>
      </c>
      <c r="L212" s="334" t="s">
        <v>11</v>
      </c>
      <c r="M212" s="330" t="s">
        <v>12</v>
      </c>
      <c r="N212" s="335" t="s">
        <v>13</v>
      </c>
      <c r="O212" s="450" t="s">
        <v>63</v>
      </c>
      <c r="P212" s="450" t="s">
        <v>5528</v>
      </c>
    </row>
    <row r="213" spans="1:16" s="17" customFormat="1" ht="33" customHeight="1" x14ac:dyDescent="0.3">
      <c r="A213" s="446" t="s">
        <v>4499</v>
      </c>
      <c r="B213" s="412">
        <v>46111</v>
      </c>
      <c r="C213" s="4" t="s">
        <v>5284</v>
      </c>
      <c r="D213" s="4" t="s">
        <v>14</v>
      </c>
      <c r="E213" s="522" t="s">
        <v>1791</v>
      </c>
      <c r="F213" s="522" t="s">
        <v>2139</v>
      </c>
      <c r="G213" s="16" t="s">
        <v>5285</v>
      </c>
      <c r="H213" s="479" t="s">
        <v>5286</v>
      </c>
      <c r="I213" s="479" t="s">
        <v>5307</v>
      </c>
      <c r="J213" s="479" t="s">
        <v>5287</v>
      </c>
      <c r="K213" s="136" t="s">
        <v>5288</v>
      </c>
      <c r="L213" s="485" t="s">
        <v>33</v>
      </c>
      <c r="M213" s="481">
        <v>6</v>
      </c>
      <c r="N213" s="31"/>
      <c r="O213" s="487"/>
      <c r="P213" s="886"/>
    </row>
    <row r="214" spans="1:16" s="17" customFormat="1" ht="33" customHeight="1" x14ac:dyDescent="0.3">
      <c r="A214" s="447"/>
      <c r="B214" s="412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8" t="s">
        <v>5316</v>
      </c>
      <c r="I214" s="479" t="s">
        <v>5307</v>
      </c>
      <c r="J214" s="479" t="s">
        <v>5299</v>
      </c>
      <c r="K214" s="125" t="s">
        <v>15</v>
      </c>
      <c r="L214" s="16" t="s">
        <v>5310</v>
      </c>
      <c r="M214" s="8">
        <v>2</v>
      </c>
      <c r="N214" s="31"/>
      <c r="O214" s="525"/>
      <c r="P214" s="887"/>
    </row>
    <row r="215" spans="1:16" s="17" customFormat="1" ht="33" customHeight="1" x14ac:dyDescent="0.3">
      <c r="A215" s="447"/>
      <c r="B215" s="412">
        <v>46112</v>
      </c>
      <c r="C215" s="4" t="s">
        <v>5284</v>
      </c>
      <c r="D215" s="4" t="s">
        <v>14</v>
      </c>
      <c r="E215" s="522" t="s">
        <v>1791</v>
      </c>
      <c r="F215" s="522" t="s">
        <v>2139</v>
      </c>
      <c r="G215" s="16" t="s">
        <v>5285</v>
      </c>
      <c r="H215" s="479" t="s">
        <v>5286</v>
      </c>
      <c r="I215" s="479" t="s">
        <v>5307</v>
      </c>
      <c r="J215" s="479" t="s">
        <v>5287</v>
      </c>
      <c r="K215" s="136" t="s">
        <v>5288</v>
      </c>
      <c r="L215" s="485" t="s">
        <v>5309</v>
      </c>
      <c r="M215" s="481">
        <v>6</v>
      </c>
      <c r="N215" s="444"/>
      <c r="O215" s="453"/>
      <c r="P215" s="888" t="s">
        <v>5317</v>
      </c>
    </row>
    <row r="216" spans="1:16" s="17" customFormat="1" ht="33" customHeight="1" x14ac:dyDescent="0.3">
      <c r="A216" s="447"/>
      <c r="B216" s="412">
        <v>46113</v>
      </c>
      <c r="C216" s="3" t="s">
        <v>21</v>
      </c>
      <c r="D216" s="3" t="s">
        <v>14</v>
      </c>
      <c r="E216" s="480" t="s">
        <v>5253</v>
      </c>
      <c r="F216" s="524" t="s">
        <v>3336</v>
      </c>
      <c r="G216" s="485" t="s">
        <v>23</v>
      </c>
      <c r="H216" s="479" t="s">
        <v>5461</v>
      </c>
      <c r="I216" s="480"/>
      <c r="J216" s="479" t="s">
        <v>5422</v>
      </c>
      <c r="K216" s="136" t="s">
        <v>15</v>
      </c>
      <c r="L216" s="485">
        <v>9080</v>
      </c>
      <c r="M216" s="481">
        <v>3</v>
      </c>
      <c r="N216" s="31"/>
      <c r="O216" s="453"/>
      <c r="P216" s="888" t="s">
        <v>5317</v>
      </c>
    </row>
    <row r="217" spans="1:16" s="17" customFormat="1" ht="33" customHeight="1" x14ac:dyDescent="0.3">
      <c r="A217" s="447"/>
      <c r="B217" s="377">
        <v>46113</v>
      </c>
      <c r="C217" s="4" t="s">
        <v>5284</v>
      </c>
      <c r="D217" s="4" t="s">
        <v>14</v>
      </c>
      <c r="E217" s="522" t="s">
        <v>1791</v>
      </c>
      <c r="F217" s="522" t="s">
        <v>2139</v>
      </c>
      <c r="G217" s="16" t="s">
        <v>5285</v>
      </c>
      <c r="H217" s="479" t="s">
        <v>5319</v>
      </c>
      <c r="I217" s="479" t="s">
        <v>5308</v>
      </c>
      <c r="J217" s="479" t="s">
        <v>5311</v>
      </c>
      <c r="K217" s="136" t="s">
        <v>5288</v>
      </c>
      <c r="L217" s="485" t="s">
        <v>33</v>
      </c>
      <c r="M217" s="481">
        <v>4</v>
      </c>
      <c r="N217" s="31"/>
      <c r="O217" s="893" t="s">
        <v>5531</v>
      </c>
      <c r="P217" s="328"/>
    </row>
    <row r="218" spans="1:16" s="17" customFormat="1" ht="33" customHeight="1" x14ac:dyDescent="0.3">
      <c r="A218" s="447"/>
      <c r="B218" s="377">
        <v>46113</v>
      </c>
      <c r="C218" s="4" t="s">
        <v>5291</v>
      </c>
      <c r="D218" s="4" t="s">
        <v>5257</v>
      </c>
      <c r="E218" s="522" t="s">
        <v>1791</v>
      </c>
      <c r="F218" s="523" t="s">
        <v>5293</v>
      </c>
      <c r="G218" s="16" t="s">
        <v>5292</v>
      </c>
      <c r="H218" s="479" t="s">
        <v>5313</v>
      </c>
      <c r="I218" s="480"/>
      <c r="J218" s="479" t="s">
        <v>5312</v>
      </c>
      <c r="K218" s="136" t="s">
        <v>5288</v>
      </c>
      <c r="L218" s="485" t="s">
        <v>5289</v>
      </c>
      <c r="M218" s="481">
        <v>3</v>
      </c>
      <c r="N218" s="522"/>
      <c r="O218" s="455"/>
      <c r="P218" s="328"/>
    </row>
    <row r="219" spans="1:16" s="17" customFormat="1" ht="33" customHeight="1" x14ac:dyDescent="0.3">
      <c r="A219" s="447"/>
      <c r="B219" s="377">
        <v>46114</v>
      </c>
      <c r="C219" s="4" t="s">
        <v>138</v>
      </c>
      <c r="D219" s="4" t="s">
        <v>14</v>
      </c>
      <c r="E219" s="630" t="s">
        <v>1791</v>
      </c>
      <c r="F219" s="630" t="s">
        <v>2139</v>
      </c>
      <c r="G219" s="16" t="s">
        <v>142</v>
      </c>
      <c r="H219" s="479" t="s">
        <v>5319</v>
      </c>
      <c r="I219" s="479" t="s">
        <v>90</v>
      </c>
      <c r="J219" s="479" t="s">
        <v>5311</v>
      </c>
      <c r="K219" s="136" t="s">
        <v>105</v>
      </c>
      <c r="L219" s="485" t="s">
        <v>33</v>
      </c>
      <c r="M219" s="481">
        <v>4</v>
      </c>
      <c r="N219" s="444"/>
      <c r="O219" s="891" t="s">
        <v>5530</v>
      </c>
      <c r="P219" s="888" t="s">
        <v>5342</v>
      </c>
    </row>
    <row r="220" spans="1:16" s="17" customFormat="1" ht="33" customHeight="1" x14ac:dyDescent="0.3">
      <c r="A220" s="447"/>
      <c r="B220" s="412">
        <v>46114</v>
      </c>
      <c r="C220" s="550" t="s">
        <v>113</v>
      </c>
      <c r="D220" s="550" t="s">
        <v>139</v>
      </c>
      <c r="E220" s="551" t="s">
        <v>1792</v>
      </c>
      <c r="F220" s="552" t="s">
        <v>3336</v>
      </c>
      <c r="G220" s="553" t="s">
        <v>150</v>
      </c>
      <c r="H220" s="479" t="s">
        <v>5461</v>
      </c>
      <c r="I220" s="551"/>
      <c r="J220" s="479" t="s">
        <v>5422</v>
      </c>
      <c r="K220" s="136" t="s">
        <v>15</v>
      </c>
      <c r="L220" s="485">
        <v>9080</v>
      </c>
      <c r="M220" s="481">
        <v>3</v>
      </c>
      <c r="N220" s="522"/>
      <c r="O220" s="453"/>
      <c r="P220" s="888"/>
    </row>
    <row r="221" spans="1:16" s="17" customFormat="1" ht="33" customHeight="1" x14ac:dyDescent="0.3">
      <c r="A221" s="447"/>
      <c r="B221" s="412">
        <v>46115</v>
      </c>
      <c r="C221" s="3" t="s">
        <v>5318</v>
      </c>
      <c r="D221" s="3" t="s">
        <v>5320</v>
      </c>
      <c r="E221" s="480" t="s">
        <v>5321</v>
      </c>
      <c r="F221" s="480" t="s">
        <v>5322</v>
      </c>
      <c r="G221" s="485" t="s">
        <v>5323</v>
      </c>
      <c r="H221" s="479" t="s">
        <v>5324</v>
      </c>
      <c r="I221" s="479" t="s">
        <v>5306</v>
      </c>
      <c r="J221" s="479" t="s">
        <v>5337</v>
      </c>
      <c r="K221" s="555" t="s">
        <v>15</v>
      </c>
      <c r="L221" s="481">
        <v>9080</v>
      </c>
      <c r="M221" s="481">
        <v>3</v>
      </c>
      <c r="N221" s="31" t="s">
        <v>5315</v>
      </c>
      <c r="O221" s="453"/>
      <c r="P221" s="888" t="s">
        <v>5317</v>
      </c>
    </row>
    <row r="222" spans="1:16" s="17" customFormat="1" ht="33" customHeight="1" x14ac:dyDescent="0.3">
      <c r="A222" s="447"/>
      <c r="B222" s="412">
        <v>46115</v>
      </c>
      <c r="C222" s="4" t="s">
        <v>96</v>
      </c>
      <c r="D222" s="4" t="s">
        <v>139</v>
      </c>
      <c r="E222" s="630" t="s">
        <v>1791</v>
      </c>
      <c r="F222" s="632" t="s">
        <v>2821</v>
      </c>
      <c r="G222" s="16" t="s">
        <v>843</v>
      </c>
      <c r="H222" s="479" t="s">
        <v>5314</v>
      </c>
      <c r="I222" s="480"/>
      <c r="J222" s="551" t="s">
        <v>5456</v>
      </c>
      <c r="K222" s="136" t="s">
        <v>105</v>
      </c>
      <c r="L222" s="485" t="s">
        <v>5455</v>
      </c>
      <c r="M222" s="8">
        <v>3</v>
      </c>
      <c r="N222" s="198"/>
      <c r="O222" s="891" t="s">
        <v>5532</v>
      </c>
      <c r="P222" s="889"/>
    </row>
    <row r="223" spans="1:16" s="17" customFormat="1" ht="33" customHeight="1" x14ac:dyDescent="0.3">
      <c r="A223" s="448"/>
      <c r="B223" s="412">
        <v>46116</v>
      </c>
      <c r="C223" s="4" t="s">
        <v>21</v>
      </c>
      <c r="D223" s="4" t="s">
        <v>14</v>
      </c>
      <c r="E223" s="634" t="s">
        <v>1791</v>
      </c>
      <c r="F223" s="635" t="s">
        <v>2821</v>
      </c>
      <c r="G223" s="16" t="s">
        <v>843</v>
      </c>
      <c r="H223" s="479" t="s">
        <v>5314</v>
      </c>
      <c r="I223" s="480"/>
      <c r="J223" s="551" t="s">
        <v>5456</v>
      </c>
      <c r="K223" s="136" t="s">
        <v>105</v>
      </c>
      <c r="L223" s="485" t="s">
        <v>4559</v>
      </c>
      <c r="M223" s="641">
        <v>3</v>
      </c>
      <c r="N223" s="31"/>
      <c r="O223" s="891" t="s">
        <v>5530</v>
      </c>
      <c r="P223" s="888" t="s">
        <v>5529</v>
      </c>
    </row>
    <row r="224" spans="1:16" s="17" customFormat="1" ht="33" customHeight="1" x14ac:dyDescent="0.3">
      <c r="A224" s="449" t="s">
        <v>0</v>
      </c>
      <c r="B224" s="331" t="s">
        <v>1</v>
      </c>
      <c r="C224" s="330" t="s">
        <v>2</v>
      </c>
      <c r="D224" s="330" t="s">
        <v>3</v>
      </c>
      <c r="E224" s="330" t="s">
        <v>4</v>
      </c>
      <c r="F224" s="330" t="s">
        <v>5</v>
      </c>
      <c r="G224" s="330" t="s">
        <v>6</v>
      </c>
      <c r="H224" s="332" t="s">
        <v>7</v>
      </c>
      <c r="I224" s="330" t="s">
        <v>8</v>
      </c>
      <c r="J224" s="330" t="s">
        <v>9</v>
      </c>
      <c r="K224" s="333" t="s">
        <v>10</v>
      </c>
      <c r="L224" s="334" t="s">
        <v>11</v>
      </c>
      <c r="M224" s="330" t="s">
        <v>12</v>
      </c>
      <c r="N224" s="335" t="s">
        <v>13</v>
      </c>
      <c r="O224" s="450" t="s">
        <v>63</v>
      </c>
      <c r="P224" s="450" t="s">
        <v>5528</v>
      </c>
    </row>
    <row r="225" spans="1:16" s="17" customFormat="1" ht="33" customHeight="1" x14ac:dyDescent="0.3">
      <c r="A225" s="446" t="s">
        <v>4500</v>
      </c>
      <c r="B225" s="412">
        <v>46118</v>
      </c>
      <c r="C225" s="3" t="s">
        <v>21</v>
      </c>
      <c r="D225" s="3" t="s">
        <v>30</v>
      </c>
      <c r="E225" s="480" t="s">
        <v>107</v>
      </c>
      <c r="F225" s="480" t="s">
        <v>2570</v>
      </c>
      <c r="G225" s="485" t="s">
        <v>5395</v>
      </c>
      <c r="H225" s="479" t="s">
        <v>216</v>
      </c>
      <c r="I225" s="562" t="s">
        <v>5421</v>
      </c>
      <c r="J225" s="562" t="s">
        <v>5513</v>
      </c>
      <c r="K225" s="125" t="s">
        <v>15</v>
      </c>
      <c r="L225" s="16">
        <v>9080</v>
      </c>
      <c r="M225" s="8">
        <v>3</v>
      </c>
      <c r="N225" s="630" t="s">
        <v>4674</v>
      </c>
      <c r="O225" s="453"/>
      <c r="P225" s="888" t="s">
        <v>5317</v>
      </c>
    </row>
    <row r="226" spans="1:16" s="17" customFormat="1" ht="33" customHeight="1" x14ac:dyDescent="0.3">
      <c r="A226" s="447"/>
      <c r="B226" s="377">
        <v>46119</v>
      </c>
      <c r="C226" s="3" t="s">
        <v>21</v>
      </c>
      <c r="D226" s="3" t="s">
        <v>31</v>
      </c>
      <c r="E226" s="480" t="s">
        <v>5303</v>
      </c>
      <c r="F226" s="480">
        <v>7064</v>
      </c>
      <c r="G226" s="485" t="s">
        <v>83</v>
      </c>
      <c r="H226" s="479" t="s">
        <v>5304</v>
      </c>
      <c r="I226" s="479"/>
      <c r="J226" s="479" t="s">
        <v>487</v>
      </c>
      <c r="K226" s="136" t="s">
        <v>15</v>
      </c>
      <c r="L226" s="485" t="s">
        <v>4559</v>
      </c>
      <c r="M226" s="481">
        <v>2</v>
      </c>
      <c r="N226" s="480"/>
      <c r="O226" s="890" t="s">
        <v>5541</v>
      </c>
      <c r="P226" s="888" t="s">
        <v>5317</v>
      </c>
    </row>
    <row r="227" spans="1:16" s="17" customFormat="1" ht="33" customHeight="1" x14ac:dyDescent="0.3">
      <c r="A227" s="447"/>
      <c r="B227" s="412">
        <v>46119</v>
      </c>
      <c r="C227" s="550" t="s">
        <v>21</v>
      </c>
      <c r="D227" s="550" t="s">
        <v>14</v>
      </c>
      <c r="E227" s="551" t="s">
        <v>107</v>
      </c>
      <c r="F227" s="551" t="s">
        <v>2963</v>
      </c>
      <c r="G227" s="553" t="s">
        <v>143</v>
      </c>
      <c r="H227" s="554" t="s">
        <v>5521</v>
      </c>
      <c r="I227" s="551" t="s">
        <v>5520</v>
      </c>
      <c r="J227" s="551" t="s">
        <v>641</v>
      </c>
      <c r="K227" s="555" t="s">
        <v>15</v>
      </c>
      <c r="L227" s="553">
        <v>9080</v>
      </c>
      <c r="M227" s="8">
        <v>3</v>
      </c>
      <c r="N227" s="444"/>
      <c r="O227" s="890" t="s">
        <v>5542</v>
      </c>
      <c r="P227" s="888"/>
    </row>
    <row r="228" spans="1:16" s="17" customFormat="1" ht="33" customHeight="1" x14ac:dyDescent="0.3">
      <c r="A228" s="447"/>
      <c r="B228" s="412">
        <v>46120</v>
      </c>
      <c r="C228" s="3" t="s">
        <v>21</v>
      </c>
      <c r="D228" s="3" t="s">
        <v>31</v>
      </c>
      <c r="E228" s="480" t="s">
        <v>5303</v>
      </c>
      <c r="F228" s="480">
        <v>7064</v>
      </c>
      <c r="G228" s="485" t="s">
        <v>83</v>
      </c>
      <c r="H228" s="479" t="s">
        <v>5304</v>
      </c>
      <c r="I228" s="479"/>
      <c r="J228" s="479" t="s">
        <v>5452</v>
      </c>
      <c r="K228" s="136" t="s">
        <v>15</v>
      </c>
      <c r="L228" s="485" t="s">
        <v>4383</v>
      </c>
      <c r="M228" s="481">
        <v>2</v>
      </c>
      <c r="N228" s="31"/>
      <c r="O228" s="890"/>
      <c r="P228" s="888" t="s">
        <v>5317</v>
      </c>
    </row>
    <row r="229" spans="1:16" s="17" customFormat="1" ht="33" customHeight="1" x14ac:dyDescent="0.3">
      <c r="A229" s="447"/>
      <c r="B229" s="377">
        <v>46120</v>
      </c>
      <c r="C229" s="550" t="s">
        <v>21</v>
      </c>
      <c r="D229" s="550" t="s">
        <v>14</v>
      </c>
      <c r="E229" s="551" t="s">
        <v>107</v>
      </c>
      <c r="F229" s="551" t="s">
        <v>2963</v>
      </c>
      <c r="G229" s="553" t="s">
        <v>143</v>
      </c>
      <c r="H229" s="554" t="s">
        <v>5512</v>
      </c>
      <c r="I229" s="551"/>
      <c r="J229" s="551" t="s">
        <v>641</v>
      </c>
      <c r="K229" s="555" t="s">
        <v>15</v>
      </c>
      <c r="L229" s="553" t="s">
        <v>5290</v>
      </c>
      <c r="M229" s="8">
        <v>2</v>
      </c>
      <c r="N229" s="31"/>
      <c r="O229" s="892"/>
      <c r="P229" s="886"/>
    </row>
    <row r="230" spans="1:16" s="17" customFormat="1" ht="33" customHeight="1" x14ac:dyDescent="0.3">
      <c r="A230" s="447"/>
      <c r="B230" s="377">
        <v>46120</v>
      </c>
      <c r="C230" s="550" t="s">
        <v>21</v>
      </c>
      <c r="D230" s="550" t="s">
        <v>17</v>
      </c>
      <c r="E230" s="554" t="s">
        <v>78</v>
      </c>
      <c r="F230" s="551">
        <v>7060</v>
      </c>
      <c r="G230" s="553" t="s">
        <v>36</v>
      </c>
      <c r="H230" s="633" t="s">
        <v>5417</v>
      </c>
      <c r="I230" s="551" t="s">
        <v>90</v>
      </c>
      <c r="J230" s="551"/>
      <c r="K230" s="555" t="s">
        <v>105</v>
      </c>
      <c r="L230" s="553">
        <v>9080</v>
      </c>
      <c r="M230" s="556">
        <v>1</v>
      </c>
      <c r="N230" s="634"/>
      <c r="O230" s="894" t="s">
        <v>5533</v>
      </c>
      <c r="P230" s="886"/>
    </row>
    <row r="231" spans="1:16" s="17" customFormat="1" ht="33" customHeight="1" x14ac:dyDescent="0.3">
      <c r="A231" s="447"/>
      <c r="B231" s="377">
        <v>46121</v>
      </c>
      <c r="C231" s="3" t="s">
        <v>21</v>
      </c>
      <c r="D231" s="3" t="s">
        <v>17</v>
      </c>
      <c r="E231" s="484" t="s">
        <v>5539</v>
      </c>
      <c r="F231" s="484" t="s">
        <v>4519</v>
      </c>
      <c r="G231" s="485" t="s">
        <v>35</v>
      </c>
      <c r="H231" s="479" t="s">
        <v>5341</v>
      </c>
      <c r="I231" s="479" t="s">
        <v>5538</v>
      </c>
      <c r="J231" s="479"/>
      <c r="K231" s="136" t="s">
        <v>15</v>
      </c>
      <c r="L231" s="16">
        <v>9080</v>
      </c>
      <c r="M231" s="8">
        <v>3</v>
      </c>
      <c r="N231" s="444"/>
      <c r="O231" s="890" t="s">
        <v>5540</v>
      </c>
      <c r="P231" s="888" t="s">
        <v>5317</v>
      </c>
    </row>
    <row r="232" spans="1:16" s="17" customFormat="1" ht="33" customHeight="1" x14ac:dyDescent="0.3">
      <c r="A232" s="447"/>
      <c r="B232" s="377">
        <v>46121</v>
      </c>
      <c r="C232" s="4" t="s">
        <v>4897</v>
      </c>
      <c r="D232" s="4" t="s">
        <v>4898</v>
      </c>
      <c r="E232" s="480" t="s">
        <v>1791</v>
      </c>
      <c r="F232" s="31" t="s">
        <v>4912</v>
      </c>
      <c r="G232" s="16" t="s">
        <v>4913</v>
      </c>
      <c r="H232" s="554" t="s">
        <v>5521</v>
      </c>
      <c r="I232" s="31" t="s">
        <v>5519</v>
      </c>
      <c r="J232" s="31" t="s">
        <v>4911</v>
      </c>
      <c r="K232" s="125" t="s">
        <v>4915</v>
      </c>
      <c r="L232" s="16" t="s">
        <v>5289</v>
      </c>
      <c r="M232" s="8">
        <v>3</v>
      </c>
      <c r="N232" s="31"/>
      <c r="O232" s="892" t="s">
        <v>5543</v>
      </c>
      <c r="P232" s="328"/>
    </row>
    <row r="233" spans="1:16" s="17" customFormat="1" ht="33" customHeight="1" x14ac:dyDescent="0.3">
      <c r="A233" s="447"/>
      <c r="B233" s="377">
        <v>46121</v>
      </c>
      <c r="C233" s="3" t="s">
        <v>21</v>
      </c>
      <c r="D233" s="3" t="s">
        <v>30</v>
      </c>
      <c r="E233" s="480" t="s">
        <v>1791</v>
      </c>
      <c r="F233" s="479" t="s">
        <v>5525</v>
      </c>
      <c r="G233" s="485" t="s">
        <v>143</v>
      </c>
      <c r="H233" s="479" t="s">
        <v>5460</v>
      </c>
      <c r="I233" s="634" t="s">
        <v>5519</v>
      </c>
      <c r="J233" s="630" t="s">
        <v>641</v>
      </c>
      <c r="K233" s="136" t="s">
        <v>15</v>
      </c>
      <c r="L233" s="485" t="s">
        <v>4559</v>
      </c>
      <c r="M233" s="481">
        <v>3</v>
      </c>
      <c r="N233" s="630"/>
      <c r="O233" s="892"/>
      <c r="P233" s="328"/>
    </row>
    <row r="234" spans="1:16" s="17" customFormat="1" ht="33" customHeight="1" x14ac:dyDescent="0.3">
      <c r="A234" s="447"/>
      <c r="B234" s="412">
        <v>46121</v>
      </c>
      <c r="C234" s="3" t="s">
        <v>21</v>
      </c>
      <c r="D234" s="3" t="s">
        <v>31</v>
      </c>
      <c r="E234" s="480" t="s">
        <v>5303</v>
      </c>
      <c r="F234" s="480">
        <v>7064</v>
      </c>
      <c r="G234" s="485" t="s">
        <v>83</v>
      </c>
      <c r="H234" s="479" t="s">
        <v>5304</v>
      </c>
      <c r="I234" s="479"/>
      <c r="J234" s="479" t="s">
        <v>4842</v>
      </c>
      <c r="K234" s="136" t="s">
        <v>15</v>
      </c>
      <c r="L234" s="485" t="s">
        <v>5545</v>
      </c>
      <c r="M234" s="481">
        <v>3</v>
      </c>
      <c r="N234" s="548"/>
      <c r="O234" s="892"/>
      <c r="P234" s="328"/>
    </row>
    <row r="235" spans="1:16" s="17" customFormat="1" ht="33" customHeight="1" x14ac:dyDescent="0.3">
      <c r="A235" s="447"/>
      <c r="B235" s="412">
        <v>46122</v>
      </c>
      <c r="C235" s="3" t="s">
        <v>21</v>
      </c>
      <c r="D235" s="3" t="s">
        <v>31</v>
      </c>
      <c r="E235" s="480" t="s">
        <v>5303</v>
      </c>
      <c r="F235" s="480">
        <v>7064</v>
      </c>
      <c r="G235" s="485" t="s">
        <v>83</v>
      </c>
      <c r="H235" s="479" t="s">
        <v>5304</v>
      </c>
      <c r="I235" s="479"/>
      <c r="J235" s="479" t="s">
        <v>487</v>
      </c>
      <c r="K235" s="136" t="s">
        <v>15</v>
      </c>
      <c r="L235" s="485" t="s">
        <v>5545</v>
      </c>
      <c r="M235" s="481">
        <v>2</v>
      </c>
      <c r="N235" s="31" t="s">
        <v>4674</v>
      </c>
      <c r="O235" s="890"/>
      <c r="P235" s="888" t="s">
        <v>5317</v>
      </c>
    </row>
    <row r="236" spans="1:16" s="17" customFormat="1" ht="33" customHeight="1" x14ac:dyDescent="0.3">
      <c r="A236" s="447"/>
      <c r="B236" s="377">
        <v>46122</v>
      </c>
      <c r="C236" s="4" t="s">
        <v>4897</v>
      </c>
      <c r="D236" s="4" t="s">
        <v>4898</v>
      </c>
      <c r="E236" s="480" t="s">
        <v>1791</v>
      </c>
      <c r="F236" s="489" t="s">
        <v>4912</v>
      </c>
      <c r="G236" s="16" t="s">
        <v>4913</v>
      </c>
      <c r="H236" s="490" t="s">
        <v>4914</v>
      </c>
      <c r="I236" s="489"/>
      <c r="J236" s="489" t="s">
        <v>4911</v>
      </c>
      <c r="K236" s="125" t="s">
        <v>4915</v>
      </c>
      <c r="L236" s="16" t="s">
        <v>5289</v>
      </c>
      <c r="M236" s="8">
        <v>2</v>
      </c>
      <c r="N236" s="31"/>
      <c r="O236" s="890"/>
      <c r="P236" s="886" t="s">
        <v>5535</v>
      </c>
    </row>
    <row r="237" spans="1:16" s="17" customFormat="1" ht="33" customHeight="1" x14ac:dyDescent="0.3">
      <c r="A237" s="447"/>
      <c r="B237" s="412">
        <v>46122</v>
      </c>
      <c r="C237" s="3" t="s">
        <v>21</v>
      </c>
      <c r="D237" s="3" t="s">
        <v>14</v>
      </c>
      <c r="E237" s="480" t="s">
        <v>1791</v>
      </c>
      <c r="F237" s="479" t="s">
        <v>5526</v>
      </c>
      <c r="G237" s="485" t="s">
        <v>143</v>
      </c>
      <c r="H237" s="479" t="s">
        <v>5527</v>
      </c>
      <c r="I237" s="634"/>
      <c r="J237" s="634" t="s">
        <v>641</v>
      </c>
      <c r="K237" s="136" t="s">
        <v>15</v>
      </c>
      <c r="L237" s="485" t="s">
        <v>4559</v>
      </c>
      <c r="M237" s="481">
        <v>2</v>
      </c>
      <c r="N237" s="634"/>
      <c r="O237" s="890"/>
      <c r="P237" s="886"/>
    </row>
    <row r="238" spans="1:16" s="17" customFormat="1" ht="33" customHeight="1" x14ac:dyDescent="0.3">
      <c r="A238" s="447"/>
      <c r="B238" s="377">
        <v>46122</v>
      </c>
      <c r="C238" s="4" t="s">
        <v>138</v>
      </c>
      <c r="D238" s="4" t="s">
        <v>5514</v>
      </c>
      <c r="E238" s="480" t="s">
        <v>1791</v>
      </c>
      <c r="F238" s="479" t="s">
        <v>5293</v>
      </c>
      <c r="G238" s="485" t="s">
        <v>5515</v>
      </c>
      <c r="H238" s="635" t="s">
        <v>5534</v>
      </c>
      <c r="I238" s="634"/>
      <c r="J238" s="635" t="s">
        <v>5516</v>
      </c>
      <c r="K238" s="125" t="s">
        <v>5517</v>
      </c>
      <c r="L238" s="16" t="s">
        <v>5518</v>
      </c>
      <c r="M238" s="641">
        <v>1</v>
      </c>
      <c r="N238" s="634"/>
      <c r="O238" s="890" t="s">
        <v>5544</v>
      </c>
      <c r="P238" s="886"/>
    </row>
    <row r="239" spans="1:16" s="17" customFormat="1" ht="33" customHeight="1" x14ac:dyDescent="0.3">
      <c r="A239" s="447"/>
      <c r="B239" s="412">
        <v>46123</v>
      </c>
      <c r="C239" s="3"/>
      <c r="D239" s="3"/>
      <c r="E239" s="480"/>
      <c r="F239" s="480"/>
      <c r="G239" s="485"/>
      <c r="H239" s="479"/>
      <c r="I239" s="479"/>
      <c r="J239" s="479"/>
      <c r="K239" s="555"/>
      <c r="L239" s="481"/>
      <c r="M239" s="8"/>
      <c r="N239" s="198"/>
      <c r="O239" s="461"/>
      <c r="P239" s="886"/>
    </row>
    <row r="240" spans="1:16" s="17" customFormat="1" ht="33" customHeight="1" x14ac:dyDescent="0.3">
      <c r="A240" s="448"/>
      <c r="B240" s="412">
        <v>46123</v>
      </c>
      <c r="C240" s="4"/>
      <c r="D240" s="4"/>
      <c r="E240" s="31"/>
      <c r="F240" s="31"/>
      <c r="G240" s="16"/>
      <c r="H240" s="198"/>
      <c r="I240" s="198"/>
      <c r="J240" s="198"/>
      <c r="K240" s="125"/>
      <c r="L240" s="16"/>
      <c r="M240" s="8"/>
      <c r="N240" s="31"/>
      <c r="O240" s="455"/>
      <c r="P240" s="886"/>
    </row>
    <row r="241" spans="1:16" s="17" customFormat="1" ht="33" customHeight="1" x14ac:dyDescent="0.3">
      <c r="A241" s="449" t="s">
        <v>0</v>
      </c>
      <c r="B241" s="331" t="s">
        <v>1</v>
      </c>
      <c r="C241" s="330" t="s">
        <v>2</v>
      </c>
      <c r="D241" s="330" t="s">
        <v>3</v>
      </c>
      <c r="E241" s="330" t="s">
        <v>4</v>
      </c>
      <c r="F241" s="330" t="s">
        <v>5</v>
      </c>
      <c r="G241" s="330" t="s">
        <v>6</v>
      </c>
      <c r="H241" s="332" t="s">
        <v>7</v>
      </c>
      <c r="I241" s="330" t="s">
        <v>8</v>
      </c>
      <c r="J241" s="330" t="s">
        <v>9</v>
      </c>
      <c r="K241" s="333" t="s">
        <v>10</v>
      </c>
      <c r="L241" s="334" t="s">
        <v>11</v>
      </c>
      <c r="M241" s="330" t="s">
        <v>12</v>
      </c>
      <c r="N241" s="335" t="s">
        <v>13</v>
      </c>
      <c r="O241" s="450" t="s">
        <v>63</v>
      </c>
      <c r="P241" s="450" t="s">
        <v>5528</v>
      </c>
    </row>
    <row r="242" spans="1:16" s="17" customFormat="1" ht="33" customHeight="1" x14ac:dyDescent="0.3">
      <c r="A242" s="446" t="s">
        <v>4501</v>
      </c>
      <c r="B242" s="412">
        <v>46125</v>
      </c>
      <c r="C242" s="4" t="s">
        <v>5396</v>
      </c>
      <c r="D242" s="4" t="s">
        <v>5399</v>
      </c>
      <c r="E242" s="31" t="s">
        <v>5397</v>
      </c>
      <c r="F242" s="198" t="s">
        <v>5398</v>
      </c>
      <c r="G242" s="16" t="s">
        <v>5400</v>
      </c>
      <c r="H242" s="198" t="s">
        <v>5401</v>
      </c>
      <c r="I242" s="31" t="s">
        <v>5408</v>
      </c>
      <c r="J242" s="31" t="s">
        <v>5537</v>
      </c>
      <c r="K242" s="125" t="s">
        <v>5410</v>
      </c>
      <c r="L242" s="16" t="s">
        <v>5412</v>
      </c>
      <c r="M242" s="8">
        <v>2</v>
      </c>
      <c r="N242" s="31" t="s">
        <v>4674</v>
      </c>
      <c r="O242" s="454"/>
      <c r="P242" s="886"/>
    </row>
    <row r="243" spans="1:16" s="17" customFormat="1" ht="33" customHeight="1" x14ac:dyDescent="0.3">
      <c r="A243" s="447"/>
      <c r="B243" s="412">
        <v>46125</v>
      </c>
      <c r="C243" s="4" t="s">
        <v>21</v>
      </c>
      <c r="D243" s="4" t="s">
        <v>5402</v>
      </c>
      <c r="E243" s="557" t="s">
        <v>5397</v>
      </c>
      <c r="F243" s="31" t="s">
        <v>5403</v>
      </c>
      <c r="G243" s="16" t="s">
        <v>5404</v>
      </c>
      <c r="H243" s="198" t="s">
        <v>5405</v>
      </c>
      <c r="I243" s="31" t="s">
        <v>5406</v>
      </c>
      <c r="J243" s="31" t="s">
        <v>5409</v>
      </c>
      <c r="K243" s="125" t="s">
        <v>5411</v>
      </c>
      <c r="L243" s="16" t="s">
        <v>5412</v>
      </c>
      <c r="M243" s="8">
        <v>2</v>
      </c>
      <c r="N243" s="31"/>
      <c r="O243" s="890" t="s">
        <v>5407</v>
      </c>
      <c r="P243" s="886"/>
    </row>
    <row r="244" spans="1:16" s="17" customFormat="1" ht="33" customHeight="1" x14ac:dyDescent="0.3">
      <c r="A244" s="447"/>
      <c r="B244" s="412">
        <v>46126</v>
      </c>
      <c r="C244" s="550" t="s">
        <v>5413</v>
      </c>
      <c r="D244" s="550" t="s">
        <v>5414</v>
      </c>
      <c r="E244" s="554" t="s">
        <v>5415</v>
      </c>
      <c r="F244" s="551">
        <v>7060</v>
      </c>
      <c r="G244" s="553" t="s">
        <v>5416</v>
      </c>
      <c r="H244" s="563" t="s">
        <v>5418</v>
      </c>
      <c r="I244" s="31" t="s">
        <v>5419</v>
      </c>
      <c r="J244" s="198" t="s">
        <v>5420</v>
      </c>
      <c r="K244" s="125" t="s">
        <v>105</v>
      </c>
      <c r="L244" s="16" t="s">
        <v>5454</v>
      </c>
      <c r="M244" s="8"/>
      <c r="N244" s="444"/>
      <c r="O244" s="453"/>
      <c r="P244" s="886"/>
    </row>
    <row r="245" spans="1:16" s="17" customFormat="1" ht="33" customHeight="1" x14ac:dyDescent="0.3">
      <c r="A245" s="447"/>
      <c r="B245" s="412">
        <v>46126</v>
      </c>
      <c r="C245" s="3"/>
      <c r="D245" s="3"/>
      <c r="E245" s="480"/>
      <c r="F245" s="480"/>
      <c r="G245" s="485"/>
      <c r="H245" s="479"/>
      <c r="I245" s="479"/>
      <c r="J245" s="479"/>
      <c r="K245" s="555"/>
      <c r="L245" s="481"/>
      <c r="M245" s="8"/>
      <c r="N245" s="444"/>
      <c r="O245" s="453"/>
      <c r="P245" s="886"/>
    </row>
    <row r="246" spans="1:16" s="17" customFormat="1" ht="33" customHeight="1" x14ac:dyDescent="0.3">
      <c r="A246" s="447"/>
      <c r="B246" s="412">
        <v>46127</v>
      </c>
      <c r="C246" s="550" t="s">
        <v>21</v>
      </c>
      <c r="D246" s="550" t="s">
        <v>17</v>
      </c>
      <c r="E246" s="554" t="s">
        <v>78</v>
      </c>
      <c r="F246" s="551">
        <v>7060</v>
      </c>
      <c r="G246" s="553" t="s">
        <v>36</v>
      </c>
      <c r="H246" s="636" t="s">
        <v>5418</v>
      </c>
      <c r="I246" s="634" t="s">
        <v>90</v>
      </c>
      <c r="J246" s="635" t="s">
        <v>5420</v>
      </c>
      <c r="K246" s="125" t="s">
        <v>105</v>
      </c>
      <c r="L246" s="16" t="s">
        <v>4383</v>
      </c>
      <c r="M246" s="8"/>
      <c r="N246" s="31" t="s">
        <v>4674</v>
      </c>
      <c r="O246" s="453"/>
      <c r="P246" s="886"/>
    </row>
    <row r="247" spans="1:16" s="17" customFormat="1" ht="33" customHeight="1" x14ac:dyDescent="0.3">
      <c r="A247" s="447"/>
      <c r="B247" s="412">
        <v>46127</v>
      </c>
      <c r="C247" s="4"/>
      <c r="D247" s="4"/>
      <c r="E247" s="298"/>
      <c r="F247" s="31"/>
      <c r="G247" s="16"/>
      <c r="H247" s="198"/>
      <c r="I247" s="31"/>
      <c r="J247" s="31"/>
      <c r="K247" s="125"/>
      <c r="L247" s="16"/>
      <c r="M247" s="8"/>
      <c r="N247" s="31"/>
      <c r="O247" s="455"/>
      <c r="P247" s="886"/>
    </row>
    <row r="248" spans="1:16" s="17" customFormat="1" ht="33" customHeight="1" x14ac:dyDescent="0.3">
      <c r="A248" s="447"/>
      <c r="B248" s="412">
        <v>46128</v>
      </c>
      <c r="C248" s="3" t="s">
        <v>21</v>
      </c>
      <c r="D248" s="3" t="s">
        <v>30</v>
      </c>
      <c r="E248" s="480" t="s">
        <v>107</v>
      </c>
      <c r="F248" s="480" t="s">
        <v>2570</v>
      </c>
      <c r="G248" s="485" t="s">
        <v>3746</v>
      </c>
      <c r="H248" s="479" t="s">
        <v>4852</v>
      </c>
      <c r="I248" s="480" t="s">
        <v>202</v>
      </c>
      <c r="J248" s="480" t="s">
        <v>4393</v>
      </c>
      <c r="K248" s="136" t="s">
        <v>15</v>
      </c>
      <c r="L248" s="485" t="s">
        <v>5458</v>
      </c>
      <c r="M248" s="8">
        <v>3</v>
      </c>
      <c r="N248" s="444"/>
      <c r="O248" s="453"/>
      <c r="P248" s="886"/>
    </row>
    <row r="249" spans="1:16" s="17" customFormat="1" ht="33" customHeight="1" x14ac:dyDescent="0.3">
      <c r="A249" s="447"/>
      <c r="B249" s="412">
        <v>46128</v>
      </c>
      <c r="C249" s="4" t="s">
        <v>5206</v>
      </c>
      <c r="D249" s="4" t="s">
        <v>5245</v>
      </c>
      <c r="E249" s="298" t="s">
        <v>5246</v>
      </c>
      <c r="F249" s="31" t="s">
        <v>5247</v>
      </c>
      <c r="G249" s="16" t="s">
        <v>5248</v>
      </c>
      <c r="H249" s="198" t="s">
        <v>5249</v>
      </c>
      <c r="I249" s="31" t="s">
        <v>5250</v>
      </c>
      <c r="J249" s="31"/>
      <c r="K249" s="125" t="s">
        <v>5251</v>
      </c>
      <c r="L249" s="16" t="s">
        <v>5252</v>
      </c>
      <c r="M249" s="8">
        <v>1</v>
      </c>
      <c r="N249" s="31"/>
      <c r="O249" s="455"/>
      <c r="P249" s="886"/>
    </row>
    <row r="250" spans="1:16" s="17" customFormat="1" ht="33" customHeight="1" x14ac:dyDescent="0.3">
      <c r="A250" s="447"/>
      <c r="B250" s="412">
        <v>46128</v>
      </c>
      <c r="C250" s="3" t="s">
        <v>21</v>
      </c>
      <c r="D250" s="3" t="s">
        <v>14</v>
      </c>
      <c r="E250" s="480" t="s">
        <v>107</v>
      </c>
      <c r="F250" s="480" t="s">
        <v>3390</v>
      </c>
      <c r="G250" s="16" t="s">
        <v>23</v>
      </c>
      <c r="H250" s="635" t="s">
        <v>5297</v>
      </c>
      <c r="I250" s="480" t="s">
        <v>90</v>
      </c>
      <c r="J250" s="479" t="s">
        <v>777</v>
      </c>
      <c r="K250" s="136" t="s">
        <v>15</v>
      </c>
      <c r="L250" s="485" t="s">
        <v>4383</v>
      </c>
      <c r="M250" s="481">
        <v>2</v>
      </c>
      <c r="N250" s="634"/>
      <c r="O250" s="455"/>
      <c r="P250" s="886"/>
    </row>
    <row r="251" spans="1:16" s="17" customFormat="1" ht="33" customHeight="1" x14ac:dyDescent="0.3">
      <c r="A251" s="447"/>
      <c r="B251" s="412">
        <v>46129</v>
      </c>
      <c r="C251" s="3" t="s">
        <v>21</v>
      </c>
      <c r="D251" s="3" t="s">
        <v>14</v>
      </c>
      <c r="E251" s="480" t="s">
        <v>1897</v>
      </c>
      <c r="F251" s="480" t="s">
        <v>4949</v>
      </c>
      <c r="G251" s="485" t="s">
        <v>34</v>
      </c>
      <c r="H251" s="479" t="s">
        <v>5324</v>
      </c>
      <c r="I251" s="479" t="s">
        <v>5523</v>
      </c>
      <c r="J251" s="479" t="s">
        <v>5522</v>
      </c>
      <c r="K251" s="555" t="s">
        <v>15</v>
      </c>
      <c r="L251" s="885" t="s">
        <v>5524</v>
      </c>
      <c r="M251" s="8"/>
      <c r="N251" s="31" t="s">
        <v>4674</v>
      </c>
      <c r="O251" s="452"/>
      <c r="P251" s="886" t="s">
        <v>5536</v>
      </c>
    </row>
    <row r="252" spans="1:16" s="17" customFormat="1" ht="33" customHeight="1" x14ac:dyDescent="0.3">
      <c r="A252" s="447"/>
      <c r="B252" s="412">
        <v>46129</v>
      </c>
      <c r="C252" s="3" t="s">
        <v>21</v>
      </c>
      <c r="D252" s="3" t="s">
        <v>30</v>
      </c>
      <c r="E252" s="480" t="s">
        <v>107</v>
      </c>
      <c r="F252" s="480" t="s">
        <v>1972</v>
      </c>
      <c r="G252" s="485" t="s">
        <v>376</v>
      </c>
      <c r="H252" s="479" t="s">
        <v>5457</v>
      </c>
      <c r="I252" s="480"/>
      <c r="J252" s="480" t="s">
        <v>5459</v>
      </c>
      <c r="K252" s="136" t="s">
        <v>15</v>
      </c>
      <c r="L252" s="485" t="s">
        <v>5458</v>
      </c>
      <c r="M252" s="8"/>
      <c r="N252" s="31"/>
      <c r="O252" s="451"/>
      <c r="P252" s="886"/>
    </row>
    <row r="253" spans="1:16" s="17" customFormat="1" ht="33" customHeight="1" x14ac:dyDescent="0.3">
      <c r="A253" s="447"/>
      <c r="B253" s="412">
        <v>46130</v>
      </c>
      <c r="C253" s="4"/>
      <c r="D253" s="4"/>
      <c r="E253" s="31"/>
      <c r="F253" s="31"/>
      <c r="G253" s="16"/>
      <c r="H253" s="198"/>
      <c r="I253" s="198"/>
      <c r="J253" s="198"/>
      <c r="K253" s="125"/>
      <c r="L253" s="16"/>
      <c r="M253" s="8"/>
      <c r="N253" s="198"/>
      <c r="O253" s="461"/>
      <c r="P253" s="886"/>
    </row>
    <row r="254" spans="1:16" s="17" customFormat="1" ht="33" customHeight="1" x14ac:dyDescent="0.3">
      <c r="A254" s="448"/>
      <c r="B254" s="412">
        <v>46130</v>
      </c>
      <c r="C254" s="4"/>
      <c r="D254" s="4"/>
      <c r="E254" s="31"/>
      <c r="F254" s="31"/>
      <c r="G254" s="16"/>
      <c r="H254" s="198"/>
      <c r="I254" s="198"/>
      <c r="J254" s="198"/>
      <c r="K254" s="125"/>
      <c r="L254" s="16"/>
      <c r="M254" s="8"/>
      <c r="N254" s="31"/>
      <c r="O254" s="455"/>
      <c r="P254" s="886"/>
    </row>
    <row r="255" spans="1:16" s="17" customFormat="1" ht="33" customHeight="1" x14ac:dyDescent="0.3">
      <c r="A255" s="449" t="s">
        <v>0</v>
      </c>
      <c r="B255" s="331" t="s">
        <v>1</v>
      </c>
      <c r="C255" s="330" t="s">
        <v>2</v>
      </c>
      <c r="D255" s="330" t="s">
        <v>3</v>
      </c>
      <c r="E255" s="330" t="s">
        <v>4</v>
      </c>
      <c r="F255" s="330" t="s">
        <v>5</v>
      </c>
      <c r="G255" s="330" t="s">
        <v>6</v>
      </c>
      <c r="H255" s="332" t="s">
        <v>7</v>
      </c>
      <c r="I255" s="330" t="s">
        <v>8</v>
      </c>
      <c r="J255" s="330" t="s">
        <v>9</v>
      </c>
      <c r="K255" s="333" t="s">
        <v>10</v>
      </c>
      <c r="L255" s="334" t="s">
        <v>11</v>
      </c>
      <c r="M255" s="330" t="s">
        <v>12</v>
      </c>
      <c r="N255" s="335" t="s">
        <v>13</v>
      </c>
      <c r="O255" s="450" t="s">
        <v>63</v>
      </c>
      <c r="P255" s="450" t="s">
        <v>5528</v>
      </c>
    </row>
    <row r="256" spans="1:16" s="17" customFormat="1" ht="33" customHeight="1" x14ac:dyDescent="0.3">
      <c r="A256" s="446" t="s">
        <v>4502</v>
      </c>
      <c r="B256" s="412">
        <v>46132</v>
      </c>
      <c r="C256" s="3" t="s">
        <v>21</v>
      </c>
      <c r="D256" s="3" t="s">
        <v>99</v>
      </c>
      <c r="E256" s="479" t="s">
        <v>3313</v>
      </c>
      <c r="F256" s="480" t="s">
        <v>2838</v>
      </c>
      <c r="G256" s="485" t="s">
        <v>5423</v>
      </c>
      <c r="H256" s="479" t="s">
        <v>5424</v>
      </c>
      <c r="I256" s="630" t="s">
        <v>90</v>
      </c>
      <c r="J256" s="630"/>
      <c r="K256" s="125" t="s">
        <v>105</v>
      </c>
      <c r="L256" s="16" t="s">
        <v>4383</v>
      </c>
      <c r="M256" s="8">
        <v>1</v>
      </c>
      <c r="N256" s="31" t="s">
        <v>4674</v>
      </c>
      <c r="O256" s="454"/>
      <c r="P256" s="886"/>
    </row>
    <row r="257" spans="1:16" s="17" customFormat="1" ht="33" customHeight="1" x14ac:dyDescent="0.3">
      <c r="A257" s="447"/>
      <c r="B257" s="412">
        <v>46132</v>
      </c>
      <c r="C257" s="4"/>
      <c r="D257" s="4"/>
      <c r="E257" s="298"/>
      <c r="F257" s="31"/>
      <c r="G257" s="16"/>
      <c r="H257" s="198"/>
      <c r="I257" s="31"/>
      <c r="J257" s="31"/>
      <c r="K257" s="125"/>
      <c r="L257" s="16"/>
      <c r="M257" s="8"/>
      <c r="N257" s="31"/>
      <c r="O257" s="454"/>
      <c r="P257" s="886"/>
    </row>
    <row r="258" spans="1:16" s="17" customFormat="1" ht="33" customHeight="1" x14ac:dyDescent="0.3">
      <c r="A258" s="447"/>
      <c r="B258" s="412">
        <v>46133</v>
      </c>
      <c r="C258" s="4" t="s">
        <v>138</v>
      </c>
      <c r="D258" s="4" t="s">
        <v>14</v>
      </c>
      <c r="E258" s="630" t="s">
        <v>1791</v>
      </c>
      <c r="F258" s="630" t="s">
        <v>2139</v>
      </c>
      <c r="G258" s="16" t="s">
        <v>142</v>
      </c>
      <c r="H258" s="479" t="s">
        <v>5286</v>
      </c>
      <c r="I258" s="479" t="s">
        <v>90</v>
      </c>
      <c r="J258" s="479" t="s">
        <v>5287</v>
      </c>
      <c r="K258" s="136" t="s">
        <v>105</v>
      </c>
      <c r="L258" s="485" t="s">
        <v>33</v>
      </c>
      <c r="M258" s="481">
        <v>6</v>
      </c>
      <c r="N258" s="444"/>
      <c r="O258" s="453"/>
      <c r="P258" s="886"/>
    </row>
    <row r="259" spans="1:16" s="17" customFormat="1" ht="33" customHeight="1" x14ac:dyDescent="0.3">
      <c r="A259" s="447"/>
      <c r="B259" s="412">
        <v>46133</v>
      </c>
      <c r="C259" s="4"/>
      <c r="D259" s="4"/>
      <c r="E259" s="31"/>
      <c r="F259" s="31"/>
      <c r="G259" s="16"/>
      <c r="H259" s="198"/>
      <c r="I259" s="31"/>
      <c r="J259" s="198"/>
      <c r="K259" s="125"/>
      <c r="L259" s="16"/>
      <c r="M259" s="8"/>
      <c r="N259" s="444"/>
      <c r="O259" s="453"/>
      <c r="P259" s="886"/>
    </row>
    <row r="260" spans="1:16" s="17" customFormat="1" ht="33" customHeight="1" x14ac:dyDescent="0.3">
      <c r="A260" s="447"/>
      <c r="B260" s="412">
        <v>46134</v>
      </c>
      <c r="C260" s="4" t="s">
        <v>138</v>
      </c>
      <c r="D260" s="4" t="s">
        <v>14</v>
      </c>
      <c r="E260" s="630" t="s">
        <v>1791</v>
      </c>
      <c r="F260" s="630" t="s">
        <v>2139</v>
      </c>
      <c r="G260" s="16" t="s">
        <v>142</v>
      </c>
      <c r="H260" s="479" t="s">
        <v>5286</v>
      </c>
      <c r="I260" s="479" t="s">
        <v>90</v>
      </c>
      <c r="J260" s="479" t="s">
        <v>5287</v>
      </c>
      <c r="K260" s="136" t="s">
        <v>105</v>
      </c>
      <c r="L260" s="485" t="s">
        <v>33</v>
      </c>
      <c r="M260" s="481">
        <v>6</v>
      </c>
      <c r="N260" s="31" t="s">
        <v>4674</v>
      </c>
      <c r="O260" s="453"/>
      <c r="P260" s="886"/>
    </row>
    <row r="261" spans="1:16" s="17" customFormat="1" ht="33" customHeight="1" x14ac:dyDescent="0.3">
      <c r="A261" s="447"/>
      <c r="B261" s="412">
        <v>46134</v>
      </c>
      <c r="C261" s="4"/>
      <c r="D261" s="4"/>
      <c r="E261" s="298"/>
      <c r="F261" s="31"/>
      <c r="G261" s="16"/>
      <c r="H261" s="198"/>
      <c r="I261" s="31"/>
      <c r="J261" s="31"/>
      <c r="K261" s="125"/>
      <c r="L261" s="16"/>
      <c r="M261" s="8"/>
      <c r="N261" s="31"/>
      <c r="O261" s="455"/>
      <c r="P261" s="886"/>
    </row>
    <row r="262" spans="1:16" s="17" customFormat="1" ht="33" customHeight="1" x14ac:dyDescent="0.3">
      <c r="A262" s="447"/>
      <c r="B262" s="412">
        <v>46135</v>
      </c>
      <c r="C262" s="4" t="s">
        <v>138</v>
      </c>
      <c r="D262" s="4" t="s">
        <v>14</v>
      </c>
      <c r="E262" s="630" t="s">
        <v>1791</v>
      </c>
      <c r="F262" s="630" t="s">
        <v>2139</v>
      </c>
      <c r="G262" s="16" t="s">
        <v>142</v>
      </c>
      <c r="H262" s="479" t="s">
        <v>5319</v>
      </c>
      <c r="I262" s="479" t="s">
        <v>90</v>
      </c>
      <c r="J262" s="479" t="s">
        <v>5311</v>
      </c>
      <c r="K262" s="136" t="s">
        <v>105</v>
      </c>
      <c r="L262" s="485" t="s">
        <v>33</v>
      </c>
      <c r="M262" s="481">
        <v>4</v>
      </c>
      <c r="N262" s="444"/>
      <c r="O262" s="453"/>
      <c r="P262" s="886"/>
    </row>
    <row r="263" spans="1:16" s="17" customFormat="1" ht="33" customHeight="1" x14ac:dyDescent="0.3">
      <c r="A263" s="447"/>
      <c r="B263" s="412">
        <v>46135</v>
      </c>
      <c r="C263" s="4"/>
      <c r="D263" s="4"/>
      <c r="E263" s="298"/>
      <c r="F263" s="31"/>
      <c r="G263" s="16"/>
      <c r="H263" s="198"/>
      <c r="I263" s="31"/>
      <c r="J263" s="31"/>
      <c r="K263" s="125"/>
      <c r="L263" s="16"/>
      <c r="M263" s="8"/>
      <c r="N263" s="31"/>
      <c r="O263" s="455"/>
      <c r="P263" s="886"/>
    </row>
    <row r="264" spans="1:16" s="17" customFormat="1" ht="33" customHeight="1" x14ac:dyDescent="0.3">
      <c r="A264" s="447"/>
      <c r="B264" s="412">
        <v>46136</v>
      </c>
      <c r="C264" s="4"/>
      <c r="D264" s="4"/>
      <c r="E264" s="31"/>
      <c r="F264" s="298"/>
      <c r="G264" s="16"/>
      <c r="H264" s="198"/>
      <c r="I264" s="31"/>
      <c r="J264" s="198"/>
      <c r="K264" s="125"/>
      <c r="L264" s="16"/>
      <c r="M264" s="8"/>
      <c r="N264" s="31" t="s">
        <v>4674</v>
      </c>
      <c r="O264" s="452"/>
      <c r="P264" s="886"/>
    </row>
    <row r="265" spans="1:16" s="17" customFormat="1" ht="33" customHeight="1" x14ac:dyDescent="0.3">
      <c r="A265" s="447"/>
      <c r="B265" s="412">
        <v>46136</v>
      </c>
      <c r="C265" s="4"/>
      <c r="D265" s="4"/>
      <c r="E265" s="31"/>
      <c r="F265" s="31"/>
      <c r="G265" s="16"/>
      <c r="H265" s="198"/>
      <c r="I265" s="31"/>
      <c r="J265" s="31"/>
      <c r="K265" s="125"/>
      <c r="L265" s="16"/>
      <c r="M265" s="8"/>
      <c r="N265" s="31"/>
      <c r="O265" s="451"/>
      <c r="P265" s="886"/>
    </row>
    <row r="266" spans="1:16" s="17" customFormat="1" ht="33" customHeight="1" x14ac:dyDescent="0.3">
      <c r="A266" s="447"/>
      <c r="B266" s="412">
        <v>46137</v>
      </c>
      <c r="C266" s="4"/>
      <c r="D266" s="4"/>
      <c r="E266" s="31"/>
      <c r="F266" s="31"/>
      <c r="G266" s="16"/>
      <c r="H266" s="198"/>
      <c r="I266" s="198"/>
      <c r="J266" s="198"/>
      <c r="K266" s="125"/>
      <c r="L266" s="16"/>
      <c r="M266" s="8"/>
      <c r="N266" s="198"/>
      <c r="O266" s="461"/>
      <c r="P266" s="886"/>
    </row>
    <row r="267" spans="1:16" s="17" customFormat="1" ht="33" customHeight="1" x14ac:dyDescent="0.3">
      <c r="A267" s="448"/>
      <c r="B267" s="412">
        <v>46137</v>
      </c>
      <c r="C267" s="4"/>
      <c r="D267" s="4"/>
      <c r="E267" s="31"/>
      <c r="F267" s="31"/>
      <c r="G267" s="16"/>
      <c r="H267" s="198"/>
      <c r="I267" s="198"/>
      <c r="J267" s="198"/>
      <c r="K267" s="125"/>
      <c r="L267" s="16"/>
      <c r="M267" s="8"/>
      <c r="N267" s="31"/>
      <c r="O267" s="455"/>
      <c r="P267" s="886"/>
    </row>
    <row r="268" spans="1:16" s="17" customFormat="1" ht="33" customHeight="1" x14ac:dyDescent="0.3">
      <c r="A268" s="449" t="s">
        <v>0</v>
      </c>
      <c r="B268" s="331" t="s">
        <v>1</v>
      </c>
      <c r="C268" s="330" t="s">
        <v>2</v>
      </c>
      <c r="D268" s="330" t="s">
        <v>3</v>
      </c>
      <c r="E268" s="330" t="s">
        <v>4</v>
      </c>
      <c r="F268" s="330" t="s">
        <v>5</v>
      </c>
      <c r="G268" s="330" t="s">
        <v>6</v>
      </c>
      <c r="H268" s="332" t="s">
        <v>7</v>
      </c>
      <c r="I268" s="330" t="s">
        <v>8</v>
      </c>
      <c r="J268" s="330" t="s">
        <v>9</v>
      </c>
      <c r="K268" s="333" t="s">
        <v>10</v>
      </c>
      <c r="L268" s="334" t="s">
        <v>11</v>
      </c>
      <c r="M268" s="330" t="s">
        <v>12</v>
      </c>
      <c r="N268" s="335" t="s">
        <v>13</v>
      </c>
      <c r="O268" s="450" t="s">
        <v>63</v>
      </c>
      <c r="P268" s="450" t="s">
        <v>5528</v>
      </c>
    </row>
    <row r="269" spans="1:16" s="17" customFormat="1" ht="33" customHeight="1" x14ac:dyDescent="0.3">
      <c r="A269" s="446" t="s">
        <v>4503</v>
      </c>
      <c r="B269" s="412">
        <v>46139</v>
      </c>
      <c r="C269" s="4"/>
      <c r="D269" s="4"/>
      <c r="E269" s="31"/>
      <c r="F269" s="198"/>
      <c r="G269" s="16"/>
      <c r="H269" s="198"/>
      <c r="I269" s="31"/>
      <c r="J269" s="31"/>
      <c r="K269" s="125"/>
      <c r="L269" s="16"/>
      <c r="M269" s="8"/>
      <c r="N269" s="31" t="s">
        <v>4674</v>
      </c>
      <c r="O269" s="454"/>
      <c r="P269" s="886"/>
    </row>
    <row r="270" spans="1:16" s="17" customFormat="1" ht="33" customHeight="1" x14ac:dyDescent="0.3">
      <c r="A270" s="447"/>
      <c r="B270" s="412">
        <v>46139</v>
      </c>
      <c r="C270" s="4"/>
      <c r="D270" s="4"/>
      <c r="E270" s="298"/>
      <c r="F270" s="31"/>
      <c r="G270" s="16"/>
      <c r="H270" s="198"/>
      <c r="I270" s="31"/>
      <c r="J270" s="31"/>
      <c r="K270" s="125"/>
      <c r="L270" s="16"/>
      <c r="M270" s="8"/>
      <c r="N270" s="31"/>
      <c r="O270" s="454"/>
      <c r="P270" s="886"/>
    </row>
    <row r="271" spans="1:16" s="17" customFormat="1" ht="33" customHeight="1" x14ac:dyDescent="0.3">
      <c r="A271" s="447"/>
      <c r="B271" s="412">
        <v>46140</v>
      </c>
      <c r="C271" s="4"/>
      <c r="D271" s="4"/>
      <c r="E271" s="31"/>
      <c r="F271" s="31"/>
      <c r="G271" s="16"/>
      <c r="H271" s="198"/>
      <c r="I271" s="31"/>
      <c r="J271" s="198"/>
      <c r="K271" s="125"/>
      <c r="L271" s="16"/>
      <c r="M271" s="8"/>
      <c r="N271" s="444"/>
      <c r="O271" s="453"/>
      <c r="P271" s="886"/>
    </row>
    <row r="272" spans="1:16" s="17" customFormat="1" ht="33" customHeight="1" x14ac:dyDescent="0.3">
      <c r="A272" s="447"/>
      <c r="B272" s="412">
        <v>46140</v>
      </c>
      <c r="C272" s="4"/>
      <c r="D272" s="4"/>
      <c r="E272" s="31"/>
      <c r="F272" s="31"/>
      <c r="G272" s="16"/>
      <c r="H272" s="198"/>
      <c r="I272" s="31"/>
      <c r="J272" s="198"/>
      <c r="K272" s="125"/>
      <c r="L272" s="16"/>
      <c r="M272" s="8"/>
      <c r="N272" s="444"/>
      <c r="O272" s="453"/>
      <c r="P272" s="886"/>
    </row>
    <row r="273" spans="1:16" s="17" customFormat="1" ht="33" customHeight="1" x14ac:dyDescent="0.3">
      <c r="A273" s="447"/>
      <c r="B273" s="412">
        <v>46141</v>
      </c>
      <c r="C273" s="4"/>
      <c r="D273" s="4"/>
      <c r="E273" s="31"/>
      <c r="F273" s="31"/>
      <c r="G273" s="16"/>
      <c r="H273" s="198"/>
      <c r="I273" s="31"/>
      <c r="J273" s="198"/>
      <c r="K273" s="125"/>
      <c r="L273" s="16"/>
      <c r="M273" s="8"/>
      <c r="N273" s="31" t="s">
        <v>4674</v>
      </c>
      <c r="O273" s="453"/>
      <c r="P273" s="886"/>
    </row>
    <row r="274" spans="1:16" s="17" customFormat="1" ht="33" customHeight="1" x14ac:dyDescent="0.3">
      <c r="A274" s="447"/>
      <c r="B274" s="412">
        <v>46141</v>
      </c>
      <c r="C274" s="4"/>
      <c r="D274" s="4"/>
      <c r="E274" s="298"/>
      <c r="F274" s="31"/>
      <c r="G274" s="16"/>
      <c r="H274" s="198"/>
      <c r="I274" s="31"/>
      <c r="J274" s="31"/>
      <c r="K274" s="125"/>
      <c r="L274" s="16"/>
      <c r="M274" s="8"/>
      <c r="N274" s="31"/>
      <c r="O274" s="455"/>
      <c r="P274" s="886"/>
    </row>
    <row r="275" spans="1:16" s="17" customFormat="1" ht="33" customHeight="1" x14ac:dyDescent="0.3">
      <c r="A275" s="447"/>
      <c r="B275" s="412">
        <v>46142</v>
      </c>
      <c r="C275" s="4"/>
      <c r="D275" s="4"/>
      <c r="E275" s="31"/>
      <c r="F275" s="31"/>
      <c r="G275" s="16"/>
      <c r="H275" s="198"/>
      <c r="I275" s="31"/>
      <c r="J275" s="198"/>
      <c r="K275" s="125"/>
      <c r="L275" s="16"/>
      <c r="M275" s="8"/>
      <c r="N275" s="444"/>
      <c r="O275" s="453"/>
      <c r="P275" s="886"/>
    </row>
    <row r="276" spans="1:16" s="17" customFormat="1" ht="33" customHeight="1" x14ac:dyDescent="0.3">
      <c r="A276" s="447"/>
      <c r="B276" s="412">
        <v>46142</v>
      </c>
      <c r="C276" s="4"/>
      <c r="D276" s="4"/>
      <c r="E276" s="298"/>
      <c r="F276" s="31"/>
      <c r="G276" s="16"/>
      <c r="H276" s="198"/>
      <c r="I276" s="31"/>
      <c r="J276" s="31"/>
      <c r="K276" s="125"/>
      <c r="L276" s="16"/>
      <c r="M276" s="8"/>
      <c r="N276" s="31"/>
      <c r="O276" s="455"/>
      <c r="P276" s="886"/>
    </row>
    <row r="277" spans="1:16" s="17" customFormat="1" ht="33" customHeight="1" x14ac:dyDescent="0.3">
      <c r="A277" s="447"/>
      <c r="B277" s="412">
        <v>46143</v>
      </c>
      <c r="C277" s="4"/>
      <c r="D277" s="4"/>
      <c r="E277" s="31"/>
      <c r="F277" s="298"/>
      <c r="G277" s="16"/>
      <c r="H277" s="198"/>
      <c r="I277" s="31"/>
      <c r="J277" s="198"/>
      <c r="K277" s="125"/>
      <c r="L277" s="16"/>
      <c r="M277" s="8"/>
      <c r="N277" s="31" t="s">
        <v>4674</v>
      </c>
      <c r="O277" s="452"/>
      <c r="P277" s="886"/>
    </row>
    <row r="278" spans="1:16" s="17" customFormat="1" ht="33" customHeight="1" x14ac:dyDescent="0.3">
      <c r="A278" s="447"/>
      <c r="B278" s="412">
        <v>46143</v>
      </c>
      <c r="C278" s="4"/>
      <c r="D278" s="4"/>
      <c r="E278" s="31"/>
      <c r="F278" s="31"/>
      <c r="G278" s="16"/>
      <c r="H278" s="422" t="s">
        <v>5298</v>
      </c>
      <c r="I278" s="31"/>
      <c r="J278" s="31"/>
      <c r="K278" s="125"/>
      <c r="L278" s="16"/>
      <c r="M278" s="8"/>
      <c r="N278" s="31"/>
      <c r="O278" s="451"/>
      <c r="P278" s="886"/>
    </row>
    <row r="279" spans="1:16" s="17" customFormat="1" ht="33" customHeight="1" x14ac:dyDescent="0.3">
      <c r="A279" s="447"/>
      <c r="B279" s="412">
        <v>46144</v>
      </c>
      <c r="C279" s="4"/>
      <c r="D279" s="4"/>
      <c r="E279" s="31"/>
      <c r="F279" s="31"/>
      <c r="G279" s="16"/>
      <c r="H279" s="198"/>
      <c r="I279" s="198"/>
      <c r="J279" s="198"/>
      <c r="K279" s="125"/>
      <c r="L279" s="16"/>
      <c r="M279" s="8"/>
      <c r="N279" s="198"/>
      <c r="O279" s="461"/>
      <c r="P279" s="886"/>
    </row>
    <row r="280" spans="1:16" s="17" customFormat="1" ht="33" customHeight="1" x14ac:dyDescent="0.3">
      <c r="A280" s="448"/>
      <c r="B280" s="412">
        <v>46144</v>
      </c>
      <c r="C280" s="4"/>
      <c r="D280" s="4"/>
      <c r="E280" s="31"/>
      <c r="F280" s="31"/>
      <c r="G280" s="16"/>
      <c r="H280" s="198"/>
      <c r="I280" s="198"/>
      <c r="J280" s="198"/>
      <c r="K280" s="125"/>
      <c r="L280" s="16"/>
      <c r="M280" s="8"/>
      <c r="N280" s="31"/>
      <c r="O280" s="455"/>
      <c r="P280" s="886"/>
    </row>
    <row r="281" spans="1:16" s="17" customFormat="1" ht="33" customHeight="1" x14ac:dyDescent="0.3">
      <c r="A281" s="449" t="s">
        <v>0</v>
      </c>
      <c r="B281" s="331" t="s">
        <v>1</v>
      </c>
      <c r="C281" s="330" t="s">
        <v>2</v>
      </c>
      <c r="D281" s="330" t="s">
        <v>3</v>
      </c>
      <c r="E281" s="330" t="s">
        <v>4</v>
      </c>
      <c r="F281" s="330" t="s">
        <v>5</v>
      </c>
      <c r="G281" s="330" t="s">
        <v>6</v>
      </c>
      <c r="H281" s="332" t="s">
        <v>7</v>
      </c>
      <c r="I281" s="330" t="s">
        <v>8</v>
      </c>
      <c r="J281" s="330" t="s">
        <v>9</v>
      </c>
      <c r="K281" s="333" t="s">
        <v>10</v>
      </c>
      <c r="L281" s="334" t="s">
        <v>11</v>
      </c>
      <c r="M281" s="330" t="s">
        <v>12</v>
      </c>
      <c r="N281" s="335" t="s">
        <v>13</v>
      </c>
      <c r="O281" s="450" t="s">
        <v>63</v>
      </c>
      <c r="P281" s="450" t="s">
        <v>5528</v>
      </c>
    </row>
    <row r="282" spans="1:16" s="17" customFormat="1" ht="33" customHeight="1" x14ac:dyDescent="0.3">
      <c r="A282" s="446" t="s">
        <v>4504</v>
      </c>
      <c r="B282" s="412">
        <v>46146</v>
      </c>
      <c r="C282" s="4"/>
      <c r="D282" s="4"/>
      <c r="E282" s="31"/>
      <c r="F282" s="198"/>
      <c r="G282" s="16"/>
      <c r="H282" s="198"/>
      <c r="I282" s="31"/>
      <c r="J282" s="31"/>
      <c r="K282" s="125"/>
      <c r="L282" s="16"/>
      <c r="M282" s="8"/>
      <c r="N282" s="31" t="s">
        <v>4674</v>
      </c>
      <c r="O282" s="454"/>
      <c r="P282" s="886"/>
    </row>
    <row r="283" spans="1:16" s="17" customFormat="1" ht="33" customHeight="1" x14ac:dyDescent="0.3">
      <c r="A283" s="447"/>
      <c r="B283" s="412">
        <v>46146</v>
      </c>
      <c r="C283" s="4"/>
      <c r="D283" s="4"/>
      <c r="E283" s="298"/>
      <c r="F283" s="31"/>
      <c r="G283" s="16"/>
      <c r="H283" s="198"/>
      <c r="I283" s="31"/>
      <c r="J283" s="31"/>
      <c r="K283" s="125"/>
      <c r="L283" s="16"/>
      <c r="M283" s="8"/>
      <c r="N283" s="31"/>
      <c r="O283" s="454"/>
      <c r="P283" s="886"/>
    </row>
    <row r="284" spans="1:16" s="17" customFormat="1" ht="33" customHeight="1" x14ac:dyDescent="0.3">
      <c r="A284" s="447"/>
      <c r="B284" s="412">
        <v>46147</v>
      </c>
      <c r="C284" s="4"/>
      <c r="D284" s="4"/>
      <c r="E284" s="31"/>
      <c r="F284" s="31"/>
      <c r="G284" s="16"/>
      <c r="H284" s="422" t="s">
        <v>4762</v>
      </c>
      <c r="I284" s="31"/>
      <c r="J284" s="198"/>
      <c r="K284" s="125"/>
      <c r="L284" s="16"/>
      <c r="M284" s="8"/>
      <c r="N284" s="444"/>
      <c r="O284" s="453"/>
      <c r="P284" s="886"/>
    </row>
    <row r="285" spans="1:16" s="17" customFormat="1" ht="33" customHeight="1" x14ac:dyDescent="0.3">
      <c r="A285" s="447"/>
      <c r="B285" s="412">
        <v>46147</v>
      </c>
      <c r="C285" s="4"/>
      <c r="D285" s="4"/>
      <c r="E285" s="31"/>
      <c r="F285" s="31"/>
      <c r="G285" s="16"/>
      <c r="H285" s="198"/>
      <c r="I285" s="31"/>
      <c r="J285" s="198"/>
      <c r="K285" s="125"/>
      <c r="L285" s="16"/>
      <c r="M285" s="8"/>
      <c r="N285" s="444"/>
      <c r="O285" s="453"/>
      <c r="P285" s="886"/>
    </row>
    <row r="286" spans="1:16" s="17" customFormat="1" ht="33" customHeight="1" x14ac:dyDescent="0.3">
      <c r="A286" s="447"/>
      <c r="B286" s="412">
        <v>46148</v>
      </c>
      <c r="C286" s="4" t="s">
        <v>113</v>
      </c>
      <c r="D286" s="4" t="s">
        <v>5267</v>
      </c>
      <c r="E286" s="522" t="s">
        <v>5277</v>
      </c>
      <c r="F286" s="522" t="s">
        <v>5278</v>
      </c>
      <c r="G286" s="16" t="s">
        <v>5279</v>
      </c>
      <c r="H286" s="523" t="s">
        <v>5271</v>
      </c>
      <c r="I286" s="522"/>
      <c r="J286" s="198"/>
      <c r="K286" s="125"/>
      <c r="L286" s="16"/>
      <c r="M286" s="8"/>
      <c r="N286" s="31" t="s">
        <v>4674</v>
      </c>
      <c r="O286" s="453"/>
      <c r="P286" s="886"/>
    </row>
    <row r="287" spans="1:16" s="17" customFormat="1" ht="33" customHeight="1" x14ac:dyDescent="0.3">
      <c r="A287" s="447"/>
      <c r="B287" s="412">
        <v>46148</v>
      </c>
      <c r="C287" s="4"/>
      <c r="D287" s="4"/>
      <c r="E287" s="298"/>
      <c r="F287" s="31"/>
      <c r="G287" s="16"/>
      <c r="H287" s="198"/>
      <c r="I287" s="31"/>
      <c r="J287" s="31"/>
      <c r="K287" s="125"/>
      <c r="L287" s="16"/>
      <c r="M287" s="8"/>
      <c r="N287" s="31"/>
      <c r="O287" s="455"/>
      <c r="P287" s="886"/>
    </row>
    <row r="288" spans="1:16" s="17" customFormat="1" ht="33" customHeight="1" x14ac:dyDescent="0.3">
      <c r="A288" s="447"/>
      <c r="B288" s="412">
        <v>46149</v>
      </c>
      <c r="C288" s="4" t="s">
        <v>113</v>
      </c>
      <c r="D288" s="4" t="s">
        <v>5267</v>
      </c>
      <c r="E288" s="522" t="s">
        <v>5277</v>
      </c>
      <c r="F288" s="522" t="s">
        <v>5278</v>
      </c>
      <c r="G288" s="16" t="s">
        <v>5270</v>
      </c>
      <c r="H288" s="523" t="s">
        <v>5271</v>
      </c>
      <c r="I288" s="31"/>
      <c r="J288" s="198"/>
      <c r="K288" s="125"/>
      <c r="L288" s="16"/>
      <c r="M288" s="8"/>
      <c r="N288" s="444"/>
      <c r="O288" s="453"/>
      <c r="P288" s="886"/>
    </row>
    <row r="289" spans="1:16" s="17" customFormat="1" ht="33" customHeight="1" x14ac:dyDescent="0.3">
      <c r="A289" s="447"/>
      <c r="B289" s="412">
        <v>46149</v>
      </c>
      <c r="C289" s="4" t="s">
        <v>113</v>
      </c>
      <c r="D289" s="4" t="s">
        <v>5267</v>
      </c>
      <c r="E289" s="522" t="s">
        <v>5277</v>
      </c>
      <c r="F289" s="522" t="s">
        <v>5278</v>
      </c>
      <c r="G289" s="16" t="s">
        <v>5280</v>
      </c>
      <c r="H289" s="523" t="s">
        <v>5271</v>
      </c>
      <c r="I289" s="31"/>
      <c r="J289" s="31"/>
      <c r="K289" s="125"/>
      <c r="L289" s="16"/>
      <c r="M289" s="8"/>
      <c r="N289" s="31"/>
      <c r="O289" s="455"/>
      <c r="P289" s="886"/>
    </row>
    <row r="290" spans="1:16" s="17" customFormat="1" ht="33" customHeight="1" x14ac:dyDescent="0.3">
      <c r="A290" s="447"/>
      <c r="B290" s="412">
        <v>46150</v>
      </c>
      <c r="C290" s="4" t="s">
        <v>113</v>
      </c>
      <c r="D290" s="4" t="s">
        <v>5267</v>
      </c>
      <c r="E290" s="522" t="s">
        <v>5277</v>
      </c>
      <c r="F290" s="522" t="s">
        <v>5278</v>
      </c>
      <c r="G290" s="16" t="s">
        <v>5281</v>
      </c>
      <c r="H290" s="523" t="s">
        <v>5271</v>
      </c>
      <c r="I290" s="31"/>
      <c r="J290" s="198"/>
      <c r="K290" s="125"/>
      <c r="L290" s="16"/>
      <c r="M290" s="8"/>
      <c r="N290" s="31" t="s">
        <v>4674</v>
      </c>
      <c r="O290" s="452"/>
      <c r="P290" s="886"/>
    </row>
    <row r="291" spans="1:16" s="17" customFormat="1" ht="33" customHeight="1" x14ac:dyDescent="0.3">
      <c r="A291" s="447"/>
      <c r="B291" s="412">
        <v>46150</v>
      </c>
      <c r="C291" s="4"/>
      <c r="D291" s="4"/>
      <c r="E291" s="31"/>
      <c r="F291" s="31"/>
      <c r="G291" s="16"/>
      <c r="H291" s="198"/>
      <c r="I291" s="31"/>
      <c r="J291" s="31"/>
      <c r="K291" s="125"/>
      <c r="L291" s="16"/>
      <c r="M291" s="8"/>
      <c r="N291" s="31"/>
      <c r="O291" s="451"/>
      <c r="P291" s="886"/>
    </row>
    <row r="292" spans="1:16" s="17" customFormat="1" ht="33" customHeight="1" x14ac:dyDescent="0.3">
      <c r="A292" s="447"/>
      <c r="B292" s="412">
        <v>46151</v>
      </c>
      <c r="C292" s="4"/>
      <c r="D292" s="4"/>
      <c r="E292" s="31"/>
      <c r="F292" s="31"/>
      <c r="G292" s="16"/>
      <c r="H292" s="198"/>
      <c r="I292" s="198"/>
      <c r="J292" s="198"/>
      <c r="K292" s="125"/>
      <c r="L292" s="16"/>
      <c r="M292" s="8"/>
      <c r="N292" s="198"/>
      <c r="O292" s="461"/>
      <c r="P292" s="886"/>
    </row>
    <row r="293" spans="1:16" s="17" customFormat="1" ht="33" customHeight="1" x14ac:dyDescent="0.3">
      <c r="A293" s="448"/>
      <c r="B293" s="412">
        <v>46151</v>
      </c>
      <c r="C293" s="4"/>
      <c r="D293" s="4"/>
      <c r="E293" s="31"/>
      <c r="F293" s="31"/>
      <c r="G293" s="16"/>
      <c r="H293" s="198"/>
      <c r="I293" s="198"/>
      <c r="J293" s="198"/>
      <c r="K293" s="125"/>
      <c r="L293" s="16"/>
      <c r="M293" s="8"/>
      <c r="N293" s="31"/>
      <c r="O293" s="455"/>
      <c r="P293" s="886"/>
    </row>
    <row r="294" spans="1:16" s="17" customFormat="1" ht="33" customHeight="1" x14ac:dyDescent="0.3">
      <c r="A294" s="449" t="s">
        <v>0</v>
      </c>
      <c r="B294" s="331" t="s">
        <v>1</v>
      </c>
      <c r="C294" s="330" t="s">
        <v>2</v>
      </c>
      <c r="D294" s="330" t="s">
        <v>3</v>
      </c>
      <c r="E294" s="330" t="s">
        <v>4</v>
      </c>
      <c r="F294" s="330" t="s">
        <v>5</v>
      </c>
      <c r="G294" s="330" t="s">
        <v>6</v>
      </c>
      <c r="H294" s="332" t="s">
        <v>7</v>
      </c>
      <c r="I294" s="330" t="s">
        <v>8</v>
      </c>
      <c r="J294" s="330" t="s">
        <v>9</v>
      </c>
      <c r="K294" s="333" t="s">
        <v>10</v>
      </c>
      <c r="L294" s="334" t="s">
        <v>11</v>
      </c>
      <c r="M294" s="330" t="s">
        <v>12</v>
      </c>
      <c r="N294" s="335" t="s">
        <v>13</v>
      </c>
      <c r="O294" s="450" t="s">
        <v>63</v>
      </c>
      <c r="P294" s="450" t="s">
        <v>5528</v>
      </c>
    </row>
    <row r="295" spans="1:16" s="17" customFormat="1" ht="33" customHeight="1" x14ac:dyDescent="0.3">
      <c r="A295" s="446" t="s">
        <v>4505</v>
      </c>
      <c r="B295" s="412">
        <v>46153</v>
      </c>
      <c r="C295" s="4"/>
      <c r="D295" s="4"/>
      <c r="E295" s="31"/>
      <c r="F295" s="198"/>
      <c r="G295" s="16"/>
      <c r="H295" s="198"/>
      <c r="I295" s="31"/>
      <c r="J295" s="31"/>
      <c r="K295" s="125"/>
      <c r="L295" s="16"/>
      <c r="M295" s="8"/>
      <c r="N295" s="31" t="s">
        <v>4674</v>
      </c>
      <c r="O295" s="454"/>
      <c r="P295" s="886"/>
    </row>
    <row r="296" spans="1:16" s="17" customFormat="1" ht="33" customHeight="1" x14ac:dyDescent="0.3">
      <c r="A296" s="447"/>
      <c r="B296" s="412">
        <v>46153</v>
      </c>
      <c r="C296" s="4"/>
      <c r="D296" s="4"/>
      <c r="E296" s="298"/>
      <c r="F296" s="31"/>
      <c r="G296" s="16"/>
      <c r="H296" s="198"/>
      <c r="I296" s="31"/>
      <c r="J296" s="31"/>
      <c r="K296" s="125"/>
      <c r="L296" s="16"/>
      <c r="M296" s="8"/>
      <c r="N296" s="31"/>
      <c r="O296" s="454"/>
      <c r="P296" s="886"/>
    </row>
    <row r="297" spans="1:16" s="17" customFormat="1" ht="33" customHeight="1" x14ac:dyDescent="0.3">
      <c r="A297" s="447"/>
      <c r="B297" s="412">
        <v>46154</v>
      </c>
      <c r="C297" s="4"/>
      <c r="D297" s="4"/>
      <c r="E297" s="31"/>
      <c r="F297" s="31"/>
      <c r="G297" s="16"/>
      <c r="H297" s="198"/>
      <c r="I297" s="31"/>
      <c r="J297" s="198"/>
      <c r="K297" s="125"/>
      <c r="L297" s="16"/>
      <c r="M297" s="8"/>
      <c r="N297" s="444"/>
      <c r="O297" s="453"/>
      <c r="P297" s="886"/>
    </row>
    <row r="298" spans="1:16" s="17" customFormat="1" ht="33" customHeight="1" x14ac:dyDescent="0.3">
      <c r="A298" s="447"/>
      <c r="B298" s="412">
        <v>46154</v>
      </c>
      <c r="C298" s="4"/>
      <c r="D298" s="4"/>
      <c r="E298" s="31"/>
      <c r="F298" s="31"/>
      <c r="G298" s="16"/>
      <c r="H298" s="198"/>
      <c r="I298" s="31"/>
      <c r="J298" s="198"/>
      <c r="K298" s="125"/>
      <c r="L298" s="16"/>
      <c r="M298" s="8"/>
      <c r="N298" s="444"/>
      <c r="O298" s="453"/>
      <c r="P298" s="886"/>
    </row>
    <row r="299" spans="1:16" s="17" customFormat="1" ht="33" customHeight="1" x14ac:dyDescent="0.3">
      <c r="A299" s="447"/>
      <c r="B299" s="412">
        <v>46155</v>
      </c>
      <c r="C299" s="4"/>
      <c r="D299" s="4"/>
      <c r="E299" s="31"/>
      <c r="F299" s="31"/>
      <c r="G299" s="16"/>
      <c r="H299" s="198"/>
      <c r="I299" s="31"/>
      <c r="J299" s="198"/>
      <c r="K299" s="125"/>
      <c r="L299" s="16"/>
      <c r="M299" s="8"/>
      <c r="N299" s="31" t="s">
        <v>4674</v>
      </c>
      <c r="O299" s="453"/>
      <c r="P299" s="886"/>
    </row>
    <row r="300" spans="1:16" s="17" customFormat="1" ht="33" customHeight="1" x14ac:dyDescent="0.3">
      <c r="A300" s="447"/>
      <c r="B300" s="412">
        <v>46155</v>
      </c>
      <c r="C300" s="4"/>
      <c r="D300" s="4"/>
      <c r="E300" s="298"/>
      <c r="F300" s="31"/>
      <c r="G300" s="16"/>
      <c r="H300" s="198"/>
      <c r="I300" s="31"/>
      <c r="J300" s="31"/>
      <c r="K300" s="125"/>
      <c r="L300" s="16"/>
      <c r="M300" s="8"/>
      <c r="N300" s="31"/>
      <c r="O300" s="455"/>
      <c r="P300" s="886"/>
    </row>
    <row r="301" spans="1:16" s="17" customFormat="1" ht="33" customHeight="1" x14ac:dyDescent="0.3">
      <c r="A301" s="447"/>
      <c r="B301" s="412">
        <v>46156</v>
      </c>
      <c r="C301" s="4"/>
      <c r="D301" s="4"/>
      <c r="E301" s="31"/>
      <c r="F301" s="31"/>
      <c r="G301" s="16"/>
      <c r="H301" s="198"/>
      <c r="I301" s="31"/>
      <c r="J301" s="198"/>
      <c r="K301" s="125"/>
      <c r="L301" s="16"/>
      <c r="M301" s="8"/>
      <c r="N301" s="444"/>
      <c r="O301" s="453"/>
      <c r="P301" s="886"/>
    </row>
    <row r="302" spans="1:16" s="17" customFormat="1" ht="33" customHeight="1" x14ac:dyDescent="0.3">
      <c r="A302" s="447"/>
      <c r="B302" s="412">
        <v>46156</v>
      </c>
      <c r="C302" s="4"/>
      <c r="D302" s="4"/>
      <c r="E302" s="298"/>
      <c r="F302" s="31"/>
      <c r="G302" s="16"/>
      <c r="H302" s="198"/>
      <c r="I302" s="31"/>
      <c r="J302" s="31"/>
      <c r="K302" s="125"/>
      <c r="L302" s="16"/>
      <c r="M302" s="8"/>
      <c r="N302" s="31"/>
      <c r="O302" s="455"/>
      <c r="P302" s="886"/>
    </row>
    <row r="303" spans="1:16" s="17" customFormat="1" ht="33" customHeight="1" x14ac:dyDescent="0.3">
      <c r="A303" s="447"/>
      <c r="B303" s="412">
        <v>46157</v>
      </c>
      <c r="C303" s="188" t="s">
        <v>4510</v>
      </c>
      <c r="D303" s="188" t="s">
        <v>4511</v>
      </c>
      <c r="E303" s="245" t="s">
        <v>4520</v>
      </c>
      <c r="F303" s="440" t="s">
        <v>4521</v>
      </c>
      <c r="G303" s="398" t="s">
        <v>4512</v>
      </c>
      <c r="H303" s="245" t="s">
        <v>4515</v>
      </c>
      <c r="I303" s="245" t="s">
        <v>4908</v>
      </c>
      <c r="J303" s="245"/>
      <c r="K303" s="246" t="s">
        <v>4513</v>
      </c>
      <c r="L303" s="398"/>
      <c r="M303" s="417"/>
      <c r="N303" s="31" t="s">
        <v>4674</v>
      </c>
      <c r="O303" s="465" t="s">
        <v>4514</v>
      </c>
      <c r="P303" s="886"/>
    </row>
    <row r="304" spans="1:16" s="17" customFormat="1" ht="33" customHeight="1" x14ac:dyDescent="0.3">
      <c r="A304" s="447"/>
      <c r="B304" s="412">
        <v>46157</v>
      </c>
      <c r="C304" s="4"/>
      <c r="D304" s="4"/>
      <c r="E304" s="31"/>
      <c r="F304" s="31"/>
      <c r="G304" s="16"/>
      <c r="H304" s="198"/>
      <c r="I304" s="31"/>
      <c r="J304" s="31"/>
      <c r="K304" s="125"/>
      <c r="L304" s="16"/>
      <c r="M304" s="8"/>
      <c r="N304" s="31"/>
      <c r="O304" s="451"/>
      <c r="P304" s="886"/>
    </row>
    <row r="305" spans="1:16" s="17" customFormat="1" ht="33" customHeight="1" x14ac:dyDescent="0.3">
      <c r="A305" s="447"/>
      <c r="B305" s="412">
        <v>46158</v>
      </c>
      <c r="C305" s="4"/>
      <c r="D305" s="4"/>
      <c r="E305" s="31"/>
      <c r="F305" s="31"/>
      <c r="G305" s="16"/>
      <c r="H305" s="198"/>
      <c r="I305" s="198"/>
      <c r="J305" s="198"/>
      <c r="K305" s="125"/>
      <c r="L305" s="16"/>
      <c r="M305" s="8"/>
      <c r="N305" s="198"/>
      <c r="O305" s="461"/>
      <c r="P305" s="886"/>
    </row>
    <row r="306" spans="1:16" s="17" customFormat="1" ht="33" customHeight="1" x14ac:dyDescent="0.3">
      <c r="A306" s="448"/>
      <c r="B306" s="412">
        <v>46158</v>
      </c>
      <c r="C306" s="4"/>
      <c r="D306" s="4"/>
      <c r="E306" s="31"/>
      <c r="F306" s="31"/>
      <c r="G306" s="16"/>
      <c r="H306" s="198"/>
      <c r="I306" s="198"/>
      <c r="J306" s="198"/>
      <c r="K306" s="125"/>
      <c r="L306" s="16"/>
      <c r="M306" s="8"/>
      <c r="N306" s="31"/>
      <c r="O306" s="455"/>
      <c r="P306" s="886"/>
    </row>
    <row r="307" spans="1:16" s="17" customFormat="1" ht="33" customHeight="1" x14ac:dyDescent="0.3">
      <c r="A307" s="449" t="s">
        <v>0</v>
      </c>
      <c r="B307" s="331" t="s">
        <v>1</v>
      </c>
      <c r="C307" s="330" t="s">
        <v>2</v>
      </c>
      <c r="D307" s="330" t="s">
        <v>3</v>
      </c>
      <c r="E307" s="330" t="s">
        <v>4</v>
      </c>
      <c r="F307" s="330" t="s">
        <v>5</v>
      </c>
      <c r="G307" s="330" t="s">
        <v>6</v>
      </c>
      <c r="H307" s="332" t="s">
        <v>7</v>
      </c>
      <c r="I307" s="330" t="s">
        <v>8</v>
      </c>
      <c r="J307" s="330" t="s">
        <v>9</v>
      </c>
      <c r="K307" s="333" t="s">
        <v>10</v>
      </c>
      <c r="L307" s="334" t="s">
        <v>11</v>
      </c>
      <c r="M307" s="330" t="s">
        <v>12</v>
      </c>
      <c r="N307" s="335" t="s">
        <v>13</v>
      </c>
      <c r="O307" s="450" t="s">
        <v>63</v>
      </c>
      <c r="P307" s="450" t="s">
        <v>5528</v>
      </c>
    </row>
    <row r="308" spans="1:16" s="17" customFormat="1" ht="33" customHeight="1" x14ac:dyDescent="0.3">
      <c r="A308" s="446" t="s">
        <v>4506</v>
      </c>
      <c r="B308" s="412">
        <v>46160</v>
      </c>
      <c r="C308" s="4"/>
      <c r="D308" s="4"/>
      <c r="E308" s="31"/>
      <c r="F308" s="198"/>
      <c r="G308" s="16"/>
      <c r="H308" s="198"/>
      <c r="I308" s="31"/>
      <c r="J308" s="31"/>
      <c r="K308" s="125"/>
      <c r="L308" s="16"/>
      <c r="M308" s="8"/>
      <c r="N308" s="31" t="s">
        <v>4674</v>
      </c>
      <c r="O308" s="454"/>
      <c r="P308" s="886"/>
    </row>
    <row r="309" spans="1:16" s="17" customFormat="1" ht="33" customHeight="1" x14ac:dyDescent="0.3">
      <c r="A309" s="447"/>
      <c r="B309" s="412">
        <v>46160</v>
      </c>
      <c r="C309" s="4"/>
      <c r="D309" s="4"/>
      <c r="E309" s="298"/>
      <c r="F309" s="31"/>
      <c r="G309" s="16"/>
      <c r="H309" s="198"/>
      <c r="I309" s="31"/>
      <c r="J309" s="31"/>
      <c r="K309" s="125"/>
      <c r="L309" s="16"/>
      <c r="M309" s="8"/>
      <c r="N309" s="31"/>
      <c r="O309" s="454"/>
      <c r="P309" s="886"/>
    </row>
    <row r="310" spans="1:16" s="17" customFormat="1" ht="33" customHeight="1" x14ac:dyDescent="0.3">
      <c r="A310" s="447"/>
      <c r="B310" s="412">
        <v>46161</v>
      </c>
      <c r="C310" s="4"/>
      <c r="D310" s="4"/>
      <c r="E310" s="31"/>
      <c r="F310" s="31"/>
      <c r="G310" s="16"/>
      <c r="H310" s="198"/>
      <c r="I310" s="31"/>
      <c r="J310" s="198"/>
      <c r="K310" s="125"/>
      <c r="L310" s="16"/>
      <c r="M310" s="8"/>
      <c r="N310" s="444"/>
      <c r="O310" s="453"/>
      <c r="P310" s="886"/>
    </row>
    <row r="311" spans="1:16" s="17" customFormat="1" ht="33" customHeight="1" x14ac:dyDescent="0.3">
      <c r="A311" s="447"/>
      <c r="B311" s="412">
        <v>46161</v>
      </c>
      <c r="C311" s="4"/>
      <c r="D311" s="4"/>
      <c r="E311" s="31"/>
      <c r="F311" s="31"/>
      <c r="G311" s="16"/>
      <c r="H311" s="198"/>
      <c r="I311" s="31"/>
      <c r="J311" s="198"/>
      <c r="K311" s="125"/>
      <c r="L311" s="16"/>
      <c r="M311" s="8"/>
      <c r="N311" s="444"/>
      <c r="O311" s="453"/>
      <c r="P311" s="886"/>
    </row>
    <row r="312" spans="1:16" s="17" customFormat="1" ht="33" customHeight="1" x14ac:dyDescent="0.3">
      <c r="A312" s="447"/>
      <c r="B312" s="412">
        <v>46162</v>
      </c>
      <c r="C312" s="4"/>
      <c r="D312" s="4"/>
      <c r="E312" s="31"/>
      <c r="F312" s="31"/>
      <c r="G312" s="16"/>
      <c r="H312" s="198"/>
      <c r="I312" s="31"/>
      <c r="J312" s="198"/>
      <c r="K312" s="125"/>
      <c r="L312" s="16"/>
      <c r="M312" s="8"/>
      <c r="N312" s="31" t="s">
        <v>4674</v>
      </c>
      <c r="O312" s="453"/>
      <c r="P312" s="886"/>
    </row>
    <row r="313" spans="1:16" s="17" customFormat="1" ht="33" customHeight="1" x14ac:dyDescent="0.3">
      <c r="A313" s="447"/>
      <c r="B313" s="412">
        <v>46162</v>
      </c>
      <c r="C313" s="4"/>
      <c r="D313" s="4"/>
      <c r="E313" s="298"/>
      <c r="F313" s="31"/>
      <c r="G313" s="16"/>
      <c r="H313" s="198"/>
      <c r="I313" s="31"/>
      <c r="J313" s="31"/>
      <c r="K313" s="125"/>
      <c r="L313" s="16"/>
      <c r="M313" s="8"/>
      <c r="N313" s="31"/>
      <c r="O313" s="455"/>
      <c r="P313" s="886"/>
    </row>
    <row r="314" spans="1:16" s="17" customFormat="1" ht="33" customHeight="1" x14ac:dyDescent="0.3">
      <c r="A314" s="447"/>
      <c r="B314" s="412">
        <v>46163</v>
      </c>
      <c r="C314" s="4"/>
      <c r="D314" s="4"/>
      <c r="E314" s="31"/>
      <c r="F314" s="31"/>
      <c r="G314" s="16"/>
      <c r="H314" s="198"/>
      <c r="I314" s="31"/>
      <c r="J314" s="198"/>
      <c r="K314" s="125"/>
      <c r="L314" s="16"/>
      <c r="M314" s="8"/>
      <c r="N314" s="444"/>
      <c r="O314" s="453"/>
      <c r="P314" s="886"/>
    </row>
    <row r="315" spans="1:16" s="17" customFormat="1" ht="33" customHeight="1" x14ac:dyDescent="0.3">
      <c r="A315" s="447"/>
      <c r="B315" s="412">
        <v>46163</v>
      </c>
      <c r="C315" s="4"/>
      <c r="D315" s="4"/>
      <c r="E315" s="298"/>
      <c r="F315" s="31"/>
      <c r="G315" s="16"/>
      <c r="H315" s="198"/>
      <c r="I315" s="31"/>
      <c r="J315" s="31"/>
      <c r="K315" s="125"/>
      <c r="L315" s="16"/>
      <c r="M315" s="8"/>
      <c r="N315" s="31"/>
      <c r="O315" s="455"/>
      <c r="P315" s="886"/>
    </row>
    <row r="316" spans="1:16" s="17" customFormat="1" ht="33" customHeight="1" x14ac:dyDescent="0.3">
      <c r="A316" s="447"/>
      <c r="B316" s="412">
        <v>46164</v>
      </c>
      <c r="C316" s="4"/>
      <c r="D316" s="4"/>
      <c r="E316" s="31"/>
      <c r="F316" s="298"/>
      <c r="G316" s="16"/>
      <c r="H316" s="198"/>
      <c r="I316" s="31"/>
      <c r="J316" s="198"/>
      <c r="K316" s="125"/>
      <c r="L316" s="16"/>
      <c r="M316" s="8"/>
      <c r="N316" s="31" t="s">
        <v>4674</v>
      </c>
      <c r="O316" s="452"/>
      <c r="P316" s="886"/>
    </row>
    <row r="317" spans="1:16" s="17" customFormat="1" ht="33" customHeight="1" x14ac:dyDescent="0.3">
      <c r="A317" s="447"/>
      <c r="B317" s="412">
        <v>46164</v>
      </c>
      <c r="C317" s="4"/>
      <c r="D317" s="4"/>
      <c r="E317" s="31"/>
      <c r="F317" s="31"/>
      <c r="G317" s="16"/>
      <c r="H317" s="198"/>
      <c r="I317" s="31"/>
      <c r="J317" s="31"/>
      <c r="K317" s="125"/>
      <c r="L317" s="16"/>
      <c r="M317" s="8"/>
      <c r="N317" s="31"/>
      <c r="O317" s="451"/>
      <c r="P317" s="886"/>
    </row>
    <row r="318" spans="1:16" s="17" customFormat="1" ht="33" customHeight="1" x14ac:dyDescent="0.3">
      <c r="A318" s="447"/>
      <c r="B318" s="412">
        <v>46165</v>
      </c>
      <c r="C318" s="4"/>
      <c r="D318" s="4"/>
      <c r="E318" s="31"/>
      <c r="F318" s="31"/>
      <c r="G318" s="16"/>
      <c r="H318" s="198"/>
      <c r="I318" s="198"/>
      <c r="J318" s="198"/>
      <c r="K318" s="125"/>
      <c r="L318" s="16"/>
      <c r="M318" s="8"/>
      <c r="N318" s="198"/>
      <c r="O318" s="461"/>
      <c r="P318" s="886"/>
    </row>
    <row r="319" spans="1:16" s="17" customFormat="1" ht="33" customHeight="1" x14ac:dyDescent="0.3">
      <c r="A319" s="448"/>
      <c r="B319" s="412">
        <v>46165</v>
      </c>
      <c r="C319" s="4"/>
      <c r="D319" s="4"/>
      <c r="E319" s="31"/>
      <c r="F319" s="31"/>
      <c r="G319" s="16"/>
      <c r="H319" s="198"/>
      <c r="I319" s="198"/>
      <c r="J319" s="198"/>
      <c r="K319" s="125"/>
      <c r="L319" s="16"/>
      <c r="M319" s="8"/>
      <c r="N319" s="31"/>
      <c r="O319" s="455"/>
      <c r="P319" s="886"/>
    </row>
    <row r="320" spans="1:16" s="17" customFormat="1" ht="33" customHeight="1" x14ac:dyDescent="0.3">
      <c r="A320" s="449" t="s">
        <v>0</v>
      </c>
      <c r="B320" s="331" t="s">
        <v>1</v>
      </c>
      <c r="C320" s="330" t="s">
        <v>2</v>
      </c>
      <c r="D320" s="330" t="s">
        <v>3</v>
      </c>
      <c r="E320" s="330" t="s">
        <v>4</v>
      </c>
      <c r="F320" s="330" t="s">
        <v>5</v>
      </c>
      <c r="G320" s="330" t="s">
        <v>6</v>
      </c>
      <c r="H320" s="332" t="s">
        <v>7</v>
      </c>
      <c r="I320" s="330" t="s">
        <v>8</v>
      </c>
      <c r="J320" s="330" t="s">
        <v>9</v>
      </c>
      <c r="K320" s="333" t="s">
        <v>10</v>
      </c>
      <c r="L320" s="334" t="s">
        <v>11</v>
      </c>
      <c r="M320" s="330" t="s">
        <v>12</v>
      </c>
      <c r="N320" s="335" t="s">
        <v>13</v>
      </c>
      <c r="O320" s="450" t="s">
        <v>63</v>
      </c>
      <c r="P320" s="450" t="s">
        <v>5528</v>
      </c>
    </row>
    <row r="321" spans="1:16" s="17" customFormat="1" ht="33" customHeight="1" x14ac:dyDescent="0.3">
      <c r="A321" s="446" t="s">
        <v>4507</v>
      </c>
      <c r="B321" s="412">
        <v>46167</v>
      </c>
      <c r="C321" s="4"/>
      <c r="D321" s="4"/>
      <c r="E321" s="31"/>
      <c r="F321" s="198"/>
      <c r="G321" s="16"/>
      <c r="H321" s="422" t="s">
        <v>4673</v>
      </c>
      <c r="I321" s="31"/>
      <c r="J321" s="31"/>
      <c r="K321" s="125"/>
      <c r="L321" s="16"/>
      <c r="M321" s="8"/>
      <c r="N321" s="31"/>
      <c r="O321" s="454"/>
      <c r="P321" s="886"/>
    </row>
    <row r="322" spans="1:16" s="17" customFormat="1" ht="33" customHeight="1" x14ac:dyDescent="0.3">
      <c r="A322" s="447"/>
      <c r="B322" s="412">
        <v>46167</v>
      </c>
      <c r="C322" s="4"/>
      <c r="D322" s="4"/>
      <c r="E322" s="298"/>
      <c r="F322" s="31"/>
      <c r="G322" s="16"/>
      <c r="H322" s="198"/>
      <c r="I322" s="31"/>
      <c r="J322" s="31"/>
      <c r="K322" s="125"/>
      <c r="L322" s="16"/>
      <c r="M322" s="8"/>
      <c r="N322" s="31"/>
      <c r="O322" s="454"/>
      <c r="P322" s="886"/>
    </row>
    <row r="323" spans="1:16" s="17" customFormat="1" ht="33" customHeight="1" x14ac:dyDescent="0.3">
      <c r="A323" s="447"/>
      <c r="B323" s="412">
        <v>46168</v>
      </c>
      <c r="C323" s="4"/>
      <c r="D323" s="4"/>
      <c r="E323" s="31"/>
      <c r="F323" s="31"/>
      <c r="G323" s="16"/>
      <c r="H323" s="198"/>
      <c r="I323" s="31"/>
      <c r="J323" s="198"/>
      <c r="K323" s="125"/>
      <c r="L323" s="16"/>
      <c r="M323" s="8"/>
      <c r="N323" s="444"/>
      <c r="O323" s="453"/>
      <c r="P323" s="886"/>
    </row>
    <row r="324" spans="1:16" s="17" customFormat="1" ht="33" customHeight="1" x14ac:dyDescent="0.3">
      <c r="A324" s="447"/>
      <c r="B324" s="412">
        <v>46168</v>
      </c>
      <c r="C324" s="4"/>
      <c r="D324" s="4"/>
      <c r="E324" s="31"/>
      <c r="F324" s="31"/>
      <c r="G324" s="16"/>
      <c r="H324" s="198"/>
      <c r="I324" s="31"/>
      <c r="J324" s="198"/>
      <c r="K324" s="125"/>
      <c r="L324" s="16"/>
      <c r="M324" s="8"/>
      <c r="N324" s="444"/>
      <c r="O324" s="453"/>
      <c r="P324" s="886"/>
    </row>
    <row r="325" spans="1:16" s="17" customFormat="1" ht="33" customHeight="1" x14ac:dyDescent="0.3">
      <c r="A325" s="447"/>
      <c r="B325" s="412">
        <v>46169</v>
      </c>
      <c r="C325" s="4"/>
      <c r="D325" s="4"/>
      <c r="E325" s="31"/>
      <c r="F325" s="31"/>
      <c r="G325" s="16"/>
      <c r="H325" s="198"/>
      <c r="I325" s="31"/>
      <c r="J325" s="198"/>
      <c r="K325" s="125"/>
      <c r="L325" s="16"/>
      <c r="M325" s="8"/>
      <c r="N325" s="444"/>
      <c r="O325" s="453"/>
      <c r="P325" s="886"/>
    </row>
    <row r="326" spans="1:16" s="17" customFormat="1" ht="33" customHeight="1" x14ac:dyDescent="0.3">
      <c r="A326" s="447"/>
      <c r="B326" s="412">
        <v>46169</v>
      </c>
      <c r="C326" s="4"/>
      <c r="D326" s="4"/>
      <c r="E326" s="298"/>
      <c r="F326" s="31"/>
      <c r="G326" s="16"/>
      <c r="H326" s="198"/>
      <c r="I326" s="31"/>
      <c r="J326" s="31"/>
      <c r="K326" s="125"/>
      <c r="L326" s="16"/>
      <c r="M326" s="8"/>
      <c r="N326" s="31"/>
      <c r="O326" s="455"/>
      <c r="P326" s="886"/>
    </row>
    <row r="327" spans="1:16" s="17" customFormat="1" ht="33" customHeight="1" x14ac:dyDescent="0.3">
      <c r="A327" s="447"/>
      <c r="B327" s="412">
        <v>46170</v>
      </c>
      <c r="C327" s="4"/>
      <c r="D327" s="4"/>
      <c r="E327" s="31"/>
      <c r="F327" s="31"/>
      <c r="G327" s="16"/>
      <c r="H327" s="198"/>
      <c r="I327" s="31"/>
      <c r="J327" s="198"/>
      <c r="K327" s="125"/>
      <c r="L327" s="16"/>
      <c r="M327" s="8"/>
      <c r="N327" s="444"/>
      <c r="O327" s="453"/>
      <c r="P327" s="886"/>
    </row>
    <row r="328" spans="1:16" s="17" customFormat="1" ht="33" customHeight="1" x14ac:dyDescent="0.3">
      <c r="A328" s="447"/>
      <c r="B328" s="412">
        <v>46170</v>
      </c>
      <c r="C328" s="4"/>
      <c r="D328" s="4"/>
      <c r="E328" s="298"/>
      <c r="F328" s="31"/>
      <c r="G328" s="16"/>
      <c r="H328" s="198"/>
      <c r="I328" s="31"/>
      <c r="J328" s="31"/>
      <c r="K328" s="125"/>
      <c r="L328" s="16"/>
      <c r="M328" s="8"/>
      <c r="N328" s="31"/>
      <c r="O328" s="455"/>
      <c r="P328" s="886"/>
    </row>
    <row r="329" spans="1:16" s="17" customFormat="1" ht="33" customHeight="1" x14ac:dyDescent="0.3">
      <c r="A329" s="447"/>
      <c r="B329" s="412">
        <v>46171</v>
      </c>
      <c r="C329" s="4"/>
      <c r="D329" s="4"/>
      <c r="E329" s="31"/>
      <c r="F329" s="298"/>
      <c r="G329" s="16"/>
      <c r="H329" s="198"/>
      <c r="I329" s="31"/>
      <c r="J329" s="198"/>
      <c r="K329" s="125"/>
      <c r="L329" s="16"/>
      <c r="M329" s="8"/>
      <c r="N329" s="31"/>
      <c r="O329" s="452"/>
      <c r="P329" s="886"/>
    </row>
    <row r="330" spans="1:16" s="17" customFormat="1" ht="33" customHeight="1" x14ac:dyDescent="0.3">
      <c r="A330" s="447"/>
      <c r="B330" s="412">
        <v>46171</v>
      </c>
      <c r="C330" s="4"/>
      <c r="D330" s="4"/>
      <c r="E330" s="31"/>
      <c r="F330" s="31"/>
      <c r="G330" s="16"/>
      <c r="H330" s="198"/>
      <c r="I330" s="31"/>
      <c r="J330" s="31"/>
      <c r="K330" s="125"/>
      <c r="L330" s="16"/>
      <c r="M330" s="8"/>
      <c r="N330" s="31"/>
      <c r="O330" s="451"/>
      <c r="P330" s="886"/>
    </row>
    <row r="331" spans="1:16" s="17" customFormat="1" ht="33" customHeight="1" x14ac:dyDescent="0.3">
      <c r="A331" s="447"/>
      <c r="B331" s="412">
        <v>46172</v>
      </c>
      <c r="C331" s="4"/>
      <c r="D331" s="4"/>
      <c r="E331" s="31"/>
      <c r="F331" s="31"/>
      <c r="G331" s="16"/>
      <c r="H331" s="198"/>
      <c r="I331" s="198"/>
      <c r="J331" s="198"/>
      <c r="K331" s="125"/>
      <c r="L331" s="16"/>
      <c r="M331" s="8"/>
      <c r="N331" s="198"/>
      <c r="O331" s="461"/>
      <c r="P331" s="886"/>
    </row>
    <row r="332" spans="1:16" s="17" customFormat="1" ht="33" customHeight="1" x14ac:dyDescent="0.3">
      <c r="A332" s="448"/>
      <c r="B332" s="412">
        <v>46172</v>
      </c>
      <c r="C332" s="4"/>
      <c r="D332" s="4"/>
      <c r="E332" s="31"/>
      <c r="F332" s="31"/>
      <c r="G332" s="16"/>
      <c r="H332" s="198"/>
      <c r="I332" s="198"/>
      <c r="J332" s="198"/>
      <c r="K332" s="125"/>
      <c r="L332" s="16"/>
      <c r="M332" s="8"/>
      <c r="N332" s="31"/>
      <c r="O332" s="455"/>
      <c r="P332" s="886"/>
    </row>
    <row r="333" spans="1:16" s="17" customFormat="1" ht="33" customHeight="1" x14ac:dyDescent="0.3">
      <c r="A333" s="449" t="s">
        <v>0</v>
      </c>
      <c r="B333" s="331" t="s">
        <v>1</v>
      </c>
      <c r="C333" s="330" t="s">
        <v>2</v>
      </c>
      <c r="D333" s="330" t="s">
        <v>3</v>
      </c>
      <c r="E333" s="330" t="s">
        <v>4</v>
      </c>
      <c r="F333" s="330" t="s">
        <v>5</v>
      </c>
      <c r="G333" s="330" t="s">
        <v>6</v>
      </c>
      <c r="H333" s="332" t="s">
        <v>7</v>
      </c>
      <c r="I333" s="330" t="s">
        <v>8</v>
      </c>
      <c r="J333" s="330" t="s">
        <v>9</v>
      </c>
      <c r="K333" s="333" t="s">
        <v>10</v>
      </c>
      <c r="L333" s="334" t="s">
        <v>11</v>
      </c>
      <c r="M333" s="330" t="s">
        <v>12</v>
      </c>
      <c r="N333" s="335" t="s">
        <v>13</v>
      </c>
      <c r="O333" s="450" t="s">
        <v>63</v>
      </c>
      <c r="P333" s="450" t="s">
        <v>5528</v>
      </c>
    </row>
    <row r="334" spans="1:16" s="17" customFormat="1" ht="33" customHeight="1" x14ac:dyDescent="0.3">
      <c r="A334" s="446" t="s">
        <v>4508</v>
      </c>
      <c r="B334" s="412">
        <v>46174</v>
      </c>
      <c r="C334" s="4"/>
      <c r="D334" s="4"/>
      <c r="E334" s="31"/>
      <c r="F334" s="198"/>
      <c r="G334" s="16"/>
      <c r="H334" s="198"/>
      <c r="I334" s="31"/>
      <c r="J334" s="31"/>
      <c r="K334" s="125"/>
      <c r="L334" s="16"/>
      <c r="M334" s="8"/>
      <c r="N334" s="31"/>
      <c r="O334" s="454"/>
      <c r="P334" s="886"/>
    </row>
    <row r="335" spans="1:16" s="17" customFormat="1" ht="33" customHeight="1" x14ac:dyDescent="0.3">
      <c r="A335" s="447"/>
      <c r="B335" s="412">
        <v>46174</v>
      </c>
      <c r="C335" s="4"/>
      <c r="D335" s="4"/>
      <c r="E335" s="298"/>
      <c r="F335" s="31"/>
      <c r="G335" s="16"/>
      <c r="H335" s="198"/>
      <c r="I335" s="31"/>
      <c r="J335" s="31"/>
      <c r="K335" s="125"/>
      <c r="L335" s="16"/>
      <c r="M335" s="8"/>
      <c r="N335" s="31"/>
      <c r="O335" s="454"/>
      <c r="P335" s="886"/>
    </row>
    <row r="336" spans="1:16" s="17" customFormat="1" ht="33" customHeight="1" x14ac:dyDescent="0.3">
      <c r="A336" s="447"/>
      <c r="B336" s="412">
        <v>46175</v>
      </c>
      <c r="C336" s="4"/>
      <c r="D336" s="4"/>
      <c r="E336" s="31"/>
      <c r="F336" s="31"/>
      <c r="G336" s="16"/>
      <c r="H336" s="198"/>
      <c r="I336" s="31"/>
      <c r="J336" s="198"/>
      <c r="K336" s="125"/>
      <c r="L336" s="16"/>
      <c r="M336" s="8"/>
      <c r="N336" s="444"/>
      <c r="O336" s="453"/>
      <c r="P336" s="886"/>
    </row>
    <row r="337" spans="1:16" s="17" customFormat="1" ht="33" customHeight="1" x14ac:dyDescent="0.3">
      <c r="A337" s="447"/>
      <c r="B337" s="412">
        <v>46175</v>
      </c>
      <c r="C337" s="4"/>
      <c r="D337" s="4"/>
      <c r="E337" s="31"/>
      <c r="F337" s="31"/>
      <c r="G337" s="16"/>
      <c r="H337" s="198"/>
      <c r="I337" s="31"/>
      <c r="J337" s="198"/>
      <c r="K337" s="125"/>
      <c r="L337" s="16"/>
      <c r="M337" s="8"/>
      <c r="N337" s="444"/>
      <c r="O337" s="453"/>
      <c r="P337" s="886"/>
    </row>
    <row r="338" spans="1:16" s="17" customFormat="1" ht="33" customHeight="1" x14ac:dyDescent="0.3">
      <c r="A338" s="447"/>
      <c r="B338" s="412">
        <v>46176</v>
      </c>
      <c r="C338" s="4"/>
      <c r="D338" s="4"/>
      <c r="E338" s="31"/>
      <c r="F338" s="31"/>
      <c r="G338" s="16"/>
      <c r="H338" s="422" t="s">
        <v>4761</v>
      </c>
      <c r="I338" s="31"/>
      <c r="J338" s="198"/>
      <c r="K338" s="125"/>
      <c r="L338" s="16"/>
      <c r="M338" s="8"/>
      <c r="N338" s="444"/>
      <c r="O338" s="453"/>
      <c r="P338" s="886"/>
    </row>
    <row r="339" spans="1:16" s="17" customFormat="1" ht="33" customHeight="1" x14ac:dyDescent="0.3">
      <c r="A339" s="447"/>
      <c r="B339" s="412">
        <v>46176</v>
      </c>
      <c r="C339" s="4"/>
      <c r="D339" s="4"/>
      <c r="E339" s="298"/>
      <c r="F339" s="31"/>
      <c r="G339" s="16"/>
      <c r="H339" s="198"/>
      <c r="I339" s="31"/>
      <c r="J339" s="31"/>
      <c r="K339" s="125"/>
      <c r="L339" s="16"/>
      <c r="M339" s="8"/>
      <c r="N339" s="31"/>
      <c r="O339" s="455"/>
      <c r="P339" s="886"/>
    </row>
    <row r="340" spans="1:16" s="17" customFormat="1" ht="33" customHeight="1" x14ac:dyDescent="0.3">
      <c r="A340" s="447"/>
      <c r="B340" s="412">
        <v>46177</v>
      </c>
      <c r="C340" s="4"/>
      <c r="D340" s="4"/>
      <c r="E340" s="31"/>
      <c r="F340" s="31"/>
      <c r="G340" s="16"/>
      <c r="H340" s="198"/>
      <c r="I340" s="31"/>
      <c r="J340" s="198"/>
      <c r="K340" s="125"/>
      <c r="L340" s="16"/>
      <c r="M340" s="8"/>
      <c r="N340" s="444"/>
      <c r="O340" s="453"/>
      <c r="P340" s="886"/>
    </row>
    <row r="341" spans="1:16" s="17" customFormat="1" ht="33" customHeight="1" x14ac:dyDescent="0.3">
      <c r="A341" s="447"/>
      <c r="B341" s="412">
        <v>46177</v>
      </c>
      <c r="C341" s="4"/>
      <c r="D341" s="4"/>
      <c r="E341" s="298"/>
      <c r="F341" s="31"/>
      <c r="G341" s="16"/>
      <c r="H341" s="198"/>
      <c r="I341" s="31"/>
      <c r="J341" s="31"/>
      <c r="K341" s="125"/>
      <c r="L341" s="16"/>
      <c r="M341" s="8"/>
      <c r="N341" s="31"/>
      <c r="O341" s="455"/>
      <c r="P341" s="886"/>
    </row>
    <row r="342" spans="1:16" s="17" customFormat="1" ht="33" customHeight="1" x14ac:dyDescent="0.3">
      <c r="A342" s="447"/>
      <c r="B342" s="412">
        <v>46178</v>
      </c>
      <c r="C342" s="4" t="s">
        <v>113</v>
      </c>
      <c r="D342" s="4" t="s">
        <v>5267</v>
      </c>
      <c r="E342" s="522" t="s">
        <v>5277</v>
      </c>
      <c r="F342" s="522" t="s">
        <v>5278</v>
      </c>
      <c r="G342" s="16" t="s">
        <v>5282</v>
      </c>
      <c r="H342" s="523" t="s">
        <v>5271</v>
      </c>
      <c r="I342" s="31"/>
      <c r="J342" s="198"/>
      <c r="K342" s="125"/>
      <c r="L342" s="16"/>
      <c r="M342" s="8"/>
      <c r="N342" s="31"/>
      <c r="O342" s="452"/>
      <c r="P342" s="886"/>
    </row>
    <row r="343" spans="1:16" s="17" customFormat="1" ht="33" customHeight="1" x14ac:dyDescent="0.3">
      <c r="A343" s="447"/>
      <c r="B343" s="412">
        <v>46178</v>
      </c>
      <c r="C343" s="4"/>
      <c r="D343" s="4"/>
      <c r="E343" s="31"/>
      <c r="F343" s="31"/>
      <c r="G343" s="16"/>
      <c r="H343" s="198"/>
      <c r="I343" s="31"/>
      <c r="J343" s="31"/>
      <c r="K343" s="125"/>
      <c r="L343" s="16"/>
      <c r="M343" s="8"/>
      <c r="N343" s="31"/>
      <c r="O343" s="451"/>
      <c r="P343" s="886"/>
    </row>
    <row r="344" spans="1:16" s="17" customFormat="1" ht="33" customHeight="1" x14ac:dyDescent="0.3">
      <c r="A344" s="447"/>
      <c r="B344" s="412">
        <v>46179</v>
      </c>
      <c r="C344" s="4"/>
      <c r="D344" s="4"/>
      <c r="E344" s="31"/>
      <c r="F344" s="31"/>
      <c r="G344" s="16"/>
      <c r="H344" s="198"/>
      <c r="I344" s="198"/>
      <c r="J344" s="198"/>
      <c r="K344" s="125"/>
      <c r="L344" s="16"/>
      <c r="M344" s="8"/>
      <c r="N344" s="198"/>
      <c r="O344" s="461"/>
      <c r="P344" s="886"/>
    </row>
    <row r="345" spans="1:16" s="17" customFormat="1" ht="33" customHeight="1" x14ac:dyDescent="0.3">
      <c r="A345" s="448"/>
      <c r="B345" s="412">
        <v>46179</v>
      </c>
      <c r="C345" s="4"/>
      <c r="D345" s="4"/>
      <c r="E345" s="31"/>
      <c r="F345" s="31"/>
      <c r="G345" s="16"/>
      <c r="H345" s="198"/>
      <c r="I345" s="198"/>
      <c r="J345" s="198"/>
      <c r="K345" s="125"/>
      <c r="L345" s="16"/>
      <c r="M345" s="8"/>
      <c r="N345" s="31"/>
      <c r="O345" s="455"/>
      <c r="P345" s="886"/>
    </row>
    <row r="346" spans="1:16" s="17" customFormat="1" ht="33" customHeight="1" x14ac:dyDescent="0.3">
      <c r="A346" s="449" t="s">
        <v>0</v>
      </c>
      <c r="B346" s="331" t="s">
        <v>1</v>
      </c>
      <c r="C346" s="330" t="s">
        <v>2</v>
      </c>
      <c r="D346" s="330" t="s">
        <v>3</v>
      </c>
      <c r="E346" s="330" t="s">
        <v>4</v>
      </c>
      <c r="F346" s="330" t="s">
        <v>5</v>
      </c>
      <c r="G346" s="330" t="s">
        <v>6</v>
      </c>
      <c r="H346" s="332" t="s">
        <v>7</v>
      </c>
      <c r="I346" s="330" t="s">
        <v>8</v>
      </c>
      <c r="J346" s="330" t="s">
        <v>9</v>
      </c>
      <c r="K346" s="333" t="s">
        <v>10</v>
      </c>
      <c r="L346" s="334" t="s">
        <v>11</v>
      </c>
      <c r="M346" s="330" t="s">
        <v>12</v>
      </c>
      <c r="N346" s="335" t="s">
        <v>13</v>
      </c>
      <c r="O346" s="450" t="s">
        <v>63</v>
      </c>
      <c r="P346" s="450" t="s">
        <v>5528</v>
      </c>
    </row>
    <row r="347" spans="1:16" s="17" customFormat="1" ht="33" customHeight="1" x14ac:dyDescent="0.3">
      <c r="A347" s="446" t="s">
        <v>4509</v>
      </c>
      <c r="B347" s="412">
        <v>46181</v>
      </c>
      <c r="C347" s="4" t="s">
        <v>113</v>
      </c>
      <c r="D347" s="4" t="s">
        <v>5267</v>
      </c>
      <c r="E347" s="522" t="s">
        <v>5268</v>
      </c>
      <c r="F347" s="522" t="s">
        <v>5269</v>
      </c>
      <c r="G347" s="16" t="s">
        <v>5275</v>
      </c>
      <c r="H347" s="523" t="s">
        <v>5271</v>
      </c>
      <c r="I347" s="31" t="s">
        <v>5276</v>
      </c>
      <c r="J347" s="31"/>
      <c r="K347" s="125"/>
      <c r="L347" s="16"/>
      <c r="M347" s="8"/>
      <c r="N347" s="31"/>
      <c r="O347" s="454"/>
      <c r="P347" s="886"/>
    </row>
    <row r="348" spans="1:16" s="17" customFormat="1" ht="33" customHeight="1" x14ac:dyDescent="0.3">
      <c r="A348" s="447"/>
      <c r="B348" s="412">
        <v>46181</v>
      </c>
      <c r="C348" s="4"/>
      <c r="D348" s="4"/>
      <c r="E348" s="298"/>
      <c r="F348" s="31"/>
      <c r="G348" s="16"/>
      <c r="H348" s="198"/>
      <c r="I348" s="31"/>
      <c r="J348" s="31"/>
      <c r="K348" s="125"/>
      <c r="L348" s="16"/>
      <c r="M348" s="8"/>
      <c r="N348" s="31"/>
      <c r="O348" s="454"/>
      <c r="P348" s="886"/>
    </row>
    <row r="349" spans="1:16" s="17" customFormat="1" ht="33" customHeight="1" x14ac:dyDescent="0.3">
      <c r="A349" s="447"/>
      <c r="B349" s="412">
        <v>46182</v>
      </c>
      <c r="C349" s="4" t="s">
        <v>113</v>
      </c>
      <c r="D349" s="4" t="s">
        <v>5267</v>
      </c>
      <c r="E349" s="31" t="s">
        <v>5268</v>
      </c>
      <c r="F349" s="31" t="s">
        <v>5269</v>
      </c>
      <c r="G349" s="16" t="s">
        <v>5270</v>
      </c>
      <c r="H349" s="198" t="s">
        <v>5271</v>
      </c>
      <c r="I349" s="31"/>
      <c r="J349" s="198" t="s">
        <v>5272</v>
      </c>
      <c r="K349" s="125"/>
      <c r="L349" s="16"/>
      <c r="M349" s="8"/>
      <c r="N349" s="444"/>
      <c r="O349" s="453"/>
      <c r="P349" s="886"/>
    </row>
    <row r="350" spans="1:16" s="17" customFormat="1" ht="33" customHeight="1" x14ac:dyDescent="0.3">
      <c r="A350" s="447"/>
      <c r="B350" s="412">
        <v>46182</v>
      </c>
      <c r="C350" s="4"/>
      <c r="D350" s="4"/>
      <c r="E350" s="31"/>
      <c r="F350" s="31"/>
      <c r="G350" s="16"/>
      <c r="H350" s="198"/>
      <c r="I350" s="31"/>
      <c r="J350" s="198"/>
      <c r="K350" s="125"/>
      <c r="L350" s="16"/>
      <c r="M350" s="8"/>
      <c r="N350" s="444"/>
      <c r="O350" s="453"/>
      <c r="P350" s="886"/>
    </row>
    <row r="351" spans="1:16" s="17" customFormat="1" ht="33" customHeight="1" x14ac:dyDescent="0.3">
      <c r="A351" s="447"/>
      <c r="B351" s="412">
        <v>46183</v>
      </c>
      <c r="C351" s="4" t="s">
        <v>113</v>
      </c>
      <c r="D351" s="4" t="s">
        <v>5267</v>
      </c>
      <c r="E351" s="522" t="s">
        <v>5268</v>
      </c>
      <c r="F351" s="522" t="s">
        <v>5269</v>
      </c>
      <c r="G351" s="16" t="s">
        <v>5273</v>
      </c>
      <c r="H351" s="523" t="s">
        <v>5271</v>
      </c>
      <c r="I351" s="31" t="s">
        <v>5274</v>
      </c>
      <c r="J351" s="198"/>
      <c r="K351" s="125"/>
      <c r="L351" s="16"/>
      <c r="M351" s="8"/>
      <c r="N351" s="444"/>
      <c r="O351" s="453"/>
      <c r="P351" s="886"/>
    </row>
    <row r="352" spans="1:16" s="17" customFormat="1" ht="33" customHeight="1" x14ac:dyDescent="0.3">
      <c r="A352" s="447"/>
      <c r="B352" s="412">
        <v>46183</v>
      </c>
      <c r="C352" s="4"/>
      <c r="D352" s="4"/>
      <c r="E352" s="298"/>
      <c r="F352" s="31"/>
      <c r="G352" s="16"/>
      <c r="H352" s="198"/>
      <c r="I352" s="31"/>
      <c r="J352" s="31"/>
      <c r="K352" s="125"/>
      <c r="L352" s="16"/>
      <c r="M352" s="8"/>
      <c r="N352" s="31"/>
      <c r="O352" s="455"/>
      <c r="P352" s="886"/>
    </row>
    <row r="353" spans="1:16" s="17" customFormat="1" ht="33" customHeight="1" x14ac:dyDescent="0.3">
      <c r="A353" s="447"/>
      <c r="B353" s="412">
        <v>46184</v>
      </c>
      <c r="C353" s="4"/>
      <c r="D353" s="4"/>
      <c r="E353" s="31"/>
      <c r="F353" s="31"/>
      <c r="G353" s="16"/>
      <c r="H353" s="198"/>
      <c r="I353" s="31"/>
      <c r="J353" s="198"/>
      <c r="K353" s="125"/>
      <c r="L353" s="16"/>
      <c r="M353" s="8"/>
      <c r="N353" s="444"/>
      <c r="O353" s="453"/>
      <c r="P353" s="886"/>
    </row>
    <row r="354" spans="1:16" s="17" customFormat="1" ht="33" customHeight="1" x14ac:dyDescent="0.3">
      <c r="A354" s="447"/>
      <c r="B354" s="412">
        <v>46184</v>
      </c>
      <c r="C354" s="4"/>
      <c r="D354" s="4"/>
      <c r="E354" s="298"/>
      <c r="F354" s="31"/>
      <c r="G354" s="16"/>
      <c r="H354" s="198"/>
      <c r="I354" s="31"/>
      <c r="J354" s="31"/>
      <c r="K354" s="125"/>
      <c r="L354" s="16"/>
      <c r="M354" s="8"/>
      <c r="N354" s="31"/>
      <c r="O354" s="455"/>
      <c r="P354" s="886"/>
    </row>
    <row r="355" spans="1:16" s="17" customFormat="1" ht="33" customHeight="1" x14ac:dyDescent="0.3">
      <c r="A355" s="447"/>
      <c r="B355" s="412">
        <v>46185</v>
      </c>
      <c r="C355" s="4"/>
      <c r="D355" s="4"/>
      <c r="E355" s="31"/>
      <c r="F355" s="298"/>
      <c r="G355" s="16"/>
      <c r="H355" s="198"/>
      <c r="I355" s="31"/>
      <c r="J355" s="198"/>
      <c r="K355" s="125"/>
      <c r="L355" s="16"/>
      <c r="M355" s="8"/>
      <c r="N355" s="31"/>
      <c r="O355" s="452"/>
      <c r="P355" s="886"/>
    </row>
    <row r="356" spans="1:16" s="17" customFormat="1" ht="33" customHeight="1" x14ac:dyDescent="0.3">
      <c r="A356" s="447"/>
      <c r="B356" s="412">
        <v>46185</v>
      </c>
      <c r="C356" s="4"/>
      <c r="D356" s="4"/>
      <c r="E356" s="31"/>
      <c r="F356" s="31"/>
      <c r="G356" s="16"/>
      <c r="H356" s="198"/>
      <c r="I356" s="31"/>
      <c r="J356" s="31"/>
      <c r="K356" s="125"/>
      <c r="L356" s="16"/>
      <c r="M356" s="8"/>
      <c r="N356" s="31"/>
      <c r="O356" s="451"/>
      <c r="P356" s="886"/>
    </row>
    <row r="357" spans="1:16" s="17" customFormat="1" ht="33" customHeight="1" x14ac:dyDescent="0.3">
      <c r="A357" s="447"/>
      <c r="B357" s="412">
        <v>46186</v>
      </c>
      <c r="C357" s="4"/>
      <c r="D357" s="4"/>
      <c r="E357" s="31"/>
      <c r="F357" s="31"/>
      <c r="G357" s="16"/>
      <c r="H357" s="198"/>
      <c r="I357" s="198"/>
      <c r="J357" s="198"/>
      <c r="K357" s="125"/>
      <c r="L357" s="16"/>
      <c r="M357" s="8"/>
      <c r="N357" s="198"/>
      <c r="O357" s="461"/>
      <c r="P357" s="886"/>
    </row>
    <row r="358" spans="1:16" x14ac:dyDescent="0.3">
      <c r="A358" s="447"/>
      <c r="B358" s="412">
        <v>46186</v>
      </c>
      <c r="C358" s="10"/>
      <c r="D358" s="10"/>
      <c r="E358" s="339"/>
      <c r="F358" s="339"/>
      <c r="G358" s="7"/>
      <c r="H358" s="160"/>
      <c r="I358" s="160"/>
      <c r="J358" s="160"/>
      <c r="K358" s="336"/>
      <c r="L358" s="7"/>
      <c r="M358" s="445"/>
      <c r="N358" s="339"/>
      <c r="O358" s="466"/>
      <c r="P358" s="26"/>
    </row>
    <row r="362" spans="1:16" x14ac:dyDescent="0.3">
      <c r="B362" s="393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42" activePane="bottomLeft" state="frozen"/>
      <selection pane="bottomLeft" activeCell="I1347" sqref="I1347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758" t="s">
        <v>161</v>
      </c>
      <c r="B1" s="758" t="s">
        <v>162</v>
      </c>
      <c r="C1" s="756" t="s">
        <v>1</v>
      </c>
      <c r="D1" s="756" t="s">
        <v>2</v>
      </c>
      <c r="E1" s="756" t="s">
        <v>3</v>
      </c>
      <c r="F1" s="27" t="s">
        <v>54</v>
      </c>
      <c r="G1" s="756" t="s">
        <v>5</v>
      </c>
      <c r="H1" s="756" t="s">
        <v>6</v>
      </c>
      <c r="I1" s="756" t="s">
        <v>7</v>
      </c>
      <c r="J1" s="756" t="s">
        <v>55</v>
      </c>
      <c r="K1" s="760" t="s">
        <v>483</v>
      </c>
      <c r="L1" s="762" t="s">
        <v>56</v>
      </c>
      <c r="M1" s="754" t="s">
        <v>57</v>
      </c>
      <c r="N1" s="756" t="s">
        <v>58</v>
      </c>
    </row>
    <row r="2" spans="1:14" x14ac:dyDescent="0.3">
      <c r="A2" s="759"/>
      <c r="B2" s="759"/>
      <c r="C2" s="757"/>
      <c r="D2" s="757"/>
      <c r="E2" s="757"/>
      <c r="F2" s="28" t="s">
        <v>59</v>
      </c>
      <c r="G2" s="757"/>
      <c r="H2" s="757"/>
      <c r="I2" s="757"/>
      <c r="J2" s="757"/>
      <c r="K2" s="761"/>
      <c r="L2" s="763"/>
      <c r="M2" s="755"/>
      <c r="N2" s="757"/>
    </row>
    <row r="3" spans="1:14" ht="27" x14ac:dyDescent="0.3">
      <c r="A3" s="55">
        <v>1</v>
      </c>
      <c r="B3" s="73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73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73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75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75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73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738"/>
      <c r="C9" s="76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738"/>
      <c r="C10" s="76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73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738"/>
      <c r="C12" s="76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738"/>
      <c r="C13" s="76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738"/>
      <c r="C14" s="76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738"/>
      <c r="C15" s="76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738"/>
      <c r="C16" s="76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73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75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75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 x14ac:dyDescent="0.3">
      <c r="A20" s="55">
        <v>3</v>
      </c>
      <c r="B20" s="73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73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50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51"/>
    </row>
    <row r="24" spans="1:17" ht="27" x14ac:dyDescent="0.3">
      <c r="A24" s="55">
        <v>4</v>
      </c>
      <c r="B24" s="737" t="s">
        <v>21</v>
      </c>
      <c r="C24" s="74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25" t="s">
        <v>85</v>
      </c>
      <c r="K24" s="740" t="s">
        <v>41</v>
      </c>
      <c r="L24" s="6" t="s">
        <v>15</v>
      </c>
      <c r="M24" s="767">
        <v>180000</v>
      </c>
      <c r="N24" s="45" t="s">
        <v>194</v>
      </c>
    </row>
    <row r="25" spans="1:17" ht="27" x14ac:dyDescent="0.3">
      <c r="A25" s="55">
        <v>4</v>
      </c>
      <c r="B25" s="738"/>
      <c r="C25" s="74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26"/>
      <c r="K25" s="741"/>
      <c r="L25" s="6" t="s">
        <v>15</v>
      </c>
      <c r="M25" s="768"/>
      <c r="N25" s="45" t="s">
        <v>194</v>
      </c>
    </row>
    <row r="26" spans="1:17" x14ac:dyDescent="0.3">
      <c r="A26" s="55">
        <v>4</v>
      </c>
      <c r="B26" s="738"/>
      <c r="C26" s="74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2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739"/>
      <c r="C27" s="74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2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73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73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738"/>
      <c r="C32" s="74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738"/>
      <c r="C33" s="74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73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737" t="s">
        <v>20</v>
      </c>
      <c r="C35" s="74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739"/>
      <c r="C36" s="74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737" t="s">
        <v>20</v>
      </c>
      <c r="C37" s="74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739"/>
      <c r="C38" s="74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77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774"/>
      <c r="C40" s="74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774"/>
      <c r="C41" s="74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77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73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732"/>
      <c r="C45" s="73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732"/>
      <c r="C46" s="77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73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76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77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77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77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76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77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73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73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73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73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73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73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737" t="s">
        <v>64</v>
      </c>
      <c r="C67" s="74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40" t="s">
        <v>435</v>
      </c>
      <c r="L67" s="6" t="s">
        <v>436</v>
      </c>
      <c r="M67" s="767">
        <v>750000</v>
      </c>
      <c r="N67" s="45" t="s">
        <v>446</v>
      </c>
    </row>
    <row r="68" spans="1:15" ht="27" x14ac:dyDescent="0.3">
      <c r="A68" s="55">
        <v>19</v>
      </c>
      <c r="B68" s="738"/>
      <c r="C68" s="74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41"/>
      <c r="L68" s="6" t="s">
        <v>411</v>
      </c>
      <c r="M68" s="768"/>
      <c r="N68" s="45" t="s">
        <v>445</v>
      </c>
    </row>
    <row r="69" spans="1:15" x14ac:dyDescent="0.3">
      <c r="A69" s="55">
        <v>19</v>
      </c>
      <c r="B69" s="738"/>
      <c r="C69" s="74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73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73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13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73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73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73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73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73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14">
        <v>300000</v>
      </c>
      <c r="N76" s="79" t="s">
        <v>97</v>
      </c>
    </row>
    <row r="77" spans="1:15" x14ac:dyDescent="0.3">
      <c r="A77" s="55">
        <v>20</v>
      </c>
      <c r="B77" s="73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73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73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73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73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73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738"/>
      <c r="C83" s="74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738"/>
      <c r="C84" s="74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738"/>
      <c r="C85" s="74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738"/>
      <c r="C86" s="74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73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73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73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73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73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73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738"/>
      <c r="C93" s="74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738"/>
      <c r="C94" s="74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738"/>
      <c r="C95" s="74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73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73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737" t="s">
        <v>21</v>
      </c>
      <c r="C99" s="74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738"/>
      <c r="C100" s="74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73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73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73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73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73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73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73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73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73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705" t="s">
        <v>658</v>
      </c>
      <c r="C110" s="70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730"/>
      <c r="C111" s="75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730"/>
      <c r="C112" s="75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752"/>
      <c r="C113" s="75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75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730"/>
      <c r="C115" s="70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706"/>
      <c r="C116" s="75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737" t="s">
        <v>20</v>
      </c>
      <c r="C117" s="74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25" t="s">
        <v>168</v>
      </c>
      <c r="K117" s="740" t="s">
        <v>645</v>
      </c>
      <c r="L117" s="57" t="s">
        <v>209</v>
      </c>
      <c r="M117" s="727">
        <f>250000*5</f>
        <v>1250000</v>
      </c>
      <c r="N117" s="737" t="s">
        <v>121</v>
      </c>
    </row>
    <row r="118" spans="1:14" x14ac:dyDescent="0.3">
      <c r="A118" s="101">
        <v>28</v>
      </c>
      <c r="B118" s="738"/>
      <c r="C118" s="74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49"/>
      <c r="K118" s="748"/>
      <c r="L118" s="57" t="s">
        <v>209</v>
      </c>
      <c r="M118" s="728"/>
      <c r="N118" s="738"/>
    </row>
    <row r="119" spans="1:14" x14ac:dyDescent="0.3">
      <c r="A119" s="101">
        <v>28</v>
      </c>
      <c r="B119" s="738"/>
      <c r="C119" s="74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26"/>
      <c r="K119" s="741"/>
      <c r="L119" s="57" t="s">
        <v>209</v>
      </c>
      <c r="M119" s="729"/>
      <c r="N119" s="739"/>
    </row>
    <row r="120" spans="1:14" x14ac:dyDescent="0.3">
      <c r="A120" s="101">
        <v>28</v>
      </c>
      <c r="B120" s="739"/>
      <c r="C120" s="74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16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705" t="s">
        <v>307</v>
      </c>
      <c r="C122" s="70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35" t="s">
        <v>458</v>
      </c>
      <c r="N122" s="110" t="s">
        <v>706</v>
      </c>
    </row>
    <row r="123" spans="1:14" ht="16.5" customHeight="1" x14ac:dyDescent="0.3">
      <c r="A123" s="55">
        <v>29</v>
      </c>
      <c r="B123" s="730"/>
      <c r="C123" s="73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05" t="s">
        <v>664</v>
      </c>
      <c r="K123" s="731" t="s">
        <v>707</v>
      </c>
      <c r="L123" s="110" t="s">
        <v>324</v>
      </c>
      <c r="M123" s="734" t="s">
        <v>708</v>
      </c>
      <c r="N123" s="110"/>
    </row>
    <row r="124" spans="1:14" x14ac:dyDescent="0.3">
      <c r="A124" s="55">
        <v>29</v>
      </c>
      <c r="B124" s="730"/>
      <c r="C124" s="73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30"/>
      <c r="K124" s="732"/>
      <c r="L124" s="110" t="s">
        <v>324</v>
      </c>
      <c r="M124" s="735"/>
      <c r="N124" s="110"/>
    </row>
    <row r="125" spans="1:14" x14ac:dyDescent="0.3">
      <c r="A125" s="55">
        <v>29</v>
      </c>
      <c r="B125" s="730"/>
      <c r="C125" s="73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06"/>
      <c r="K125" s="733"/>
      <c r="L125" s="110" t="s">
        <v>324</v>
      </c>
      <c r="M125" s="736"/>
      <c r="N125" s="110"/>
    </row>
    <row r="126" spans="1:14" x14ac:dyDescent="0.3">
      <c r="A126" s="55">
        <v>29</v>
      </c>
      <c r="B126" s="706"/>
      <c r="C126" s="70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35" t="s">
        <v>458</v>
      </c>
      <c r="N126" s="110" t="s">
        <v>425</v>
      </c>
    </row>
    <row r="127" spans="1:14" x14ac:dyDescent="0.3">
      <c r="A127" s="55">
        <v>29</v>
      </c>
      <c r="B127" s="70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35" t="s">
        <v>672</v>
      </c>
      <c r="N127" s="110" t="s">
        <v>696</v>
      </c>
    </row>
    <row r="128" spans="1:14" x14ac:dyDescent="0.3">
      <c r="A128" s="55">
        <v>29</v>
      </c>
      <c r="B128" s="73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35" t="s">
        <v>458</v>
      </c>
      <c r="N128" s="110" t="s">
        <v>715</v>
      </c>
    </row>
    <row r="129" spans="1:14" x14ac:dyDescent="0.3">
      <c r="A129" s="55">
        <v>29</v>
      </c>
      <c r="B129" s="73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35" t="s">
        <v>672</v>
      </c>
      <c r="N129" s="110" t="s">
        <v>715</v>
      </c>
    </row>
    <row r="130" spans="1:14" x14ac:dyDescent="0.3">
      <c r="A130" s="55">
        <v>29</v>
      </c>
      <c r="B130" s="730"/>
      <c r="C130" s="70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35" t="s">
        <v>458</v>
      </c>
      <c r="N130" s="110" t="s">
        <v>715</v>
      </c>
    </row>
    <row r="131" spans="1:14" x14ac:dyDescent="0.3">
      <c r="A131" s="55">
        <v>29</v>
      </c>
      <c r="B131" s="730"/>
      <c r="C131" s="70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35" t="s">
        <v>672</v>
      </c>
      <c r="N131" s="110" t="s">
        <v>723</v>
      </c>
    </row>
    <row r="132" spans="1:14" x14ac:dyDescent="0.3">
      <c r="A132" s="55">
        <v>29</v>
      </c>
      <c r="B132" s="730"/>
      <c r="C132" s="70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35" t="s">
        <v>672</v>
      </c>
      <c r="N132" s="110" t="s">
        <v>697</v>
      </c>
    </row>
    <row r="133" spans="1:14" x14ac:dyDescent="0.3">
      <c r="A133" s="55">
        <v>29</v>
      </c>
      <c r="B133" s="730"/>
      <c r="C133" s="70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35" t="s">
        <v>458</v>
      </c>
      <c r="N133" s="110" t="s">
        <v>726</v>
      </c>
    </row>
    <row r="134" spans="1:14" ht="25.5" x14ac:dyDescent="0.3">
      <c r="A134" s="55">
        <v>29</v>
      </c>
      <c r="B134" s="70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35" t="s">
        <v>359</v>
      </c>
      <c r="N134" s="110" t="s">
        <v>723</v>
      </c>
    </row>
    <row r="135" spans="1:14" ht="16.5" customHeight="1" x14ac:dyDescent="0.3">
      <c r="A135" s="55">
        <v>30</v>
      </c>
      <c r="B135" s="737" t="s">
        <v>618</v>
      </c>
      <c r="C135" s="74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738"/>
      <c r="C136" s="74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738"/>
      <c r="C137" s="74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739"/>
      <c r="C138" s="74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73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738"/>
      <c r="C140" s="74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738"/>
      <c r="C141" s="74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37" t="s">
        <v>735</v>
      </c>
    </row>
    <row r="142" spans="1:14" x14ac:dyDescent="0.3">
      <c r="A142" s="55">
        <v>30</v>
      </c>
      <c r="B142" s="73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39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73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73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737" t="s">
        <v>20</v>
      </c>
      <c r="C146" s="744" t="s">
        <v>869</v>
      </c>
      <c r="D146" s="740" t="s">
        <v>19</v>
      </c>
      <c r="E146" s="74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739"/>
      <c r="C147" s="746"/>
      <c r="D147" s="741"/>
      <c r="E147" s="74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737" t="s">
        <v>123</v>
      </c>
      <c r="C148" s="744" t="s">
        <v>782</v>
      </c>
      <c r="D148" s="740" t="s">
        <v>19</v>
      </c>
      <c r="E148" s="74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739"/>
      <c r="C149" s="746"/>
      <c r="D149" s="741"/>
      <c r="E149" s="74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73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73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73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73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37" t="s">
        <v>247</v>
      </c>
    </row>
    <row r="154" spans="1:14" ht="27" x14ac:dyDescent="0.3">
      <c r="A154" s="55">
        <v>34</v>
      </c>
      <c r="B154" s="738"/>
      <c r="C154" s="74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38"/>
    </row>
    <row r="155" spans="1:14" ht="27" x14ac:dyDescent="0.3">
      <c r="A155" s="55">
        <v>34</v>
      </c>
      <c r="B155" s="738"/>
      <c r="C155" s="74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39"/>
    </row>
    <row r="156" spans="1:14" ht="27" x14ac:dyDescent="0.3">
      <c r="A156" s="55">
        <v>34</v>
      </c>
      <c r="B156" s="738"/>
      <c r="C156" s="74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37" t="s">
        <v>825</v>
      </c>
    </row>
    <row r="157" spans="1:14" ht="27" x14ac:dyDescent="0.3">
      <c r="A157" s="55">
        <v>34</v>
      </c>
      <c r="B157" s="738"/>
      <c r="C157" s="74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38"/>
    </row>
    <row r="158" spans="1:14" ht="27" x14ac:dyDescent="0.3">
      <c r="A158" s="55">
        <v>34</v>
      </c>
      <c r="B158" s="738"/>
      <c r="C158" s="74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38"/>
    </row>
    <row r="159" spans="1:14" ht="27" x14ac:dyDescent="0.3">
      <c r="A159" s="55">
        <v>34</v>
      </c>
      <c r="B159" s="738"/>
      <c r="C159" s="74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38"/>
    </row>
    <row r="160" spans="1:14" ht="27" x14ac:dyDescent="0.3">
      <c r="A160" s="55">
        <v>34</v>
      </c>
      <c r="B160" s="73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38"/>
    </row>
    <row r="161" spans="1:15" ht="27" x14ac:dyDescent="0.3">
      <c r="A161" s="55">
        <v>34</v>
      </c>
      <c r="B161" s="73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39"/>
    </row>
    <row r="162" spans="1:15" ht="27" x14ac:dyDescent="0.3">
      <c r="A162" s="55">
        <v>34</v>
      </c>
      <c r="B162" s="73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73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73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73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73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654" t="s">
        <v>849</v>
      </c>
      <c r="C167" s="67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655"/>
      <c r="C168" s="67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655"/>
      <c r="C169" s="67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656"/>
      <c r="C170" s="67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65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65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65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65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65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65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65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655"/>
      <c r="C178" s="67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656"/>
      <c r="C179" s="67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65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655"/>
      <c r="C181" s="74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25" t="s">
        <v>838</v>
      </c>
      <c r="K181" s="740" t="s">
        <v>985</v>
      </c>
      <c r="L181" s="6" t="s">
        <v>910</v>
      </c>
      <c r="M181" s="727">
        <f>180000+200000+200000</f>
        <v>580000</v>
      </c>
      <c r="N181" s="45" t="s">
        <v>806</v>
      </c>
    </row>
    <row r="182" spans="1:14" x14ac:dyDescent="0.3">
      <c r="A182" s="55">
        <v>36</v>
      </c>
      <c r="B182" s="655"/>
      <c r="C182" s="74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26"/>
      <c r="K182" s="741"/>
      <c r="L182" s="6" t="s">
        <v>911</v>
      </c>
      <c r="M182" s="729"/>
      <c r="N182" s="45" t="s">
        <v>806</v>
      </c>
    </row>
    <row r="183" spans="1:14" x14ac:dyDescent="0.3">
      <c r="A183" s="55">
        <v>36</v>
      </c>
      <c r="B183" s="655"/>
      <c r="C183" s="74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65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65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65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655"/>
      <c r="C187" s="67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656"/>
      <c r="C188" s="67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65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65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65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654" t="s">
        <v>939</v>
      </c>
      <c r="C192" s="67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655"/>
      <c r="C193" s="67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65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65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655"/>
      <c r="C196" s="74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655"/>
      <c r="C197" s="74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655"/>
      <c r="C198" s="74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656"/>
      <c r="C199" s="74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654" t="s">
        <v>20</v>
      </c>
      <c r="C200" s="67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655"/>
      <c r="C201" s="67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655"/>
      <c r="C202" s="67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656"/>
      <c r="C203" s="67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65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65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65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654" t="s">
        <v>20</v>
      </c>
      <c r="C207" s="67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655"/>
      <c r="C208" s="67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65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65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65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65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65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65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65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65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65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654" t="s">
        <v>20</v>
      </c>
      <c r="C218" s="67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655"/>
      <c r="C219" s="67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65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65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65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65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65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65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37" t="s">
        <v>247</v>
      </c>
    </row>
    <row r="226" spans="1:14" x14ac:dyDescent="0.3">
      <c r="A226" s="55">
        <v>44</v>
      </c>
      <c r="B226" s="65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38"/>
    </row>
    <row r="227" spans="1:14" x14ac:dyDescent="0.3">
      <c r="A227" s="55">
        <v>44</v>
      </c>
      <c r="B227" s="65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39"/>
    </row>
    <row r="228" spans="1:14" x14ac:dyDescent="0.3">
      <c r="A228" s="55">
        <v>44</v>
      </c>
      <c r="B228" s="65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65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65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65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65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65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65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65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65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65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65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65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65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65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65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65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65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65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65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655"/>
      <c r="C249" s="67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37" t="s">
        <v>247</v>
      </c>
    </row>
    <row r="250" spans="1:14" x14ac:dyDescent="0.3">
      <c r="A250" s="55">
        <v>48</v>
      </c>
      <c r="B250" s="656"/>
      <c r="C250" s="67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39"/>
    </row>
    <row r="251" spans="1:14" x14ac:dyDescent="0.3">
      <c r="A251" s="55">
        <v>48</v>
      </c>
      <c r="B251" s="65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8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65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9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65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9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65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65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655"/>
      <c r="C256" s="67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37" t="s">
        <v>247</v>
      </c>
    </row>
    <row r="257" spans="1:14" x14ac:dyDescent="0.3">
      <c r="A257" s="55">
        <v>49</v>
      </c>
      <c r="B257" s="656"/>
      <c r="C257" s="67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39"/>
    </row>
    <row r="258" spans="1:14" ht="40.5" x14ac:dyDescent="0.3">
      <c r="A258" s="55">
        <v>49</v>
      </c>
      <c r="B258" s="65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65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7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77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36" t="s">
        <v>1112</v>
      </c>
      <c r="N260" s="129" t="s">
        <v>1097</v>
      </c>
    </row>
    <row r="261" spans="1:14" x14ac:dyDescent="0.3">
      <c r="A261" s="55">
        <v>49</v>
      </c>
      <c r="B261" s="77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36" t="s">
        <v>458</v>
      </c>
      <c r="N261" s="650" t="s">
        <v>1103</v>
      </c>
    </row>
    <row r="262" spans="1:14" ht="25.5" x14ac:dyDescent="0.3">
      <c r="A262" s="132">
        <v>49</v>
      </c>
      <c r="B262" s="77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37" t="s">
        <v>672</v>
      </c>
      <c r="N262" s="651"/>
    </row>
    <row r="263" spans="1:14" ht="16.5" customHeight="1" x14ac:dyDescent="0.3">
      <c r="A263" s="55">
        <v>50</v>
      </c>
      <c r="B263" s="654" t="s">
        <v>20</v>
      </c>
      <c r="C263" s="67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655"/>
      <c r="C264" s="67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73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655"/>
      <c r="C265" s="67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655"/>
      <c r="C266" s="67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656"/>
      <c r="C267" s="67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776" t="s">
        <v>658</v>
      </c>
      <c r="C268" s="65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38" t="s">
        <v>708</v>
      </c>
      <c r="N268" s="148" t="s">
        <v>665</v>
      </c>
    </row>
    <row r="269" spans="1:14" x14ac:dyDescent="0.3">
      <c r="A269" s="55">
        <v>51</v>
      </c>
      <c r="B269" s="777"/>
      <c r="C269" s="67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61" t="s">
        <v>1157</v>
      </c>
      <c r="L269" s="148" t="s">
        <v>324</v>
      </c>
      <c r="M269" s="538" t="s">
        <v>1112</v>
      </c>
      <c r="N269" s="148" t="s">
        <v>425</v>
      </c>
    </row>
    <row r="270" spans="1:14" x14ac:dyDescent="0.3">
      <c r="A270" s="55">
        <v>51</v>
      </c>
      <c r="B270" s="778"/>
      <c r="C270" s="65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72" t="s">
        <v>1100</v>
      </c>
      <c r="L270" s="148" t="s">
        <v>324</v>
      </c>
      <c r="M270" s="538" t="s">
        <v>458</v>
      </c>
      <c r="N270" s="148" t="s">
        <v>1160</v>
      </c>
    </row>
    <row r="271" spans="1:14" ht="16.5" customHeight="1" x14ac:dyDescent="0.3">
      <c r="A271" s="55">
        <v>52</v>
      </c>
      <c r="B271" s="654" t="s">
        <v>20</v>
      </c>
      <c r="C271" s="67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655"/>
      <c r="C272" s="67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64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655"/>
      <c r="C273" s="67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5" t="s">
        <v>487</v>
      </c>
      <c r="L273" s="57" t="s">
        <v>209</v>
      </c>
      <c r="M273" s="96">
        <f>250000*2</f>
        <v>500000</v>
      </c>
      <c r="N273" s="45" t="s">
        <v>1023</v>
      </c>
      <c r="O273" s="170" t="s">
        <v>1262</v>
      </c>
    </row>
    <row r="274" spans="1:15" x14ac:dyDescent="0.3">
      <c r="A274" s="55">
        <v>52</v>
      </c>
      <c r="B274" s="65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6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655"/>
      <c r="C275" s="67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6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655"/>
      <c r="C276" s="67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71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65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783" t="s">
        <v>1196</v>
      </c>
      <c r="B278" s="784"/>
      <c r="C278" s="784"/>
      <c r="D278" s="784"/>
      <c r="E278" s="784"/>
      <c r="F278" s="784"/>
      <c r="G278" s="784"/>
      <c r="H278" s="784"/>
      <c r="I278" s="784"/>
      <c r="J278" s="784"/>
      <c r="K278" s="784"/>
      <c r="L278" s="784"/>
      <c r="M278" s="784"/>
      <c r="N278" s="785"/>
    </row>
    <row r="279" spans="1:15" ht="16.5" customHeight="1" x14ac:dyDescent="0.3">
      <c r="A279" s="55">
        <v>1</v>
      </c>
      <c r="B279" s="654" t="s">
        <v>20</v>
      </c>
      <c r="C279" s="67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656"/>
      <c r="C280" s="67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62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654" t="s">
        <v>64</v>
      </c>
      <c r="C281" s="67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5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655"/>
      <c r="C282" s="67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64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655"/>
      <c r="C283" s="67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25" t="s">
        <v>1174</v>
      </c>
      <c r="K283" s="78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655"/>
      <c r="C284" s="67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26"/>
      <c r="K284" s="78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65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7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65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64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786" t="s">
        <v>123</v>
      </c>
      <c r="C287" s="65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36" t="s">
        <v>708</v>
      </c>
      <c r="N287" s="129" t="s">
        <v>665</v>
      </c>
    </row>
    <row r="288" spans="1:15" x14ac:dyDescent="0.3">
      <c r="A288" s="55">
        <v>2</v>
      </c>
      <c r="B288" s="787"/>
      <c r="C288" s="65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63" t="s">
        <v>1157</v>
      </c>
      <c r="L288" s="129" t="s">
        <v>324</v>
      </c>
      <c r="M288" s="536" t="s">
        <v>1112</v>
      </c>
      <c r="N288" s="128" t="s">
        <v>425</v>
      </c>
    </row>
    <row r="289" spans="1:15" x14ac:dyDescent="0.3">
      <c r="A289" s="55">
        <v>2</v>
      </c>
      <c r="B289" s="776" t="s">
        <v>64</v>
      </c>
      <c r="C289" s="65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8" t="s">
        <v>671</v>
      </c>
      <c r="L289" s="129" t="s">
        <v>309</v>
      </c>
      <c r="M289" s="536" t="s">
        <v>672</v>
      </c>
      <c r="N289" s="156" t="s">
        <v>1206</v>
      </c>
      <c r="O289" s="158" t="s">
        <v>1243</v>
      </c>
    </row>
    <row r="290" spans="1:15" x14ac:dyDescent="0.3">
      <c r="A290" s="55">
        <v>2</v>
      </c>
      <c r="B290" s="777"/>
      <c r="C290" s="77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7" t="s">
        <v>1212</v>
      </c>
      <c r="J290" s="129"/>
      <c r="K290" s="165" t="s">
        <v>692</v>
      </c>
      <c r="L290" s="129" t="s">
        <v>309</v>
      </c>
      <c r="M290" s="539" t="s">
        <v>1233</v>
      </c>
      <c r="N290" s="156" t="s">
        <v>726</v>
      </c>
    </row>
    <row r="291" spans="1:15" ht="25.5" x14ac:dyDescent="0.3">
      <c r="A291" s="55">
        <v>2</v>
      </c>
      <c r="B291" s="777"/>
      <c r="C291" s="78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50" t="s">
        <v>638</v>
      </c>
      <c r="K291" s="715" t="s">
        <v>671</v>
      </c>
      <c r="L291" s="148" t="s">
        <v>309</v>
      </c>
      <c r="M291" s="660" t="s">
        <v>672</v>
      </c>
      <c r="N291" s="148" t="s">
        <v>723</v>
      </c>
    </row>
    <row r="292" spans="1:15" x14ac:dyDescent="0.3">
      <c r="A292" s="55">
        <v>2</v>
      </c>
      <c r="B292" s="777"/>
      <c r="C292" s="77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51"/>
      <c r="K292" s="716"/>
      <c r="L292" s="148" t="s">
        <v>309</v>
      </c>
      <c r="M292" s="661"/>
      <c r="N292" s="148" t="s">
        <v>723</v>
      </c>
    </row>
    <row r="293" spans="1:15" x14ac:dyDescent="0.3">
      <c r="A293" s="55">
        <v>2</v>
      </c>
      <c r="B293" s="777"/>
      <c r="C293" s="78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9" t="s">
        <v>671</v>
      </c>
      <c r="L293" s="148" t="s">
        <v>309</v>
      </c>
      <c r="M293" s="538" t="s">
        <v>672</v>
      </c>
      <c r="N293" s="148" t="s">
        <v>723</v>
      </c>
    </row>
    <row r="294" spans="1:15" x14ac:dyDescent="0.3">
      <c r="A294" s="55">
        <v>2</v>
      </c>
      <c r="B294" s="777"/>
      <c r="C294" s="65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6" t="s">
        <v>671</v>
      </c>
      <c r="L294" s="148" t="s">
        <v>309</v>
      </c>
      <c r="M294" s="538" t="s">
        <v>672</v>
      </c>
      <c r="N294" s="148" t="s">
        <v>1208</v>
      </c>
    </row>
    <row r="295" spans="1:15" x14ac:dyDescent="0.3">
      <c r="A295" s="55">
        <v>2</v>
      </c>
      <c r="B295" s="77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9" t="s">
        <v>671</v>
      </c>
      <c r="L295" s="148" t="s">
        <v>309</v>
      </c>
      <c r="M295" s="538" t="s">
        <v>672</v>
      </c>
      <c r="N295" s="148" t="s">
        <v>1210</v>
      </c>
    </row>
    <row r="296" spans="1:15" ht="16.5" customHeight="1" x14ac:dyDescent="0.3">
      <c r="A296" s="55">
        <v>3</v>
      </c>
      <c r="B296" s="654" t="s">
        <v>20</v>
      </c>
      <c r="C296" s="67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655"/>
      <c r="C297" s="67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62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656"/>
      <c r="C298" s="67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62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65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64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65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64" t="s">
        <v>1179</v>
      </c>
      <c r="L300" s="6" t="s">
        <v>1175</v>
      </c>
      <c r="M300" s="155">
        <v>250000</v>
      </c>
      <c r="N300" s="45" t="s">
        <v>1211</v>
      </c>
    </row>
    <row r="301" spans="1:15" ht="27" x14ac:dyDescent="0.3">
      <c r="A301" s="55">
        <v>3</v>
      </c>
      <c r="B301" s="65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654" t="s">
        <v>20</v>
      </c>
      <c r="C302" s="67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655"/>
      <c r="C303" s="67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64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655"/>
      <c r="C304" s="67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5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655"/>
      <c r="C305" s="67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62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656"/>
      <c r="C306" s="67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62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74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654" t="s">
        <v>20</v>
      </c>
      <c r="C308" s="67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83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656"/>
      <c r="C309" s="67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62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65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84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65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84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65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776" t="s">
        <v>307</v>
      </c>
      <c r="C313" s="65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82" t="s">
        <v>1288</v>
      </c>
      <c r="L313" s="129" t="s">
        <v>324</v>
      </c>
      <c r="M313" s="536" t="s">
        <v>1112</v>
      </c>
      <c r="N313" s="129" t="s">
        <v>665</v>
      </c>
    </row>
    <row r="314" spans="1:18" x14ac:dyDescent="0.3">
      <c r="A314" s="55">
        <v>6</v>
      </c>
      <c r="B314" s="778"/>
      <c r="C314" s="65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80" t="s">
        <v>1157</v>
      </c>
      <c r="L314" s="129" t="s">
        <v>324</v>
      </c>
      <c r="M314" s="536" t="s">
        <v>1112</v>
      </c>
      <c r="N314" s="128" t="s">
        <v>425</v>
      </c>
    </row>
    <row r="315" spans="1:18" x14ac:dyDescent="0.3">
      <c r="A315" s="55">
        <v>6</v>
      </c>
      <c r="B315" s="159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5" t="s">
        <v>692</v>
      </c>
      <c r="L315" s="148" t="s">
        <v>309</v>
      </c>
      <c r="M315" s="538" t="s">
        <v>458</v>
      </c>
      <c r="N315" s="148" t="s">
        <v>1286</v>
      </c>
    </row>
    <row r="316" spans="1:18" ht="16.5" customHeight="1" x14ac:dyDescent="0.3">
      <c r="A316" s="55">
        <v>7</v>
      </c>
      <c r="B316" s="654" t="s">
        <v>20</v>
      </c>
      <c r="C316" s="67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83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655"/>
      <c r="C317" s="67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81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656"/>
      <c r="C318" s="67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81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65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83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65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84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656"/>
      <c r="C321" s="15">
        <v>45337</v>
      </c>
      <c r="D321" s="3" t="s">
        <v>21</v>
      </c>
      <c r="E321" s="4" t="s">
        <v>14</v>
      </c>
      <c r="F321" s="3" t="s">
        <v>107</v>
      </c>
      <c r="G321" s="184" t="s">
        <v>108</v>
      </c>
      <c r="H321" s="184" t="s">
        <v>143</v>
      </c>
      <c r="I321" s="9" t="s">
        <v>303</v>
      </c>
      <c r="J321" s="13" t="s">
        <v>90</v>
      </c>
      <c r="K321" s="184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654" t="s">
        <v>20</v>
      </c>
      <c r="C322" s="67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83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656"/>
      <c r="C323" s="67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81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65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84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65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84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65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84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655"/>
      <c r="C327" s="15">
        <v>45344</v>
      </c>
      <c r="D327" s="3" t="s">
        <v>21</v>
      </c>
      <c r="E327" s="4" t="s">
        <v>1295</v>
      </c>
      <c r="F327" s="3" t="s">
        <v>1304</v>
      </c>
      <c r="G327" s="184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65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654" t="s">
        <v>20</v>
      </c>
      <c r="C329" s="67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83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655"/>
      <c r="C330" s="67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83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656"/>
      <c r="C331" s="67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81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65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84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65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654" t="s">
        <v>20</v>
      </c>
      <c r="C334" s="67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655"/>
      <c r="C335" s="67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655"/>
      <c r="C336" s="67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656"/>
      <c r="C337" s="67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65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65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65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65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654" t="s">
        <v>20</v>
      </c>
      <c r="C342" s="67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655"/>
      <c r="C343" s="67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65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65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65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65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65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655"/>
      <c r="C349" s="74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656"/>
      <c r="C350" s="74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77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36" t="s">
        <v>458</v>
      </c>
      <c r="N351" s="129" t="s">
        <v>665</v>
      </c>
      <c r="O351" s="191"/>
    </row>
    <row r="352" spans="1:15" x14ac:dyDescent="0.3">
      <c r="A352" s="55">
        <v>12</v>
      </c>
      <c r="B352" s="777"/>
      <c r="C352" s="190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36" t="s">
        <v>456</v>
      </c>
      <c r="N352" s="129" t="s">
        <v>665</v>
      </c>
      <c r="O352" s="191"/>
    </row>
    <row r="353" spans="1:15" x14ac:dyDescent="0.3">
      <c r="A353" s="55">
        <v>12</v>
      </c>
      <c r="B353" s="777"/>
      <c r="C353" s="192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36" t="s">
        <v>672</v>
      </c>
      <c r="N353" s="129" t="s">
        <v>665</v>
      </c>
      <c r="O353" s="191"/>
    </row>
    <row r="354" spans="1:15" x14ac:dyDescent="0.3">
      <c r="A354" s="55">
        <v>12</v>
      </c>
      <c r="B354" s="77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36" t="s">
        <v>672</v>
      </c>
      <c r="N354" s="129" t="s">
        <v>665</v>
      </c>
      <c r="O354" s="191"/>
    </row>
    <row r="355" spans="1:15" x14ac:dyDescent="0.3">
      <c r="A355" s="55">
        <v>12</v>
      </c>
      <c r="B355" s="77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36" t="s">
        <v>458</v>
      </c>
      <c r="N355" s="129" t="s">
        <v>425</v>
      </c>
      <c r="O355" s="191"/>
    </row>
    <row r="356" spans="1:15" ht="25.5" x14ac:dyDescent="0.3">
      <c r="A356" s="55">
        <v>12</v>
      </c>
      <c r="B356" s="77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36" t="s">
        <v>456</v>
      </c>
      <c r="N356" s="156" t="s">
        <v>1424</v>
      </c>
      <c r="O356" s="191"/>
    </row>
    <row r="357" spans="1:15" x14ac:dyDescent="0.3">
      <c r="A357" s="55">
        <v>12</v>
      </c>
      <c r="B357" s="77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7" t="s">
        <v>1426</v>
      </c>
      <c r="J357" s="129"/>
      <c r="K357" s="129" t="s">
        <v>1102</v>
      </c>
      <c r="L357" s="129" t="s">
        <v>309</v>
      </c>
      <c r="M357" s="536" t="s">
        <v>359</v>
      </c>
      <c r="N357" s="156" t="s">
        <v>1206</v>
      </c>
      <c r="O357" s="191"/>
    </row>
    <row r="358" spans="1:15" ht="25.5" x14ac:dyDescent="0.3">
      <c r="A358" s="55">
        <v>12</v>
      </c>
      <c r="B358" s="77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7" t="s">
        <v>1428</v>
      </c>
      <c r="J358" s="129" t="s">
        <v>638</v>
      </c>
      <c r="K358" s="129" t="s">
        <v>1429</v>
      </c>
      <c r="L358" s="129" t="s">
        <v>309</v>
      </c>
      <c r="M358" s="536" t="s">
        <v>1430</v>
      </c>
      <c r="N358" s="156" t="s">
        <v>1206</v>
      </c>
      <c r="O358" s="191"/>
    </row>
    <row r="359" spans="1:15" x14ac:dyDescent="0.3">
      <c r="A359" s="55">
        <v>12</v>
      </c>
      <c r="B359" s="77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7" t="s">
        <v>674</v>
      </c>
      <c r="J359" s="129" t="s">
        <v>638</v>
      </c>
      <c r="K359" s="129" t="s">
        <v>1522</v>
      </c>
      <c r="L359" s="129" t="s">
        <v>309</v>
      </c>
      <c r="M359" s="536" t="s">
        <v>359</v>
      </c>
      <c r="N359" s="156" t="s">
        <v>1206</v>
      </c>
      <c r="O359" s="191"/>
    </row>
    <row r="360" spans="1:15" ht="40.5" x14ac:dyDescent="0.3">
      <c r="A360" s="55">
        <v>13</v>
      </c>
      <c r="B360" s="65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91"/>
    </row>
    <row r="361" spans="1:15" x14ac:dyDescent="0.3">
      <c r="A361" s="55">
        <v>13</v>
      </c>
      <c r="B361" s="65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91"/>
    </row>
    <row r="362" spans="1:15" ht="40.5" x14ac:dyDescent="0.3">
      <c r="A362" s="55">
        <v>13</v>
      </c>
      <c r="B362" s="656"/>
      <c r="C362" s="122" t="s">
        <v>1400</v>
      </c>
      <c r="D362" s="4" t="s">
        <v>19</v>
      </c>
      <c r="E362" s="164" t="s">
        <v>25</v>
      </c>
      <c r="F362" s="164" t="s">
        <v>20</v>
      </c>
      <c r="G362" s="215" t="s">
        <v>1399</v>
      </c>
      <c r="H362" s="164" t="s">
        <v>1328</v>
      </c>
      <c r="I362" s="216" t="s">
        <v>1403</v>
      </c>
      <c r="J362" s="217"/>
      <c r="K362" s="164" t="s">
        <v>1401</v>
      </c>
      <c r="L362" s="218" t="s">
        <v>209</v>
      </c>
      <c r="M362" s="200">
        <v>2250000</v>
      </c>
      <c r="N362" s="45" t="s">
        <v>1402</v>
      </c>
      <c r="O362" s="201" t="s">
        <v>1524</v>
      </c>
    </row>
    <row r="363" spans="1:15" x14ac:dyDescent="0.3">
      <c r="A363" s="55">
        <v>13</v>
      </c>
      <c r="B363" s="65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7" t="s">
        <v>41</v>
      </c>
      <c r="L363" s="6" t="s">
        <v>15</v>
      </c>
      <c r="M363" s="96">
        <v>250000</v>
      </c>
      <c r="N363" s="45" t="s">
        <v>1394</v>
      </c>
      <c r="O363" s="191"/>
    </row>
    <row r="364" spans="1:15" ht="27" x14ac:dyDescent="0.3">
      <c r="A364" s="55">
        <v>13</v>
      </c>
      <c r="B364" s="65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91"/>
    </row>
    <row r="365" spans="1:15" x14ac:dyDescent="0.3">
      <c r="A365" s="55">
        <v>13</v>
      </c>
      <c r="B365" s="65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91"/>
    </row>
    <row r="366" spans="1:15" ht="27" x14ac:dyDescent="0.3">
      <c r="A366" s="55">
        <v>13</v>
      </c>
      <c r="B366" s="65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13" t="s">
        <v>613</v>
      </c>
      <c r="L366" s="6" t="s">
        <v>15</v>
      </c>
      <c r="M366" s="96">
        <v>750000</v>
      </c>
      <c r="N366" s="45" t="s">
        <v>1394</v>
      </c>
      <c r="O366" s="201" t="s">
        <v>1525</v>
      </c>
    </row>
    <row r="367" spans="1:15" ht="27" x14ac:dyDescent="0.3">
      <c r="A367" s="55">
        <v>13</v>
      </c>
      <c r="B367" s="65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9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65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654" t="s">
        <v>20</v>
      </c>
      <c r="C369" s="193" t="s">
        <v>1507</v>
      </c>
      <c r="D369" s="188" t="s">
        <v>19</v>
      </c>
      <c r="E369" s="188" t="s">
        <v>25</v>
      </c>
      <c r="F369" s="188" t="s">
        <v>20</v>
      </c>
      <c r="G369" s="210" t="s">
        <v>1323</v>
      </c>
      <c r="H369" s="188" t="s">
        <v>23</v>
      </c>
      <c r="I369" s="194" t="s">
        <v>1502</v>
      </c>
      <c r="J369" s="195" t="s">
        <v>168</v>
      </c>
      <c r="K369" s="188" t="s">
        <v>1404</v>
      </c>
      <c r="L369" s="211" t="s">
        <v>209</v>
      </c>
      <c r="M369" s="212">
        <v>750000</v>
      </c>
      <c r="N369" s="45" t="s">
        <v>1023</v>
      </c>
    </row>
    <row r="370" spans="1:19" ht="27" x14ac:dyDescent="0.3">
      <c r="A370" s="55">
        <v>14</v>
      </c>
      <c r="B370" s="655"/>
      <c r="C370" s="193" t="s">
        <v>1508</v>
      </c>
      <c r="D370" s="188" t="s">
        <v>19</v>
      </c>
      <c r="E370" s="188" t="s">
        <v>25</v>
      </c>
      <c r="F370" s="188" t="s">
        <v>20</v>
      </c>
      <c r="G370" s="210" t="s">
        <v>1504</v>
      </c>
      <c r="H370" s="188" t="s">
        <v>264</v>
      </c>
      <c r="I370" s="194" t="s">
        <v>1122</v>
      </c>
      <c r="J370" s="195" t="s">
        <v>126</v>
      </c>
      <c r="K370" s="188" t="s">
        <v>1505</v>
      </c>
      <c r="L370" s="211" t="s">
        <v>209</v>
      </c>
      <c r="M370" s="212">
        <v>500000</v>
      </c>
      <c r="N370" s="45" t="s">
        <v>121</v>
      </c>
    </row>
    <row r="371" spans="1:19" ht="27" x14ac:dyDescent="0.3">
      <c r="A371" s="55">
        <v>14</v>
      </c>
      <c r="B371" s="65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13" t="s">
        <v>1135</v>
      </c>
      <c r="L371" s="57"/>
      <c r="M371" s="200">
        <v>1000000</v>
      </c>
      <c r="N371" s="45" t="s">
        <v>121</v>
      </c>
    </row>
    <row r="372" spans="1:19" ht="27" x14ac:dyDescent="0.3">
      <c r="A372" s="55">
        <v>14</v>
      </c>
      <c r="B372" s="656"/>
      <c r="C372" s="92" t="s">
        <v>1510</v>
      </c>
      <c r="D372" s="4" t="s">
        <v>19</v>
      </c>
      <c r="E372" s="164" t="s">
        <v>25</v>
      </c>
      <c r="F372" s="164" t="s">
        <v>20</v>
      </c>
      <c r="G372" s="215">
        <v>4266</v>
      </c>
      <c r="H372" s="164" t="s">
        <v>125</v>
      </c>
      <c r="I372" s="216" t="s">
        <v>265</v>
      </c>
      <c r="J372" s="217" t="s">
        <v>94</v>
      </c>
      <c r="K372" s="164" t="s">
        <v>951</v>
      </c>
      <c r="L372" s="218" t="s">
        <v>209</v>
      </c>
      <c r="M372" s="200">
        <v>1000000</v>
      </c>
      <c r="N372" s="45" t="s">
        <v>247</v>
      </c>
      <c r="O372" s="191"/>
    </row>
    <row r="373" spans="1:19" x14ac:dyDescent="0.3">
      <c r="A373" s="55">
        <v>14</v>
      </c>
      <c r="B373" s="65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6" t="s">
        <v>1506</v>
      </c>
      <c r="J373" s="13"/>
      <c r="K373" s="209" t="s">
        <v>323</v>
      </c>
      <c r="L373" s="6" t="s">
        <v>15</v>
      </c>
      <c r="M373" s="96">
        <v>500000</v>
      </c>
      <c r="N373" s="45" t="s">
        <v>1398</v>
      </c>
      <c r="O373" s="191"/>
    </row>
    <row r="374" spans="1:19" x14ac:dyDescent="0.3">
      <c r="A374" s="55">
        <v>14</v>
      </c>
      <c r="B374" s="65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8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204" t="s">
        <v>1539</v>
      </c>
      <c r="B375" s="776" t="s">
        <v>307</v>
      </c>
      <c r="C375" s="128" t="s">
        <v>1531</v>
      </c>
      <c r="D375" s="650" t="s">
        <v>306</v>
      </c>
      <c r="E375" s="650" t="s">
        <v>322</v>
      </c>
      <c r="F375" s="650" t="s">
        <v>307</v>
      </c>
      <c r="G375" s="652">
        <v>4266</v>
      </c>
      <c r="H375" s="650" t="s">
        <v>640</v>
      </c>
      <c r="I375" s="652" t="s">
        <v>1533</v>
      </c>
      <c r="J375" s="650" t="s">
        <v>1534</v>
      </c>
      <c r="K375" s="788" t="s">
        <v>692</v>
      </c>
      <c r="L375" s="650" t="s">
        <v>324</v>
      </c>
      <c r="M375" s="660" t="s">
        <v>1535</v>
      </c>
      <c r="N375" s="650" t="s">
        <v>425</v>
      </c>
    </row>
    <row r="376" spans="1:19" x14ac:dyDescent="0.3">
      <c r="A376" s="204" t="s">
        <v>1539</v>
      </c>
      <c r="B376" s="777"/>
      <c r="C376" s="129" t="s">
        <v>1532</v>
      </c>
      <c r="D376" s="651"/>
      <c r="E376" s="651"/>
      <c r="F376" s="651"/>
      <c r="G376" s="653"/>
      <c r="H376" s="651"/>
      <c r="I376" s="653"/>
      <c r="J376" s="651"/>
      <c r="K376" s="789"/>
      <c r="L376" s="651"/>
      <c r="M376" s="661"/>
      <c r="N376" s="651"/>
    </row>
    <row r="377" spans="1:19" x14ac:dyDescent="0.3">
      <c r="A377" s="204" t="s">
        <v>1539</v>
      </c>
      <c r="B377" s="777"/>
      <c r="C377" s="128" t="s">
        <v>1536</v>
      </c>
      <c r="D377" s="650" t="s">
        <v>306</v>
      </c>
      <c r="E377" s="650" t="s">
        <v>322</v>
      </c>
      <c r="F377" s="650" t="s">
        <v>307</v>
      </c>
      <c r="G377" s="652">
        <v>3306</v>
      </c>
      <c r="H377" s="650" t="s">
        <v>1153</v>
      </c>
      <c r="I377" s="652" t="s">
        <v>1538</v>
      </c>
      <c r="J377" s="650" t="s">
        <v>1534</v>
      </c>
      <c r="K377" s="788" t="s">
        <v>692</v>
      </c>
      <c r="L377" s="650" t="s">
        <v>324</v>
      </c>
      <c r="M377" s="660" t="s">
        <v>1535</v>
      </c>
      <c r="N377" s="650" t="s">
        <v>425</v>
      </c>
    </row>
    <row r="378" spans="1:19" x14ac:dyDescent="0.3">
      <c r="A378" s="204" t="s">
        <v>1539</v>
      </c>
      <c r="B378" s="778"/>
      <c r="C378" s="129" t="s">
        <v>1537</v>
      </c>
      <c r="D378" s="651"/>
      <c r="E378" s="651"/>
      <c r="F378" s="651"/>
      <c r="G378" s="653"/>
      <c r="H378" s="651"/>
      <c r="I378" s="653"/>
      <c r="J378" s="651"/>
      <c r="K378" s="789"/>
      <c r="L378" s="651"/>
      <c r="M378" s="661"/>
      <c r="N378" s="651"/>
    </row>
    <row r="379" spans="1:19" ht="27" customHeight="1" x14ac:dyDescent="0.3">
      <c r="A379" s="123">
        <v>15</v>
      </c>
      <c r="B379" s="654" t="s">
        <v>20</v>
      </c>
      <c r="C379" s="193" t="s">
        <v>1526</v>
      </c>
      <c r="D379" s="188" t="s">
        <v>19</v>
      </c>
      <c r="E379" s="188" t="s">
        <v>25</v>
      </c>
      <c r="F379" s="188" t="s">
        <v>20</v>
      </c>
      <c r="G379" s="210" t="s">
        <v>1529</v>
      </c>
      <c r="H379" s="188" t="s">
        <v>23</v>
      </c>
      <c r="I379" s="194" t="s">
        <v>1530</v>
      </c>
      <c r="J379" s="195" t="s">
        <v>252</v>
      </c>
      <c r="K379" s="188" t="s">
        <v>1505</v>
      </c>
      <c r="L379" s="211" t="s">
        <v>209</v>
      </c>
      <c r="M379" s="212">
        <v>500000</v>
      </c>
      <c r="N379" s="45" t="s">
        <v>121</v>
      </c>
    </row>
    <row r="380" spans="1:19" ht="27" customHeight="1" x14ac:dyDescent="0.3">
      <c r="A380" s="123">
        <v>15</v>
      </c>
      <c r="B380" s="655"/>
      <c r="C380" s="193" t="s">
        <v>1527</v>
      </c>
      <c r="D380" s="188" t="s">
        <v>19</v>
      </c>
      <c r="E380" s="188" t="s">
        <v>25</v>
      </c>
      <c r="F380" s="188" t="s">
        <v>20</v>
      </c>
      <c r="G380" s="210" t="s">
        <v>1547</v>
      </c>
      <c r="H380" s="188" t="s">
        <v>482</v>
      </c>
      <c r="I380" s="194" t="s">
        <v>1122</v>
      </c>
      <c r="J380" s="195" t="s">
        <v>168</v>
      </c>
      <c r="K380" s="188" t="s">
        <v>1505</v>
      </c>
      <c r="L380" s="211" t="s">
        <v>209</v>
      </c>
      <c r="M380" s="212">
        <v>500000</v>
      </c>
      <c r="N380" s="45" t="s">
        <v>121</v>
      </c>
      <c r="O380" t="s">
        <v>1621</v>
      </c>
    </row>
    <row r="381" spans="1:19" ht="27" customHeight="1" x14ac:dyDescent="0.3">
      <c r="A381" s="123">
        <v>15</v>
      </c>
      <c r="B381" s="655"/>
      <c r="C381" s="92" t="s">
        <v>1548</v>
      </c>
      <c r="D381" s="4" t="s">
        <v>19</v>
      </c>
      <c r="E381" s="164" t="s">
        <v>25</v>
      </c>
      <c r="F381" s="164" t="s">
        <v>20</v>
      </c>
      <c r="G381" s="215" t="s">
        <v>1550</v>
      </c>
      <c r="H381" s="164" t="s">
        <v>1551</v>
      </c>
      <c r="I381" s="216" t="s">
        <v>1552</v>
      </c>
      <c r="J381" s="217" t="s">
        <v>1553</v>
      </c>
      <c r="K381" s="164" t="s">
        <v>1554</v>
      </c>
      <c r="L381" s="218" t="s">
        <v>209</v>
      </c>
      <c r="M381" s="200">
        <v>1000000</v>
      </c>
      <c r="N381" s="45" t="s">
        <v>121</v>
      </c>
    </row>
    <row r="382" spans="1:19" ht="27" customHeight="1" x14ac:dyDescent="0.3">
      <c r="A382" s="123">
        <v>15</v>
      </c>
      <c r="B382" s="656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13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65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6" t="s">
        <v>1662</v>
      </c>
      <c r="J383" s="13"/>
      <c r="K383" s="209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65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6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 x14ac:dyDescent="0.3">
      <c r="A385" s="123">
        <v>16</v>
      </c>
      <c r="B385" s="654" t="s">
        <v>20</v>
      </c>
      <c r="C385" s="193" t="s">
        <v>1561</v>
      </c>
      <c r="D385" s="188" t="s">
        <v>19</v>
      </c>
      <c r="E385" s="188" t="s">
        <v>25</v>
      </c>
      <c r="F385" s="188" t="s">
        <v>20</v>
      </c>
      <c r="G385" s="210" t="s">
        <v>1529</v>
      </c>
      <c r="H385" s="188" t="s">
        <v>23</v>
      </c>
      <c r="I385" s="194" t="s">
        <v>1530</v>
      </c>
      <c r="J385" s="195" t="s">
        <v>220</v>
      </c>
      <c r="K385" s="188" t="s">
        <v>1404</v>
      </c>
      <c r="L385" s="211" t="s">
        <v>209</v>
      </c>
      <c r="M385" s="212">
        <v>750000</v>
      </c>
      <c r="N385" s="45" t="s">
        <v>121</v>
      </c>
    </row>
    <row r="386" spans="1:14" ht="27" x14ac:dyDescent="0.3">
      <c r="A386" s="123">
        <v>16</v>
      </c>
      <c r="B386" s="655"/>
      <c r="C386" s="193" t="s">
        <v>1562</v>
      </c>
      <c r="D386" s="188" t="s">
        <v>1528</v>
      </c>
      <c r="E386" s="188" t="s">
        <v>25</v>
      </c>
      <c r="F386" s="188" t="s">
        <v>20</v>
      </c>
      <c r="G386" s="210" t="s">
        <v>1519</v>
      </c>
      <c r="H386" s="188" t="s">
        <v>482</v>
      </c>
      <c r="I386" s="194" t="s">
        <v>1503</v>
      </c>
      <c r="J386" s="195" t="s">
        <v>168</v>
      </c>
      <c r="K386" s="188" t="s">
        <v>1505</v>
      </c>
      <c r="L386" s="211" t="s">
        <v>209</v>
      </c>
      <c r="M386" s="212">
        <v>500000</v>
      </c>
      <c r="N386" s="45" t="s">
        <v>208</v>
      </c>
    </row>
    <row r="387" spans="1:14" ht="27" x14ac:dyDescent="0.3">
      <c r="A387" s="123">
        <v>16</v>
      </c>
      <c r="B387" s="655"/>
      <c r="C387" s="92" t="s">
        <v>1563</v>
      </c>
      <c r="D387" s="4" t="s">
        <v>19</v>
      </c>
      <c r="E387" s="164" t="s">
        <v>25</v>
      </c>
      <c r="F387" s="164" t="s">
        <v>20</v>
      </c>
      <c r="G387" s="215" t="s">
        <v>1565</v>
      </c>
      <c r="H387" s="164" t="s">
        <v>1575</v>
      </c>
      <c r="I387" s="216" t="s">
        <v>592</v>
      </c>
      <c r="J387" s="217" t="s">
        <v>94</v>
      </c>
      <c r="K387" s="164" t="s">
        <v>1572</v>
      </c>
      <c r="L387" s="218" t="s">
        <v>209</v>
      </c>
      <c r="M387" s="200">
        <v>1500000</v>
      </c>
      <c r="N387" s="45" t="s">
        <v>121</v>
      </c>
    </row>
    <row r="388" spans="1:14" ht="27" x14ac:dyDescent="0.3">
      <c r="A388" s="123">
        <v>16</v>
      </c>
      <c r="B388" s="656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13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65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13" t="s">
        <v>111</v>
      </c>
      <c r="L389" s="6" t="s">
        <v>15</v>
      </c>
      <c r="M389" s="96">
        <v>250000</v>
      </c>
      <c r="N389" s="78" t="s">
        <v>1571</v>
      </c>
    </row>
    <row r="390" spans="1:14" x14ac:dyDescent="0.3">
      <c r="A390" s="123">
        <v>16</v>
      </c>
      <c r="B390" s="65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9" t="s">
        <v>435</v>
      </c>
      <c r="L390" s="6" t="s">
        <v>15</v>
      </c>
      <c r="M390" s="96">
        <v>750000</v>
      </c>
      <c r="N390" s="78" t="s">
        <v>1573</v>
      </c>
    </row>
    <row r="391" spans="1:14" ht="27" x14ac:dyDescent="0.3">
      <c r="A391" s="123">
        <v>16</v>
      </c>
      <c r="B391" s="655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31" t="s">
        <v>41</v>
      </c>
      <c r="L391" s="84" t="s">
        <v>84</v>
      </c>
      <c r="M391" s="96">
        <v>250000</v>
      </c>
      <c r="N391" s="78" t="s">
        <v>1570</v>
      </c>
    </row>
    <row r="392" spans="1:14" ht="27" x14ac:dyDescent="0.3">
      <c r="A392" s="123">
        <v>16</v>
      </c>
      <c r="B392" s="656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14" t="s">
        <v>41</v>
      </c>
      <c r="L392" s="225" t="s">
        <v>84</v>
      </c>
      <c r="M392" s="96">
        <v>250000</v>
      </c>
      <c r="N392" s="78" t="s">
        <v>1570</v>
      </c>
    </row>
    <row r="393" spans="1:14" ht="27" x14ac:dyDescent="0.3">
      <c r="A393" s="123">
        <v>17</v>
      </c>
      <c r="B393" s="654" t="s">
        <v>251</v>
      </c>
      <c r="C393" s="221" t="s">
        <v>1578</v>
      </c>
      <c r="D393" s="188" t="s">
        <v>19</v>
      </c>
      <c r="E393" s="188" t="s">
        <v>25</v>
      </c>
      <c r="F393" s="188" t="s">
        <v>20</v>
      </c>
      <c r="G393" s="210">
        <v>3306</v>
      </c>
      <c r="H393" s="188" t="s">
        <v>811</v>
      </c>
      <c r="I393" s="194" t="s">
        <v>1579</v>
      </c>
      <c r="J393" s="195" t="s">
        <v>168</v>
      </c>
      <c r="K393" s="188" t="s">
        <v>1580</v>
      </c>
      <c r="L393" s="211" t="s">
        <v>209</v>
      </c>
      <c r="M393" s="212">
        <v>1250000</v>
      </c>
      <c r="N393" s="45" t="s">
        <v>121</v>
      </c>
    </row>
    <row r="394" spans="1:14" x14ac:dyDescent="0.3">
      <c r="A394" s="123">
        <v>17</v>
      </c>
      <c r="B394" s="655"/>
      <c r="C394" s="15">
        <v>45406</v>
      </c>
      <c r="D394" s="207" t="s">
        <v>306</v>
      </c>
      <c r="E394" s="207" t="s">
        <v>322</v>
      </c>
      <c r="F394" s="207" t="s">
        <v>307</v>
      </c>
      <c r="G394" s="208">
        <v>3306</v>
      </c>
      <c r="H394" s="207" t="s">
        <v>1153</v>
      </c>
      <c r="I394" s="208" t="s">
        <v>1590</v>
      </c>
      <c r="J394" s="207" t="s">
        <v>664</v>
      </c>
      <c r="K394" s="240" t="s">
        <v>119</v>
      </c>
      <c r="L394" s="207" t="s">
        <v>324</v>
      </c>
      <c r="M394" s="96">
        <v>500000</v>
      </c>
      <c r="N394" s="207" t="s">
        <v>121</v>
      </c>
    </row>
    <row r="395" spans="1:14" ht="40.5" x14ac:dyDescent="0.3">
      <c r="A395" s="123">
        <v>17</v>
      </c>
      <c r="B395" s="656"/>
      <c r="C395" s="15">
        <v>45407</v>
      </c>
      <c r="D395" s="4" t="s">
        <v>19</v>
      </c>
      <c r="E395" s="164" t="s">
        <v>25</v>
      </c>
      <c r="F395" s="164" t="s">
        <v>20</v>
      </c>
      <c r="G395" s="215" t="s">
        <v>1587</v>
      </c>
      <c r="H395" s="164" t="s">
        <v>1592</v>
      </c>
      <c r="I395" s="216" t="s">
        <v>592</v>
      </c>
      <c r="J395" s="217" t="s">
        <v>94</v>
      </c>
      <c r="K395" s="164" t="s">
        <v>1588</v>
      </c>
      <c r="L395" s="218" t="s">
        <v>209</v>
      </c>
      <c r="M395" s="200">
        <v>500000</v>
      </c>
      <c r="N395" s="45" t="s">
        <v>247</v>
      </c>
    </row>
    <row r="396" spans="1:14" x14ac:dyDescent="0.3">
      <c r="A396" s="123">
        <v>17</v>
      </c>
      <c r="B396" s="65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13" t="s">
        <v>118</v>
      </c>
      <c r="L396" s="6" t="s">
        <v>15</v>
      </c>
      <c r="M396" s="96">
        <v>500000</v>
      </c>
      <c r="N396" s="45" t="s">
        <v>1571</v>
      </c>
    </row>
    <row r="397" spans="1:14" x14ac:dyDescent="0.3">
      <c r="A397" s="123">
        <v>17</v>
      </c>
      <c r="B397" s="655"/>
      <c r="C397" s="15">
        <v>45405</v>
      </c>
      <c r="D397" s="223" t="s">
        <v>311</v>
      </c>
      <c r="E397" s="125" t="s">
        <v>320</v>
      </c>
      <c r="F397" s="125" t="s">
        <v>409</v>
      </c>
      <c r="G397" s="198" t="s">
        <v>1412</v>
      </c>
      <c r="H397" s="125" t="s">
        <v>1413</v>
      </c>
      <c r="I397" s="198" t="s">
        <v>1581</v>
      </c>
      <c r="J397" s="125"/>
      <c r="K397" s="224" t="s">
        <v>328</v>
      </c>
      <c r="L397" s="125" t="s">
        <v>309</v>
      </c>
      <c r="M397" s="96">
        <v>500000</v>
      </c>
      <c r="N397" s="45" t="s">
        <v>1589</v>
      </c>
    </row>
    <row r="398" spans="1:14" x14ac:dyDescent="0.3">
      <c r="A398" s="123">
        <v>17</v>
      </c>
      <c r="B398" s="655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9" t="s">
        <v>1133</v>
      </c>
      <c r="L398" s="6" t="s">
        <v>15</v>
      </c>
      <c r="M398" s="96">
        <v>500000</v>
      </c>
      <c r="N398" s="45" t="s">
        <v>1570</v>
      </c>
    </row>
    <row r="399" spans="1:14" x14ac:dyDescent="0.3">
      <c r="A399" s="123">
        <v>17</v>
      </c>
      <c r="B399" s="655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8" t="s">
        <v>221</v>
      </c>
      <c r="L399" s="6" t="s">
        <v>15</v>
      </c>
      <c r="M399" s="96">
        <v>250000</v>
      </c>
      <c r="N399" s="45" t="s">
        <v>1655</v>
      </c>
    </row>
    <row r="400" spans="1:14" ht="27" x14ac:dyDescent="0.3">
      <c r="A400" s="123">
        <v>17</v>
      </c>
      <c r="B400" s="655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14" t="s">
        <v>1657</v>
      </c>
      <c r="L400" s="6" t="s">
        <v>15</v>
      </c>
      <c r="M400" s="96">
        <v>500000</v>
      </c>
      <c r="N400" s="45" t="s">
        <v>1584</v>
      </c>
    </row>
    <row r="401" spans="1:14" x14ac:dyDescent="0.3">
      <c r="A401" s="123">
        <v>17</v>
      </c>
      <c r="B401" s="655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9" t="s">
        <v>1133</v>
      </c>
      <c r="L401" s="6" t="s">
        <v>15</v>
      </c>
      <c r="M401" s="96">
        <v>500000</v>
      </c>
      <c r="N401" s="45" t="s">
        <v>1570</v>
      </c>
    </row>
    <row r="402" spans="1:14" x14ac:dyDescent="0.3">
      <c r="A402" s="123">
        <v>17</v>
      </c>
      <c r="B402" s="656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42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 x14ac:dyDescent="0.3">
      <c r="A403" s="123">
        <v>18</v>
      </c>
      <c r="B403" s="663" t="s">
        <v>1786</v>
      </c>
      <c r="C403" s="233" t="s">
        <v>1752</v>
      </c>
      <c r="D403" s="713" t="s">
        <v>306</v>
      </c>
      <c r="E403" s="713" t="s">
        <v>322</v>
      </c>
      <c r="F403" s="713" t="s">
        <v>307</v>
      </c>
      <c r="G403" s="719">
        <v>3306</v>
      </c>
      <c r="H403" s="713" t="s">
        <v>1153</v>
      </c>
      <c r="I403" s="719" t="s">
        <v>1753</v>
      </c>
      <c r="J403" s="713" t="s">
        <v>664</v>
      </c>
      <c r="K403" s="790" t="s">
        <v>1288</v>
      </c>
      <c r="L403" s="713" t="s">
        <v>324</v>
      </c>
      <c r="M403" s="717" t="s">
        <v>1754</v>
      </c>
      <c r="N403" s="713" t="s">
        <v>665</v>
      </c>
    </row>
    <row r="404" spans="1:14" x14ac:dyDescent="0.3">
      <c r="A404" s="123">
        <v>18</v>
      </c>
      <c r="B404" s="664"/>
      <c r="C404" s="233" t="s">
        <v>1755</v>
      </c>
      <c r="D404" s="714"/>
      <c r="E404" s="714"/>
      <c r="F404" s="714"/>
      <c r="G404" s="720"/>
      <c r="H404" s="714"/>
      <c r="I404" s="720"/>
      <c r="J404" s="714"/>
      <c r="K404" s="791"/>
      <c r="L404" s="714"/>
      <c r="M404" s="718"/>
      <c r="N404" s="714"/>
    </row>
    <row r="405" spans="1:14" ht="22.5" x14ac:dyDescent="0.3">
      <c r="A405" s="123">
        <v>18</v>
      </c>
      <c r="B405" s="664"/>
      <c r="C405" s="233" t="s">
        <v>1756</v>
      </c>
      <c r="D405" s="233" t="s">
        <v>306</v>
      </c>
      <c r="E405" s="233" t="s">
        <v>322</v>
      </c>
      <c r="F405" s="233" t="s">
        <v>307</v>
      </c>
      <c r="G405" s="234">
        <v>3306</v>
      </c>
      <c r="H405" s="233" t="s">
        <v>1153</v>
      </c>
      <c r="I405" s="234" t="s">
        <v>1757</v>
      </c>
      <c r="J405" s="233" t="s">
        <v>664</v>
      </c>
      <c r="K405" s="233" t="s">
        <v>698</v>
      </c>
      <c r="L405" s="233" t="s">
        <v>324</v>
      </c>
      <c r="M405" s="540" t="s">
        <v>1758</v>
      </c>
      <c r="N405" s="233"/>
    </row>
    <row r="406" spans="1:14" ht="16.5" customHeight="1" x14ac:dyDescent="0.3">
      <c r="A406" s="123">
        <v>18</v>
      </c>
      <c r="B406" s="664"/>
      <c r="C406" s="233" t="s">
        <v>1759</v>
      </c>
      <c r="D406" s="713" t="s">
        <v>306</v>
      </c>
      <c r="E406" s="713" t="s">
        <v>322</v>
      </c>
      <c r="F406" s="713" t="s">
        <v>307</v>
      </c>
      <c r="G406" s="719" t="s">
        <v>1760</v>
      </c>
      <c r="H406" s="713" t="s">
        <v>347</v>
      </c>
      <c r="I406" s="719" t="s">
        <v>1154</v>
      </c>
      <c r="J406" s="713" t="s">
        <v>664</v>
      </c>
      <c r="K406" s="713" t="s">
        <v>1761</v>
      </c>
      <c r="L406" s="713" t="s">
        <v>324</v>
      </c>
      <c r="M406" s="717" t="s">
        <v>1762</v>
      </c>
      <c r="N406" s="713" t="s">
        <v>665</v>
      </c>
    </row>
    <row r="407" spans="1:14" x14ac:dyDescent="0.3">
      <c r="A407" s="123">
        <v>18</v>
      </c>
      <c r="B407" s="664"/>
      <c r="C407" s="233" t="s">
        <v>1763</v>
      </c>
      <c r="D407" s="714"/>
      <c r="E407" s="714"/>
      <c r="F407" s="714"/>
      <c r="G407" s="720"/>
      <c r="H407" s="714"/>
      <c r="I407" s="720"/>
      <c r="J407" s="714"/>
      <c r="K407" s="714"/>
      <c r="L407" s="714"/>
      <c r="M407" s="718"/>
      <c r="N407" s="714"/>
    </row>
    <row r="408" spans="1:14" ht="16.5" customHeight="1" x14ac:dyDescent="0.3">
      <c r="A408" s="123">
        <v>18</v>
      </c>
      <c r="B408" s="664"/>
      <c r="C408" s="235" t="s">
        <v>1764</v>
      </c>
      <c r="D408" s="713" t="s">
        <v>306</v>
      </c>
      <c r="E408" s="713" t="s">
        <v>322</v>
      </c>
      <c r="F408" s="713" t="s">
        <v>307</v>
      </c>
      <c r="G408" s="719" t="s">
        <v>1765</v>
      </c>
      <c r="H408" s="713" t="s">
        <v>329</v>
      </c>
      <c r="I408" s="719" t="s">
        <v>1766</v>
      </c>
      <c r="J408" s="713" t="s">
        <v>664</v>
      </c>
      <c r="K408" s="713" t="s">
        <v>1767</v>
      </c>
      <c r="L408" s="713" t="s">
        <v>324</v>
      </c>
      <c r="M408" s="717" t="s">
        <v>1768</v>
      </c>
      <c r="N408" s="713" t="s">
        <v>1769</v>
      </c>
    </row>
    <row r="409" spans="1:14" x14ac:dyDescent="0.3">
      <c r="A409" s="123">
        <v>18</v>
      </c>
      <c r="B409" s="665"/>
      <c r="C409" s="233" t="s">
        <v>1770</v>
      </c>
      <c r="D409" s="714"/>
      <c r="E409" s="714"/>
      <c r="F409" s="714"/>
      <c r="G409" s="720"/>
      <c r="H409" s="714"/>
      <c r="I409" s="720"/>
      <c r="J409" s="714"/>
      <c r="K409" s="714"/>
      <c r="L409" s="714"/>
      <c r="M409" s="718"/>
      <c r="N409" s="714"/>
    </row>
    <row r="410" spans="1:14" ht="16.5" customHeight="1" x14ac:dyDescent="0.3">
      <c r="A410" s="123">
        <v>18</v>
      </c>
      <c r="B410" s="663" t="s">
        <v>253</v>
      </c>
      <c r="C410" s="721" t="s">
        <v>1771</v>
      </c>
      <c r="D410" s="713" t="s">
        <v>311</v>
      </c>
      <c r="E410" s="713" t="s">
        <v>320</v>
      </c>
      <c r="F410" s="713" t="s">
        <v>709</v>
      </c>
      <c r="G410" s="713" t="s">
        <v>1772</v>
      </c>
      <c r="H410" s="721" t="s">
        <v>1773</v>
      </c>
      <c r="I410" s="234" t="s">
        <v>1774</v>
      </c>
      <c r="J410" s="713"/>
      <c r="K410" s="723" t="s">
        <v>1775</v>
      </c>
      <c r="L410" s="713" t="s">
        <v>309</v>
      </c>
      <c r="M410" s="717" t="s">
        <v>1768</v>
      </c>
      <c r="N410" s="713" t="s">
        <v>1776</v>
      </c>
    </row>
    <row r="411" spans="1:14" x14ac:dyDescent="0.3">
      <c r="A411" s="123">
        <v>18</v>
      </c>
      <c r="B411" s="664"/>
      <c r="C411" s="722"/>
      <c r="D411" s="714"/>
      <c r="E411" s="714"/>
      <c r="F411" s="714"/>
      <c r="G411" s="714"/>
      <c r="H411" s="722"/>
      <c r="I411" s="234" t="s">
        <v>1777</v>
      </c>
      <c r="J411" s="714"/>
      <c r="K411" s="724"/>
      <c r="L411" s="714"/>
      <c r="M411" s="718"/>
      <c r="N411" s="714"/>
    </row>
    <row r="412" spans="1:14" ht="22.5" x14ac:dyDescent="0.3">
      <c r="A412" s="123">
        <v>18</v>
      </c>
      <c r="B412" s="664"/>
      <c r="C412" s="235" t="s">
        <v>1778</v>
      </c>
      <c r="D412" s="235" t="s">
        <v>311</v>
      </c>
      <c r="E412" s="233" t="s">
        <v>320</v>
      </c>
      <c r="F412" s="233" t="s">
        <v>409</v>
      </c>
      <c r="G412" s="234" t="s">
        <v>1412</v>
      </c>
      <c r="H412" s="233" t="s">
        <v>347</v>
      </c>
      <c r="I412" s="234" t="s">
        <v>1581</v>
      </c>
      <c r="J412" s="233"/>
      <c r="K412" s="241" t="s">
        <v>328</v>
      </c>
      <c r="L412" s="233" t="s">
        <v>309</v>
      </c>
      <c r="M412" s="540" t="s">
        <v>1768</v>
      </c>
      <c r="N412" s="233" t="s">
        <v>1779</v>
      </c>
    </row>
    <row r="413" spans="1:14" ht="16.5" customHeight="1" x14ac:dyDescent="0.3">
      <c r="A413" s="123">
        <v>18</v>
      </c>
      <c r="B413" s="664"/>
      <c r="C413" s="721" t="s">
        <v>1780</v>
      </c>
      <c r="D413" s="721" t="s">
        <v>700</v>
      </c>
      <c r="E413" s="713" t="s">
        <v>675</v>
      </c>
      <c r="F413" s="721" t="s">
        <v>1781</v>
      </c>
      <c r="G413" s="721" t="s">
        <v>1782</v>
      </c>
      <c r="H413" s="721" t="s">
        <v>662</v>
      </c>
      <c r="I413" s="234" t="s">
        <v>1783</v>
      </c>
      <c r="J413" s="713" t="s">
        <v>638</v>
      </c>
      <c r="K413" s="713" t="s">
        <v>731</v>
      </c>
      <c r="L413" s="713" t="s">
        <v>309</v>
      </c>
      <c r="M413" s="717" t="s">
        <v>1784</v>
      </c>
      <c r="N413" s="713" t="s">
        <v>1785</v>
      </c>
    </row>
    <row r="414" spans="1:14" x14ac:dyDescent="0.3">
      <c r="A414" s="123">
        <v>18</v>
      </c>
      <c r="B414" s="665"/>
      <c r="C414" s="722"/>
      <c r="D414" s="722"/>
      <c r="E414" s="714"/>
      <c r="F414" s="722"/>
      <c r="G414" s="722"/>
      <c r="H414" s="722"/>
      <c r="I414" s="26"/>
      <c r="J414" s="714"/>
      <c r="K414" s="714"/>
      <c r="L414" s="714"/>
      <c r="M414" s="718"/>
      <c r="N414" s="714"/>
    </row>
    <row r="415" spans="1:14" ht="16.5" customHeight="1" x14ac:dyDescent="0.3">
      <c r="A415" s="123">
        <v>19</v>
      </c>
      <c r="B415" s="663" t="s">
        <v>20</v>
      </c>
      <c r="C415" s="148" t="s">
        <v>1798</v>
      </c>
      <c r="D415" s="650" t="s">
        <v>306</v>
      </c>
      <c r="E415" s="650" t="s">
        <v>322</v>
      </c>
      <c r="F415" s="650" t="s">
        <v>307</v>
      </c>
      <c r="G415" s="652" t="s">
        <v>1800</v>
      </c>
      <c r="H415" s="650" t="s">
        <v>1801</v>
      </c>
      <c r="I415" s="652" t="s">
        <v>1796</v>
      </c>
      <c r="J415" s="650" t="s">
        <v>664</v>
      </c>
      <c r="K415" s="148" t="s">
        <v>1520</v>
      </c>
      <c r="L415" s="650" t="s">
        <v>324</v>
      </c>
      <c r="M415" s="660" t="s">
        <v>1803</v>
      </c>
      <c r="N415" s="650" t="s">
        <v>665</v>
      </c>
    </row>
    <row r="416" spans="1:14" x14ac:dyDescent="0.3">
      <c r="A416" s="123">
        <v>19</v>
      </c>
      <c r="B416" s="664"/>
      <c r="C416" s="148" t="s">
        <v>1799</v>
      </c>
      <c r="D416" s="651"/>
      <c r="E416" s="651"/>
      <c r="F416" s="651"/>
      <c r="G416" s="653"/>
      <c r="H416" s="651"/>
      <c r="I416" s="653"/>
      <c r="J416" s="651"/>
      <c r="K416" s="148" t="s">
        <v>1802</v>
      </c>
      <c r="L416" s="651"/>
      <c r="M416" s="661"/>
      <c r="N416" s="651"/>
    </row>
    <row r="417" spans="1:14" x14ac:dyDescent="0.3">
      <c r="A417" s="123">
        <v>19</v>
      </c>
      <c r="B417" s="664"/>
      <c r="C417" s="148" t="s">
        <v>1804</v>
      </c>
      <c r="D417" s="650" t="s">
        <v>306</v>
      </c>
      <c r="E417" s="650" t="s">
        <v>322</v>
      </c>
      <c r="F417" s="650" t="s">
        <v>307</v>
      </c>
      <c r="G417" s="652" t="s">
        <v>1805</v>
      </c>
      <c r="H417" s="650" t="s">
        <v>1806</v>
      </c>
      <c r="I417" s="652" t="s">
        <v>1807</v>
      </c>
      <c r="J417" s="650" t="s">
        <v>664</v>
      </c>
      <c r="K417" s="715" t="s">
        <v>1155</v>
      </c>
      <c r="L417" s="650" t="s">
        <v>324</v>
      </c>
      <c r="M417" s="660" t="s">
        <v>1808</v>
      </c>
      <c r="N417" s="650" t="s">
        <v>665</v>
      </c>
    </row>
    <row r="418" spans="1:14" x14ac:dyDescent="0.3">
      <c r="A418" s="123">
        <v>19</v>
      </c>
      <c r="B418" s="665"/>
      <c r="C418" s="148" t="s">
        <v>1799</v>
      </c>
      <c r="D418" s="651"/>
      <c r="E418" s="651"/>
      <c r="F418" s="651"/>
      <c r="G418" s="653"/>
      <c r="H418" s="651"/>
      <c r="I418" s="653"/>
      <c r="J418" s="651"/>
      <c r="K418" s="716"/>
      <c r="L418" s="651"/>
      <c r="M418" s="661"/>
      <c r="N418" s="651"/>
    </row>
    <row r="419" spans="1:14" ht="16.5" customHeight="1" x14ac:dyDescent="0.3">
      <c r="A419" s="123">
        <v>19</v>
      </c>
      <c r="B419" s="663" t="s">
        <v>21</v>
      </c>
      <c r="C419" s="705" t="s">
        <v>1809</v>
      </c>
      <c r="D419" s="705" t="s">
        <v>700</v>
      </c>
      <c r="E419" s="650" t="s">
        <v>675</v>
      </c>
      <c r="F419" s="705" t="s">
        <v>1810</v>
      </c>
      <c r="G419" s="705" t="s">
        <v>1811</v>
      </c>
      <c r="H419" s="705" t="s">
        <v>662</v>
      </c>
      <c r="I419" s="652" t="s">
        <v>1812</v>
      </c>
      <c r="J419" s="650"/>
      <c r="K419" s="707" t="s">
        <v>1813</v>
      </c>
      <c r="L419" s="650" t="s">
        <v>309</v>
      </c>
      <c r="M419" s="660" t="s">
        <v>1814</v>
      </c>
      <c r="N419" s="149" t="s">
        <v>1815</v>
      </c>
    </row>
    <row r="420" spans="1:14" x14ac:dyDescent="0.3">
      <c r="A420" s="123">
        <v>19</v>
      </c>
      <c r="B420" s="664"/>
      <c r="C420" s="706"/>
      <c r="D420" s="706"/>
      <c r="E420" s="651"/>
      <c r="F420" s="706"/>
      <c r="G420" s="706"/>
      <c r="H420" s="706"/>
      <c r="I420" s="653"/>
      <c r="J420" s="651"/>
      <c r="K420" s="708"/>
      <c r="L420" s="651"/>
      <c r="M420" s="661"/>
      <c r="N420" s="149" t="s">
        <v>1816</v>
      </c>
    </row>
    <row r="421" spans="1:14" x14ac:dyDescent="0.3">
      <c r="A421" s="123">
        <v>19</v>
      </c>
      <c r="B421" s="664"/>
      <c r="C421" s="709" t="s">
        <v>1817</v>
      </c>
      <c r="D421" s="705" t="s">
        <v>700</v>
      </c>
      <c r="E421" s="650" t="s">
        <v>320</v>
      </c>
      <c r="F421" s="650" t="s">
        <v>337</v>
      </c>
      <c r="G421" s="705" t="s">
        <v>353</v>
      </c>
      <c r="H421" s="705" t="s">
        <v>1818</v>
      </c>
      <c r="I421" s="652" t="s">
        <v>1819</v>
      </c>
      <c r="J421" s="650" t="s">
        <v>638</v>
      </c>
      <c r="K421" s="711" t="s">
        <v>692</v>
      </c>
      <c r="L421" s="650" t="s">
        <v>309</v>
      </c>
      <c r="M421" s="660" t="s">
        <v>1820</v>
      </c>
      <c r="N421" s="148" t="s">
        <v>1821</v>
      </c>
    </row>
    <row r="422" spans="1:14" x14ac:dyDescent="0.3">
      <c r="A422" s="123">
        <v>19</v>
      </c>
      <c r="B422" s="664"/>
      <c r="C422" s="710"/>
      <c r="D422" s="706"/>
      <c r="E422" s="651"/>
      <c r="F422" s="651"/>
      <c r="G422" s="706"/>
      <c r="H422" s="706"/>
      <c r="I422" s="653"/>
      <c r="J422" s="651"/>
      <c r="K422" s="712"/>
      <c r="L422" s="651"/>
      <c r="M422" s="661"/>
      <c r="N422" s="148" t="s">
        <v>1822</v>
      </c>
    </row>
    <row r="423" spans="1:14" x14ac:dyDescent="0.3">
      <c r="A423" s="123">
        <v>19</v>
      </c>
      <c r="B423" s="664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43" t="s">
        <v>713</v>
      </c>
      <c r="L423" s="148" t="s">
        <v>309</v>
      </c>
      <c r="M423" s="538" t="s">
        <v>1814</v>
      </c>
      <c r="N423" s="148" t="s">
        <v>1821</v>
      </c>
    </row>
    <row r="424" spans="1:14" x14ac:dyDescent="0.3">
      <c r="A424" s="123">
        <v>19</v>
      </c>
      <c r="B424" s="664"/>
      <c r="C424" s="705" t="s">
        <v>1824</v>
      </c>
      <c r="D424" s="705" t="s">
        <v>700</v>
      </c>
      <c r="E424" s="650" t="s">
        <v>320</v>
      </c>
      <c r="F424" s="650" t="s">
        <v>709</v>
      </c>
      <c r="G424" s="650" t="s">
        <v>1772</v>
      </c>
      <c r="H424" s="705" t="s">
        <v>1825</v>
      </c>
      <c r="I424" s="149" t="s">
        <v>1826</v>
      </c>
      <c r="J424" s="650" t="s">
        <v>638</v>
      </c>
      <c r="K424" s="650" t="s">
        <v>692</v>
      </c>
      <c r="L424" s="650" t="s">
        <v>309</v>
      </c>
      <c r="M424" s="660" t="s">
        <v>1535</v>
      </c>
      <c r="N424" s="652" t="s">
        <v>1828</v>
      </c>
    </row>
    <row r="425" spans="1:14" x14ac:dyDescent="0.3">
      <c r="A425" s="123">
        <v>19</v>
      </c>
      <c r="B425" s="664"/>
      <c r="C425" s="706"/>
      <c r="D425" s="706"/>
      <c r="E425" s="651"/>
      <c r="F425" s="651"/>
      <c r="G425" s="651"/>
      <c r="H425" s="706"/>
      <c r="I425" s="149" t="s">
        <v>1827</v>
      </c>
      <c r="J425" s="651"/>
      <c r="K425" s="651"/>
      <c r="L425" s="651"/>
      <c r="M425" s="661"/>
      <c r="N425" s="653"/>
    </row>
    <row r="426" spans="1:14" x14ac:dyDescent="0.3">
      <c r="A426" s="123">
        <v>19</v>
      </c>
      <c r="B426" s="665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7" t="s">
        <v>1102</v>
      </c>
      <c r="L426" s="148" t="s">
        <v>309</v>
      </c>
      <c r="M426" s="538" t="s">
        <v>1832</v>
      </c>
      <c r="N426" s="148" t="s">
        <v>1206</v>
      </c>
    </row>
    <row r="427" spans="1:14" x14ac:dyDescent="0.3">
      <c r="A427" s="123">
        <v>20</v>
      </c>
      <c r="B427" s="663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8" t="s">
        <v>1504</v>
      </c>
      <c r="H427" s="125" t="s">
        <v>361</v>
      </c>
      <c r="I427" s="198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664"/>
      <c r="C428" s="92" t="s">
        <v>1836</v>
      </c>
      <c r="D428" s="125" t="s">
        <v>306</v>
      </c>
      <c r="E428" s="125" t="s">
        <v>322</v>
      </c>
      <c r="F428" s="125" t="s">
        <v>307</v>
      </c>
      <c r="G428" s="198">
        <v>3306</v>
      </c>
      <c r="H428" s="125" t="s">
        <v>811</v>
      </c>
      <c r="I428" s="198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664"/>
      <c r="C429" s="92" t="s">
        <v>1794</v>
      </c>
      <c r="D429" s="4" t="s">
        <v>19</v>
      </c>
      <c r="E429" s="4" t="s">
        <v>25</v>
      </c>
      <c r="F429" s="4" t="s">
        <v>20</v>
      </c>
      <c r="G429" s="198" t="s">
        <v>1504</v>
      </c>
      <c r="H429" s="125" t="s">
        <v>331</v>
      </c>
      <c r="I429" s="198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664"/>
      <c r="C430" s="92" t="s">
        <v>1835</v>
      </c>
      <c r="D430" s="125" t="s">
        <v>306</v>
      </c>
      <c r="E430" s="125" t="s">
        <v>322</v>
      </c>
      <c r="F430" s="125" t="s">
        <v>307</v>
      </c>
      <c r="G430" s="198" t="s">
        <v>1649</v>
      </c>
      <c r="H430" s="125" t="s">
        <v>23</v>
      </c>
      <c r="I430" s="198" t="s">
        <v>1839</v>
      </c>
      <c r="J430" s="125" t="s">
        <v>94</v>
      </c>
      <c r="K430" s="188" t="s">
        <v>1749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665"/>
      <c r="C431" s="92" t="s">
        <v>1794</v>
      </c>
      <c r="D431" s="4" t="s">
        <v>19</v>
      </c>
      <c r="E431" s="4" t="s">
        <v>25</v>
      </c>
      <c r="F431" s="4" t="s">
        <v>20</v>
      </c>
      <c r="G431" s="198" t="s">
        <v>1379</v>
      </c>
      <c r="H431" s="125" t="s">
        <v>102</v>
      </c>
      <c r="I431" s="198" t="s">
        <v>1838</v>
      </c>
      <c r="J431" s="125" t="s">
        <v>94</v>
      </c>
      <c r="K431" s="188" t="s">
        <v>1588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663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42" t="s">
        <v>641</v>
      </c>
      <c r="L432" s="6"/>
      <c r="M432" s="96">
        <v>500000</v>
      </c>
      <c r="N432" s="236" t="s">
        <v>1797</v>
      </c>
    </row>
    <row r="433" spans="1:14" ht="27" x14ac:dyDescent="0.3">
      <c r="A433" s="238">
        <v>20</v>
      </c>
      <c r="B433" s="665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6" t="s">
        <v>1192</v>
      </c>
    </row>
    <row r="434" spans="1:14" ht="27" x14ac:dyDescent="0.3">
      <c r="A434" s="123">
        <v>21</v>
      </c>
      <c r="B434" s="663" t="s">
        <v>20</v>
      </c>
      <c r="C434" s="122" t="s">
        <v>1858</v>
      </c>
      <c r="D434" s="207" t="s">
        <v>306</v>
      </c>
      <c r="E434" s="207" t="s">
        <v>322</v>
      </c>
      <c r="F434" s="207" t="s">
        <v>307</v>
      </c>
      <c r="G434" s="208">
        <v>3306</v>
      </c>
      <c r="H434" s="207" t="s">
        <v>811</v>
      </c>
      <c r="I434" s="208" t="s">
        <v>1859</v>
      </c>
      <c r="J434" s="207" t="s">
        <v>168</v>
      </c>
      <c r="K434" s="175" t="s">
        <v>1135</v>
      </c>
      <c r="L434" s="207" t="s">
        <v>324</v>
      </c>
      <c r="M434" s="96">
        <v>1000000</v>
      </c>
      <c r="N434" s="207" t="s">
        <v>121</v>
      </c>
    </row>
    <row r="435" spans="1:14" ht="27" x14ac:dyDescent="0.3">
      <c r="A435" s="123">
        <v>21</v>
      </c>
      <c r="B435" s="664"/>
      <c r="C435" s="122" t="s">
        <v>1860</v>
      </c>
      <c r="D435" s="207" t="s">
        <v>306</v>
      </c>
      <c r="E435" s="207" t="s">
        <v>322</v>
      </c>
      <c r="F435" s="207" t="s">
        <v>307</v>
      </c>
      <c r="G435" s="208" t="s">
        <v>1504</v>
      </c>
      <c r="H435" s="207" t="s">
        <v>264</v>
      </c>
      <c r="I435" s="208" t="s">
        <v>1856</v>
      </c>
      <c r="J435" s="207" t="s">
        <v>168</v>
      </c>
      <c r="K435" s="4" t="s">
        <v>1659</v>
      </c>
      <c r="L435" s="207" t="s">
        <v>324</v>
      </c>
      <c r="M435" s="96">
        <v>500000</v>
      </c>
      <c r="N435" s="207" t="s">
        <v>121</v>
      </c>
    </row>
    <row r="436" spans="1:14" x14ac:dyDescent="0.3">
      <c r="A436" s="123">
        <v>21</v>
      </c>
      <c r="B436" s="664"/>
      <c r="C436" s="122">
        <v>45434</v>
      </c>
      <c r="D436" s="207" t="s">
        <v>306</v>
      </c>
      <c r="E436" s="207" t="s">
        <v>322</v>
      </c>
      <c r="F436" s="207" t="s">
        <v>307</v>
      </c>
      <c r="G436" s="208" t="s">
        <v>1504</v>
      </c>
      <c r="H436" s="207" t="s">
        <v>361</v>
      </c>
      <c r="I436" s="208" t="s">
        <v>1857</v>
      </c>
      <c r="J436" s="207" t="s">
        <v>168</v>
      </c>
      <c r="K436" s="4" t="s">
        <v>1837</v>
      </c>
      <c r="L436" s="207" t="s">
        <v>324</v>
      </c>
      <c r="M436" s="96">
        <v>250000</v>
      </c>
      <c r="N436" s="207" t="s">
        <v>121</v>
      </c>
    </row>
    <row r="437" spans="1:14" ht="27" x14ac:dyDescent="0.3">
      <c r="A437" s="123">
        <v>21</v>
      </c>
      <c r="B437" s="664"/>
      <c r="C437" s="122" t="s">
        <v>1855</v>
      </c>
      <c r="D437" s="207" t="s">
        <v>306</v>
      </c>
      <c r="E437" s="207" t="s">
        <v>322</v>
      </c>
      <c r="F437" s="207" t="s">
        <v>307</v>
      </c>
      <c r="G437" s="208">
        <v>3306</v>
      </c>
      <c r="H437" s="207" t="s">
        <v>811</v>
      </c>
      <c r="I437" s="208" t="s">
        <v>609</v>
      </c>
      <c r="J437" s="207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665"/>
      <c r="C438" s="122" t="s">
        <v>1853</v>
      </c>
      <c r="D438" s="4" t="s">
        <v>19</v>
      </c>
      <c r="E438" s="4" t="s">
        <v>25</v>
      </c>
      <c r="F438" s="4" t="s">
        <v>20</v>
      </c>
      <c r="G438" s="208" t="s">
        <v>1851</v>
      </c>
      <c r="H438" s="207" t="s">
        <v>1852</v>
      </c>
      <c r="I438" s="208" t="s">
        <v>1838</v>
      </c>
      <c r="J438" s="207" t="s">
        <v>94</v>
      </c>
      <c r="K438" s="188" t="s">
        <v>1749</v>
      </c>
      <c r="L438" s="57" t="s">
        <v>209</v>
      </c>
      <c r="M438" s="96">
        <v>1000000</v>
      </c>
      <c r="N438" s="207" t="s">
        <v>247</v>
      </c>
    </row>
    <row r="439" spans="1:14" ht="27" x14ac:dyDescent="0.3">
      <c r="A439" s="123">
        <v>21</v>
      </c>
      <c r="B439" s="66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6" t="s">
        <v>1854</v>
      </c>
    </row>
    <row r="440" spans="1:14" ht="27" x14ac:dyDescent="0.3">
      <c r="A440" s="123">
        <v>21</v>
      </c>
      <c r="B440" s="664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5" t="s">
        <v>111</v>
      </c>
      <c r="L440" s="84"/>
      <c r="M440" s="96">
        <v>250000</v>
      </c>
      <c r="N440" s="236" t="s">
        <v>1192</v>
      </c>
    </row>
    <row r="441" spans="1:14" x14ac:dyDescent="0.3">
      <c r="A441" s="123">
        <v>21</v>
      </c>
      <c r="B441" s="66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6" t="s">
        <v>1797</v>
      </c>
    </row>
    <row r="442" spans="1:14" x14ac:dyDescent="0.3">
      <c r="A442" s="123">
        <v>21</v>
      </c>
      <c r="B442" s="66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44" t="s">
        <v>641</v>
      </c>
      <c r="L442" s="237"/>
      <c r="M442" s="515">
        <v>500000</v>
      </c>
      <c r="N442" s="239" t="s">
        <v>1192</v>
      </c>
    </row>
    <row r="443" spans="1:14" s="26" customFormat="1" x14ac:dyDescent="0.3">
      <c r="A443" s="123">
        <v>21</v>
      </c>
      <c r="B443" s="66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6" t="s">
        <v>1394</v>
      </c>
    </row>
    <row r="444" spans="1:14" x14ac:dyDescent="0.3">
      <c r="A444" s="123">
        <v>22</v>
      </c>
      <c r="B444" s="66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8" t="s">
        <v>1866</v>
      </c>
      <c r="H444" s="125" t="s">
        <v>279</v>
      </c>
      <c r="I444" s="198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664"/>
      <c r="C445" s="15" t="s">
        <v>1870</v>
      </c>
      <c r="D445" s="125" t="s">
        <v>306</v>
      </c>
      <c r="E445" s="125" t="s">
        <v>322</v>
      </c>
      <c r="F445" s="125" t="s">
        <v>307</v>
      </c>
      <c r="G445" s="245" t="s">
        <v>1866</v>
      </c>
      <c r="H445" s="246" t="s">
        <v>264</v>
      </c>
      <c r="I445" s="198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664"/>
      <c r="C446" s="92">
        <v>45441</v>
      </c>
      <c r="D446" s="125" t="s">
        <v>306</v>
      </c>
      <c r="E446" s="125" t="s">
        <v>322</v>
      </c>
      <c r="F446" s="125" t="s">
        <v>307</v>
      </c>
      <c r="G446" s="245" t="s">
        <v>1866</v>
      </c>
      <c r="H446" s="246" t="s">
        <v>264</v>
      </c>
      <c r="I446" s="198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664"/>
      <c r="C447" s="92" t="s">
        <v>1872</v>
      </c>
      <c r="D447" s="125" t="s">
        <v>306</v>
      </c>
      <c r="E447" s="125" t="s">
        <v>322</v>
      </c>
      <c r="F447" s="125" t="s">
        <v>307</v>
      </c>
      <c r="G447" s="198">
        <v>3306</v>
      </c>
      <c r="H447" s="125" t="s">
        <v>1867</v>
      </c>
      <c r="I447" s="198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665"/>
      <c r="C448" s="92" t="s">
        <v>1865</v>
      </c>
      <c r="D448" s="125" t="s">
        <v>306</v>
      </c>
      <c r="E448" s="125" t="s">
        <v>322</v>
      </c>
      <c r="F448" s="125" t="s">
        <v>307</v>
      </c>
      <c r="G448" s="198" t="s">
        <v>1866</v>
      </c>
      <c r="H448" s="125" t="s">
        <v>461</v>
      </c>
      <c r="I448" s="198" t="s">
        <v>1863</v>
      </c>
      <c r="J448" s="125" t="s">
        <v>468</v>
      </c>
      <c r="K448" s="188" t="s">
        <v>1868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66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9" t="s">
        <v>641</v>
      </c>
      <c r="L449" s="6" t="s">
        <v>15</v>
      </c>
      <c r="M449" s="96">
        <v>500000</v>
      </c>
      <c r="N449" s="236" t="s">
        <v>1875</v>
      </c>
    </row>
    <row r="450" spans="1:14" ht="27" x14ac:dyDescent="0.3">
      <c r="A450" s="123">
        <v>22</v>
      </c>
      <c r="B450" s="664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6" t="s">
        <v>1192</v>
      </c>
    </row>
    <row r="451" spans="1:14" x14ac:dyDescent="0.3">
      <c r="A451" s="123">
        <v>22</v>
      </c>
      <c r="B451" s="665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9" t="s">
        <v>686</v>
      </c>
      <c r="L451" s="6" t="s">
        <v>15</v>
      </c>
      <c r="M451" s="96">
        <v>250000</v>
      </c>
      <c r="N451" s="236" t="s">
        <v>1876</v>
      </c>
    </row>
    <row r="452" spans="1:14" x14ac:dyDescent="0.3">
      <c r="A452" s="123">
        <v>23</v>
      </c>
      <c r="B452" s="663" t="s">
        <v>2082</v>
      </c>
      <c r="C452" s="250" t="s">
        <v>1910</v>
      </c>
      <c r="D452" s="685" t="s">
        <v>306</v>
      </c>
      <c r="E452" s="685" t="s">
        <v>322</v>
      </c>
      <c r="F452" s="685" t="s">
        <v>307</v>
      </c>
      <c r="G452" s="685">
        <v>3306</v>
      </c>
      <c r="H452" s="685" t="s">
        <v>1153</v>
      </c>
      <c r="I452" s="685" t="s">
        <v>1911</v>
      </c>
      <c r="J452" s="685" t="s">
        <v>1111</v>
      </c>
      <c r="K452" s="685" t="s">
        <v>692</v>
      </c>
      <c r="L452" s="685" t="s">
        <v>324</v>
      </c>
      <c r="M452" s="683" t="s">
        <v>1912</v>
      </c>
      <c r="N452" s="685" t="s">
        <v>665</v>
      </c>
    </row>
    <row r="453" spans="1:14" x14ac:dyDescent="0.3">
      <c r="A453" s="123">
        <v>23</v>
      </c>
      <c r="B453" s="664"/>
      <c r="C453" s="250" t="s">
        <v>1913</v>
      </c>
      <c r="D453" s="686"/>
      <c r="E453" s="686"/>
      <c r="F453" s="686"/>
      <c r="G453" s="686"/>
      <c r="H453" s="686"/>
      <c r="I453" s="686"/>
      <c r="J453" s="686"/>
      <c r="K453" s="686"/>
      <c r="L453" s="686"/>
      <c r="M453" s="684"/>
      <c r="N453" s="686"/>
    </row>
    <row r="454" spans="1:14" x14ac:dyDescent="0.3">
      <c r="A454" s="123">
        <v>23</v>
      </c>
      <c r="B454" s="664"/>
      <c r="C454" s="250" t="s">
        <v>1914</v>
      </c>
      <c r="D454" s="685" t="s">
        <v>306</v>
      </c>
      <c r="E454" s="685" t="s">
        <v>322</v>
      </c>
      <c r="F454" s="685" t="s">
        <v>307</v>
      </c>
      <c r="G454" s="687" t="s">
        <v>1418</v>
      </c>
      <c r="H454" s="685" t="s">
        <v>1915</v>
      </c>
      <c r="I454" s="687" t="s">
        <v>1154</v>
      </c>
      <c r="J454" s="685" t="s">
        <v>664</v>
      </c>
      <c r="K454" s="701" t="s">
        <v>1767</v>
      </c>
      <c r="L454" s="685" t="s">
        <v>324</v>
      </c>
      <c r="M454" s="683" t="s">
        <v>1535</v>
      </c>
      <c r="N454" s="685" t="s">
        <v>665</v>
      </c>
    </row>
    <row r="455" spans="1:14" x14ac:dyDescent="0.3">
      <c r="A455" s="123">
        <v>23</v>
      </c>
      <c r="B455" s="664"/>
      <c r="C455" s="250" t="s">
        <v>1913</v>
      </c>
      <c r="D455" s="686"/>
      <c r="E455" s="686"/>
      <c r="F455" s="686"/>
      <c r="G455" s="688"/>
      <c r="H455" s="686"/>
      <c r="I455" s="688"/>
      <c r="J455" s="686"/>
      <c r="K455" s="702"/>
      <c r="L455" s="686"/>
      <c r="M455" s="684"/>
      <c r="N455" s="686"/>
    </row>
    <row r="456" spans="1:14" x14ac:dyDescent="0.3">
      <c r="A456" s="123">
        <v>23</v>
      </c>
      <c r="B456" s="664"/>
      <c r="C456" s="250" t="s">
        <v>1916</v>
      </c>
      <c r="D456" s="248" t="s">
        <v>306</v>
      </c>
      <c r="E456" s="248" t="s">
        <v>322</v>
      </c>
      <c r="F456" s="248" t="s">
        <v>307</v>
      </c>
      <c r="G456" s="249" t="s">
        <v>1917</v>
      </c>
      <c r="H456" s="248" t="s">
        <v>1918</v>
      </c>
      <c r="I456" s="249" t="s">
        <v>1919</v>
      </c>
      <c r="J456" s="248" t="s">
        <v>349</v>
      </c>
      <c r="K456" s="273" t="s">
        <v>1920</v>
      </c>
      <c r="L456" s="248" t="s">
        <v>324</v>
      </c>
      <c r="M456" s="541" t="s">
        <v>1912</v>
      </c>
      <c r="N456" s="248" t="s">
        <v>425</v>
      </c>
    </row>
    <row r="457" spans="1:14" x14ac:dyDescent="0.3">
      <c r="A457" s="123">
        <v>23</v>
      </c>
      <c r="B457" s="664"/>
      <c r="C457" s="250" t="s">
        <v>1921</v>
      </c>
      <c r="D457" s="685" t="s">
        <v>306</v>
      </c>
      <c r="E457" s="685" t="s">
        <v>322</v>
      </c>
      <c r="F457" s="685" t="s">
        <v>307</v>
      </c>
      <c r="G457" s="687">
        <v>4267</v>
      </c>
      <c r="H457" s="685" t="s">
        <v>640</v>
      </c>
      <c r="I457" s="687" t="s">
        <v>1154</v>
      </c>
      <c r="J457" s="685" t="s">
        <v>664</v>
      </c>
      <c r="K457" s="701" t="s">
        <v>1767</v>
      </c>
      <c r="L457" s="685" t="s">
        <v>324</v>
      </c>
      <c r="M457" s="683" t="s">
        <v>1535</v>
      </c>
      <c r="N457" s="685" t="s">
        <v>665</v>
      </c>
    </row>
    <row r="458" spans="1:14" x14ac:dyDescent="0.3">
      <c r="A458" s="123">
        <v>23</v>
      </c>
      <c r="B458" s="664"/>
      <c r="C458" s="250" t="s">
        <v>1922</v>
      </c>
      <c r="D458" s="686"/>
      <c r="E458" s="686"/>
      <c r="F458" s="686"/>
      <c r="G458" s="688"/>
      <c r="H458" s="686"/>
      <c r="I458" s="688"/>
      <c r="J458" s="686"/>
      <c r="K458" s="702"/>
      <c r="L458" s="686"/>
      <c r="M458" s="684"/>
      <c r="N458" s="686"/>
    </row>
    <row r="459" spans="1:14" x14ac:dyDescent="0.3">
      <c r="A459" s="123">
        <v>23</v>
      </c>
      <c r="B459" s="664"/>
      <c r="C459" s="250" t="s">
        <v>1921</v>
      </c>
      <c r="D459" s="685" t="s">
        <v>306</v>
      </c>
      <c r="E459" s="685" t="s">
        <v>322</v>
      </c>
      <c r="F459" s="685" t="s">
        <v>307</v>
      </c>
      <c r="G459" s="687" t="s">
        <v>1923</v>
      </c>
      <c r="H459" s="685" t="s">
        <v>662</v>
      </c>
      <c r="I459" s="687" t="s">
        <v>1924</v>
      </c>
      <c r="J459" s="685" t="s">
        <v>349</v>
      </c>
      <c r="K459" s="703" t="s">
        <v>1920</v>
      </c>
      <c r="L459" s="685" t="s">
        <v>324</v>
      </c>
      <c r="M459" s="683" t="s">
        <v>1535</v>
      </c>
      <c r="N459" s="685" t="s">
        <v>425</v>
      </c>
    </row>
    <row r="460" spans="1:14" x14ac:dyDescent="0.3">
      <c r="A460" s="123">
        <v>23</v>
      </c>
      <c r="B460" s="665"/>
      <c r="C460" s="251" t="s">
        <v>1922</v>
      </c>
      <c r="D460" s="686"/>
      <c r="E460" s="686"/>
      <c r="F460" s="686"/>
      <c r="G460" s="688"/>
      <c r="H460" s="686"/>
      <c r="I460" s="688"/>
      <c r="J460" s="686"/>
      <c r="K460" s="704"/>
      <c r="L460" s="686"/>
      <c r="M460" s="684"/>
      <c r="N460" s="686"/>
    </row>
    <row r="461" spans="1:14" x14ac:dyDescent="0.3">
      <c r="A461" s="123">
        <v>23</v>
      </c>
      <c r="B461" s="663" t="s">
        <v>2083</v>
      </c>
      <c r="C461" s="250" t="s">
        <v>1925</v>
      </c>
      <c r="D461" s="248" t="s">
        <v>311</v>
      </c>
      <c r="E461" s="248" t="s">
        <v>675</v>
      </c>
      <c r="F461" s="248" t="s">
        <v>370</v>
      </c>
      <c r="G461" s="113">
        <v>7060</v>
      </c>
      <c r="H461" s="113" t="s">
        <v>1926</v>
      </c>
      <c r="I461" s="249" t="s">
        <v>1927</v>
      </c>
      <c r="J461" s="248" t="s">
        <v>638</v>
      </c>
      <c r="K461" s="249" t="s">
        <v>1928</v>
      </c>
      <c r="L461" s="248" t="s">
        <v>309</v>
      </c>
      <c r="M461" s="541" t="s">
        <v>1832</v>
      </c>
      <c r="N461" s="249" t="s">
        <v>1929</v>
      </c>
    </row>
    <row r="462" spans="1:14" x14ac:dyDescent="0.3">
      <c r="A462" s="123">
        <v>23</v>
      </c>
      <c r="B462" s="664"/>
      <c r="C462" s="685" t="s">
        <v>1925</v>
      </c>
      <c r="D462" s="685" t="s">
        <v>311</v>
      </c>
      <c r="E462" s="685" t="s">
        <v>675</v>
      </c>
      <c r="F462" s="685" t="s">
        <v>1930</v>
      </c>
      <c r="G462" s="685" t="s">
        <v>1931</v>
      </c>
      <c r="H462" s="792" t="s">
        <v>347</v>
      </c>
      <c r="I462" s="249" t="s">
        <v>1932</v>
      </c>
      <c r="J462" s="685"/>
      <c r="K462" s="687" t="s">
        <v>1928</v>
      </c>
      <c r="L462" s="685" t="s">
        <v>309</v>
      </c>
      <c r="M462" s="683" t="s">
        <v>1832</v>
      </c>
      <c r="N462" s="687" t="s">
        <v>1929</v>
      </c>
    </row>
    <row r="463" spans="1:14" x14ac:dyDescent="0.3">
      <c r="A463" s="123">
        <v>23</v>
      </c>
      <c r="B463" s="664"/>
      <c r="C463" s="686"/>
      <c r="D463" s="686"/>
      <c r="E463" s="686"/>
      <c r="F463" s="686"/>
      <c r="G463" s="686"/>
      <c r="H463" s="793"/>
      <c r="I463" s="249" t="s">
        <v>1933</v>
      </c>
      <c r="J463" s="686"/>
      <c r="K463" s="688"/>
      <c r="L463" s="686"/>
      <c r="M463" s="684"/>
      <c r="N463" s="688"/>
    </row>
    <row r="464" spans="1:14" ht="24" x14ac:dyDescent="0.3">
      <c r="A464" s="123">
        <v>23</v>
      </c>
      <c r="B464" s="664"/>
      <c r="C464" s="252" t="s">
        <v>1916</v>
      </c>
      <c r="D464" s="113" t="s">
        <v>311</v>
      </c>
      <c r="E464" s="248" t="s">
        <v>320</v>
      </c>
      <c r="F464" s="113" t="s">
        <v>690</v>
      </c>
      <c r="G464" s="113" t="s">
        <v>1934</v>
      </c>
      <c r="H464" s="113" t="s">
        <v>662</v>
      </c>
      <c r="I464" s="249" t="s">
        <v>1935</v>
      </c>
      <c r="J464" s="248"/>
      <c r="K464" s="248" t="s">
        <v>1936</v>
      </c>
      <c r="L464" s="248" t="s">
        <v>309</v>
      </c>
      <c r="M464" s="541" t="s">
        <v>1937</v>
      </c>
      <c r="N464" s="249" t="s">
        <v>1938</v>
      </c>
    </row>
    <row r="465" spans="1:14" x14ac:dyDescent="0.3">
      <c r="A465" s="123">
        <v>23</v>
      </c>
      <c r="B465" s="665"/>
      <c r="C465" s="252" t="s">
        <v>1939</v>
      </c>
      <c r="D465" s="113" t="s">
        <v>311</v>
      </c>
      <c r="E465" s="248" t="s">
        <v>320</v>
      </c>
      <c r="F465" s="113" t="s">
        <v>337</v>
      </c>
      <c r="G465" s="113" t="s">
        <v>353</v>
      </c>
      <c r="H465" s="113" t="s">
        <v>1940</v>
      </c>
      <c r="I465" s="249" t="s">
        <v>1941</v>
      </c>
      <c r="J465" s="248" t="s">
        <v>638</v>
      </c>
      <c r="K465" s="277" t="s">
        <v>698</v>
      </c>
      <c r="L465" s="248" t="s">
        <v>309</v>
      </c>
      <c r="M465" s="541" t="s">
        <v>1814</v>
      </c>
      <c r="N465" s="249" t="s">
        <v>1776</v>
      </c>
    </row>
    <row r="466" spans="1:14" ht="27" x14ac:dyDescent="0.3">
      <c r="A466" s="123">
        <v>24</v>
      </c>
      <c r="B466" s="663" t="s">
        <v>2084</v>
      </c>
      <c r="C466" s="92" t="s">
        <v>1944</v>
      </c>
      <c r="D466" s="207" t="s">
        <v>306</v>
      </c>
      <c r="E466" s="207" t="s">
        <v>322</v>
      </c>
      <c r="F466" s="207" t="s">
        <v>307</v>
      </c>
      <c r="G466" s="208" t="s">
        <v>1518</v>
      </c>
      <c r="H466" s="207" t="s">
        <v>482</v>
      </c>
      <c r="I466" s="208" t="s">
        <v>1948</v>
      </c>
      <c r="J466" s="207" t="s">
        <v>168</v>
      </c>
      <c r="K466" s="275" t="s">
        <v>1659</v>
      </c>
      <c r="L466" s="207" t="s">
        <v>324</v>
      </c>
      <c r="M466" s="96">
        <v>500000</v>
      </c>
      <c r="N466" s="207" t="s">
        <v>121</v>
      </c>
    </row>
    <row r="467" spans="1:14" ht="27" x14ac:dyDescent="0.3">
      <c r="A467" s="123">
        <v>24</v>
      </c>
      <c r="B467" s="664"/>
      <c r="C467" s="92" t="s">
        <v>1945</v>
      </c>
      <c r="D467" s="207" t="s">
        <v>306</v>
      </c>
      <c r="E467" s="207" t="s">
        <v>322</v>
      </c>
      <c r="F467" s="207" t="s">
        <v>307</v>
      </c>
      <c r="G467" s="208">
        <v>4267</v>
      </c>
      <c r="H467" s="207" t="s">
        <v>18</v>
      </c>
      <c r="I467" s="208" t="s">
        <v>1948</v>
      </c>
      <c r="J467" s="207" t="s">
        <v>168</v>
      </c>
      <c r="K467" s="275" t="s">
        <v>1659</v>
      </c>
      <c r="L467" s="207" t="s">
        <v>324</v>
      </c>
      <c r="M467" s="96">
        <v>500000</v>
      </c>
      <c r="N467" s="207" t="s">
        <v>121</v>
      </c>
    </row>
    <row r="468" spans="1:14" x14ac:dyDescent="0.3">
      <c r="A468" s="123">
        <v>24</v>
      </c>
      <c r="B468" s="664"/>
      <c r="C468" s="92" t="s">
        <v>1946</v>
      </c>
      <c r="D468" s="207" t="s">
        <v>306</v>
      </c>
      <c r="E468" s="207" t="s">
        <v>322</v>
      </c>
      <c r="F468" s="207" t="s">
        <v>307</v>
      </c>
      <c r="G468" s="208">
        <v>3306</v>
      </c>
      <c r="H468" s="207" t="s">
        <v>1019</v>
      </c>
      <c r="I468" s="208" t="s">
        <v>1947</v>
      </c>
      <c r="J468" s="207" t="s">
        <v>168</v>
      </c>
      <c r="K468" s="275" t="s">
        <v>1837</v>
      </c>
      <c r="L468" s="207"/>
      <c r="M468" s="96">
        <v>250000</v>
      </c>
      <c r="N468" s="207" t="s">
        <v>121</v>
      </c>
    </row>
    <row r="469" spans="1:14" ht="27" x14ac:dyDescent="0.3">
      <c r="A469" s="123">
        <v>24</v>
      </c>
      <c r="B469" s="665"/>
      <c r="C469" s="92" t="s">
        <v>1949</v>
      </c>
      <c r="D469" s="207" t="s">
        <v>306</v>
      </c>
      <c r="E469" s="207" t="s">
        <v>322</v>
      </c>
      <c r="F469" s="207" t="s">
        <v>307</v>
      </c>
      <c r="G469" s="208" t="s">
        <v>1610</v>
      </c>
      <c r="H469" s="207" t="s">
        <v>264</v>
      </c>
      <c r="I469" s="208" t="s">
        <v>1878</v>
      </c>
      <c r="J469" s="207" t="s">
        <v>94</v>
      </c>
      <c r="K469" s="274" t="s">
        <v>1950</v>
      </c>
      <c r="L469" s="207" t="s">
        <v>324</v>
      </c>
      <c r="M469" s="96">
        <v>1500000</v>
      </c>
      <c r="N469" s="207" t="s">
        <v>1027</v>
      </c>
    </row>
    <row r="470" spans="1:14" ht="27" x14ac:dyDescent="0.3">
      <c r="A470" s="123">
        <v>24</v>
      </c>
      <c r="B470" s="663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8" t="s">
        <v>487</v>
      </c>
      <c r="L470" s="84" t="s">
        <v>15</v>
      </c>
      <c r="M470" s="96">
        <v>500000</v>
      </c>
      <c r="N470" s="236" t="s">
        <v>1880</v>
      </c>
    </row>
    <row r="471" spans="1:14" x14ac:dyDescent="0.3">
      <c r="A471" s="123">
        <v>24</v>
      </c>
      <c r="B471" s="664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6" t="s">
        <v>1881</v>
      </c>
    </row>
    <row r="472" spans="1:14" x14ac:dyDescent="0.3">
      <c r="A472" s="123">
        <v>24</v>
      </c>
      <c r="B472" s="664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93" t="s">
        <v>1905</v>
      </c>
      <c r="L472" s="84" t="s">
        <v>15</v>
      </c>
      <c r="M472" s="96">
        <v>250000</v>
      </c>
      <c r="N472" s="236" t="s">
        <v>1882</v>
      </c>
    </row>
    <row r="473" spans="1:14" ht="27" x14ac:dyDescent="0.3">
      <c r="A473" s="123">
        <v>24</v>
      </c>
      <c r="B473" s="664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9" t="s">
        <v>1905</v>
      </c>
      <c r="L473" s="84" t="s">
        <v>15</v>
      </c>
      <c r="M473" s="96">
        <v>250000</v>
      </c>
      <c r="N473" s="236" t="s">
        <v>1882</v>
      </c>
    </row>
    <row r="474" spans="1:14" ht="27" x14ac:dyDescent="0.3">
      <c r="A474" s="123">
        <v>24</v>
      </c>
      <c r="B474" s="66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9" t="s">
        <v>1901</v>
      </c>
      <c r="L474" s="84" t="s">
        <v>15</v>
      </c>
      <c r="M474" s="96">
        <v>250000</v>
      </c>
      <c r="N474" s="236" t="s">
        <v>1882</v>
      </c>
    </row>
    <row r="475" spans="1:14" x14ac:dyDescent="0.3">
      <c r="A475" s="123">
        <v>25</v>
      </c>
      <c r="B475" s="663" t="s">
        <v>2086</v>
      </c>
      <c r="C475" s="92" t="s">
        <v>1961</v>
      </c>
      <c r="D475" s="125" t="s">
        <v>306</v>
      </c>
      <c r="E475" s="207" t="s">
        <v>322</v>
      </c>
      <c r="F475" s="207" t="s">
        <v>307</v>
      </c>
      <c r="G475" s="208" t="s">
        <v>1518</v>
      </c>
      <c r="H475" s="207" t="s">
        <v>482</v>
      </c>
      <c r="I475" s="208" t="s">
        <v>1959</v>
      </c>
      <c r="J475" s="207" t="s">
        <v>168</v>
      </c>
      <c r="K475" s="275" t="s">
        <v>1960</v>
      </c>
      <c r="L475" s="207" t="s">
        <v>324</v>
      </c>
      <c r="M475" s="96">
        <v>250000</v>
      </c>
      <c r="N475" s="207" t="s">
        <v>121</v>
      </c>
    </row>
    <row r="476" spans="1:14" ht="27" x14ac:dyDescent="0.3">
      <c r="A476" s="123">
        <v>25</v>
      </c>
      <c r="B476" s="664"/>
      <c r="C476" s="92" t="s">
        <v>1957</v>
      </c>
      <c r="D476" s="125" t="s">
        <v>306</v>
      </c>
      <c r="E476" s="207" t="s">
        <v>322</v>
      </c>
      <c r="F476" s="207" t="s">
        <v>307</v>
      </c>
      <c r="G476" s="208">
        <v>3306</v>
      </c>
      <c r="H476" s="207" t="s">
        <v>1019</v>
      </c>
      <c r="I476" s="208" t="s">
        <v>1962</v>
      </c>
      <c r="J476" s="207" t="s">
        <v>168</v>
      </c>
      <c r="K476" s="275" t="s">
        <v>1659</v>
      </c>
      <c r="L476" s="207" t="s">
        <v>324</v>
      </c>
      <c r="M476" s="96">
        <v>500000</v>
      </c>
      <c r="N476" s="207" t="s">
        <v>121</v>
      </c>
    </row>
    <row r="477" spans="1:14" ht="27" x14ac:dyDescent="0.3">
      <c r="A477" s="123">
        <v>25</v>
      </c>
      <c r="B477" s="664"/>
      <c r="C477" s="92" t="s">
        <v>1968</v>
      </c>
      <c r="D477" s="125" t="s">
        <v>306</v>
      </c>
      <c r="E477" s="207" t="s">
        <v>322</v>
      </c>
      <c r="F477" s="207" t="s">
        <v>307</v>
      </c>
      <c r="G477" s="208" t="s">
        <v>1324</v>
      </c>
      <c r="H477" s="207" t="s">
        <v>83</v>
      </c>
      <c r="I477" s="208" t="s">
        <v>1966</v>
      </c>
      <c r="J477" s="207" t="s">
        <v>168</v>
      </c>
      <c r="K477" s="275" t="s">
        <v>1659</v>
      </c>
      <c r="L477" s="207"/>
      <c r="M477" s="96">
        <v>500000</v>
      </c>
      <c r="N477" s="207" t="s">
        <v>121</v>
      </c>
    </row>
    <row r="478" spans="1:14" ht="27" x14ac:dyDescent="0.3">
      <c r="A478" s="123">
        <v>25</v>
      </c>
      <c r="B478" s="665"/>
      <c r="C478" s="92" t="s">
        <v>1957</v>
      </c>
      <c r="D478" s="125" t="s">
        <v>306</v>
      </c>
      <c r="E478" s="207" t="s">
        <v>322</v>
      </c>
      <c r="F478" s="207" t="s">
        <v>307</v>
      </c>
      <c r="G478" s="208" t="s">
        <v>1529</v>
      </c>
      <c r="H478" s="207" t="s">
        <v>40</v>
      </c>
      <c r="I478" s="208" t="s">
        <v>1958</v>
      </c>
      <c r="J478" s="207" t="s">
        <v>94</v>
      </c>
      <c r="K478" s="274" t="s">
        <v>1749</v>
      </c>
      <c r="L478" s="207" t="s">
        <v>324</v>
      </c>
      <c r="M478" s="96">
        <v>1000000</v>
      </c>
      <c r="N478" s="207" t="s">
        <v>247</v>
      </c>
    </row>
    <row r="479" spans="1:14" ht="27" x14ac:dyDescent="0.3">
      <c r="A479" s="123">
        <v>25</v>
      </c>
      <c r="B479" s="663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8" t="s">
        <v>487</v>
      </c>
      <c r="L479" s="84" t="s">
        <v>69</v>
      </c>
      <c r="M479" s="96">
        <v>500000</v>
      </c>
      <c r="N479" s="236" t="s">
        <v>1967</v>
      </c>
    </row>
    <row r="480" spans="1:14" ht="27" x14ac:dyDescent="0.3">
      <c r="A480" s="123">
        <v>25</v>
      </c>
      <c r="B480" s="66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8" t="s">
        <v>685</v>
      </c>
      <c r="L480" s="84" t="s">
        <v>69</v>
      </c>
      <c r="M480" s="96">
        <v>500000</v>
      </c>
      <c r="N480" s="236" t="s">
        <v>1965</v>
      </c>
    </row>
    <row r="481" spans="1:14" ht="27" x14ac:dyDescent="0.3">
      <c r="A481" s="238">
        <v>25</v>
      </c>
      <c r="B481" s="665"/>
      <c r="C481" s="254">
        <v>45463</v>
      </c>
      <c r="D481" s="254" t="s">
        <v>21</v>
      </c>
      <c r="E481" s="254" t="s">
        <v>17</v>
      </c>
      <c r="F481" s="254" t="s">
        <v>953</v>
      </c>
      <c r="G481" s="254" t="s">
        <v>1954</v>
      </c>
      <c r="H481" s="255" t="s">
        <v>205</v>
      </c>
      <c r="I481" s="255" t="s">
        <v>1955</v>
      </c>
      <c r="J481" s="270"/>
      <c r="K481" s="254" t="s">
        <v>255</v>
      </c>
      <c r="L481" s="271" t="s">
        <v>69</v>
      </c>
      <c r="M481" s="542">
        <v>300000</v>
      </c>
      <c r="N481" s="272" t="s">
        <v>1880</v>
      </c>
    </row>
    <row r="482" spans="1:14" ht="27" x14ac:dyDescent="0.3">
      <c r="A482" s="123">
        <v>26</v>
      </c>
      <c r="B482" s="663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8" t="s">
        <v>1975</v>
      </c>
      <c r="H482" s="125" t="s">
        <v>1976</v>
      </c>
      <c r="I482" s="198" t="s">
        <v>1978</v>
      </c>
      <c r="J482" s="125" t="s">
        <v>168</v>
      </c>
      <c r="K482" s="275" t="s">
        <v>1659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664"/>
      <c r="C483" s="92">
        <v>45469</v>
      </c>
      <c r="D483" s="125" t="s">
        <v>306</v>
      </c>
      <c r="E483" s="125" t="s">
        <v>322</v>
      </c>
      <c r="F483" s="125" t="s">
        <v>307</v>
      </c>
      <c r="G483" s="198">
        <v>4267</v>
      </c>
      <c r="H483" s="125" t="s">
        <v>125</v>
      </c>
      <c r="I483" s="198" t="s">
        <v>1981</v>
      </c>
      <c r="J483" s="125" t="s">
        <v>168</v>
      </c>
      <c r="K483" s="275" t="s">
        <v>1960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664"/>
      <c r="C484" s="92" t="s">
        <v>1971</v>
      </c>
      <c r="D484" s="125" t="s">
        <v>306</v>
      </c>
      <c r="E484" s="125" t="s">
        <v>322</v>
      </c>
      <c r="F484" s="125" t="s">
        <v>307</v>
      </c>
      <c r="G484" s="198" t="s">
        <v>1972</v>
      </c>
      <c r="H484" s="125" t="s">
        <v>1973</v>
      </c>
      <c r="I484" s="198" t="s">
        <v>1966</v>
      </c>
      <c r="J484" s="125" t="s">
        <v>168</v>
      </c>
      <c r="K484" s="275" t="s">
        <v>1659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664"/>
      <c r="C485" s="92" t="s">
        <v>1980</v>
      </c>
      <c r="D485" s="125" t="s">
        <v>306</v>
      </c>
      <c r="E485" s="125" t="s">
        <v>322</v>
      </c>
      <c r="F485" s="125" t="s">
        <v>307</v>
      </c>
      <c r="G485" s="198" t="s">
        <v>1380</v>
      </c>
      <c r="H485" s="125" t="s">
        <v>482</v>
      </c>
      <c r="I485" s="198" t="s">
        <v>833</v>
      </c>
      <c r="J485" s="125" t="s">
        <v>94</v>
      </c>
      <c r="K485" s="274" t="s">
        <v>1879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665"/>
      <c r="C486" s="92">
        <v>45472</v>
      </c>
      <c r="D486" s="125" t="s">
        <v>306</v>
      </c>
      <c r="E486" s="125" t="s">
        <v>322</v>
      </c>
      <c r="F486" s="125" t="s">
        <v>307</v>
      </c>
      <c r="G486" s="198">
        <v>3306</v>
      </c>
      <c r="H486" s="125" t="s">
        <v>1019</v>
      </c>
      <c r="I486" s="198" t="s">
        <v>1979</v>
      </c>
      <c r="J486" s="125" t="s">
        <v>94</v>
      </c>
      <c r="K486" s="274" t="s">
        <v>1749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663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53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 x14ac:dyDescent="0.3">
      <c r="A488" s="123">
        <v>26</v>
      </c>
      <c r="B488" s="66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 x14ac:dyDescent="0.3">
      <c r="A489" s="123">
        <v>26</v>
      </c>
      <c r="B489" s="66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80" t="s">
        <v>686</v>
      </c>
      <c r="L489" s="6" t="s">
        <v>69</v>
      </c>
      <c r="M489" s="96">
        <v>250000</v>
      </c>
      <c r="N489" s="8" t="s">
        <v>1984</v>
      </c>
    </row>
    <row r="490" spans="1:14" x14ac:dyDescent="0.3">
      <c r="A490" s="123">
        <v>26</v>
      </c>
      <c r="B490" s="66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66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6" t="s">
        <v>153</v>
      </c>
      <c r="L491" s="6" t="s">
        <v>1909</v>
      </c>
      <c r="M491" s="96">
        <v>250000</v>
      </c>
      <c r="N491" s="236" t="s">
        <v>1983</v>
      </c>
    </row>
    <row r="492" spans="1:14" ht="27" x14ac:dyDescent="0.3">
      <c r="A492" s="123">
        <v>27</v>
      </c>
      <c r="B492" s="663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8" t="s">
        <v>1972</v>
      </c>
      <c r="H492" s="125" t="s">
        <v>1899</v>
      </c>
      <c r="I492" s="198" t="s">
        <v>1966</v>
      </c>
      <c r="J492" s="125" t="s">
        <v>168</v>
      </c>
      <c r="K492" s="184" t="s">
        <v>1659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664"/>
      <c r="C493" s="92">
        <v>45476</v>
      </c>
      <c r="D493" s="125" t="s">
        <v>306</v>
      </c>
      <c r="E493" s="125" t="s">
        <v>322</v>
      </c>
      <c r="F493" s="125" t="s">
        <v>307</v>
      </c>
      <c r="G493" s="198">
        <v>4267</v>
      </c>
      <c r="H493" s="125" t="s">
        <v>125</v>
      </c>
      <c r="I493" s="198" t="s">
        <v>2093</v>
      </c>
      <c r="J493" s="125" t="s">
        <v>168</v>
      </c>
      <c r="K493" s="184" t="s">
        <v>1837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664"/>
      <c r="C494" s="92" t="s">
        <v>2091</v>
      </c>
      <c r="D494" s="125" t="s">
        <v>306</v>
      </c>
      <c r="E494" s="125" t="s">
        <v>322</v>
      </c>
      <c r="F494" s="125" t="s">
        <v>307</v>
      </c>
      <c r="G494" s="198" t="s">
        <v>2089</v>
      </c>
      <c r="H494" s="125" t="s">
        <v>40</v>
      </c>
      <c r="I494" s="198" t="s">
        <v>1966</v>
      </c>
      <c r="J494" s="125" t="s">
        <v>168</v>
      </c>
      <c r="K494" s="184" t="s">
        <v>1659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664"/>
      <c r="C495" s="92" t="s">
        <v>2090</v>
      </c>
      <c r="D495" s="125" t="s">
        <v>306</v>
      </c>
      <c r="E495" s="125" t="s">
        <v>322</v>
      </c>
      <c r="F495" s="125" t="s">
        <v>307</v>
      </c>
      <c r="G495" s="198" t="s">
        <v>1324</v>
      </c>
      <c r="H495" s="125" t="s">
        <v>83</v>
      </c>
      <c r="I495" s="198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664"/>
      <c r="C496" s="92" t="s">
        <v>2091</v>
      </c>
      <c r="D496" s="125" t="s">
        <v>306</v>
      </c>
      <c r="E496" s="125" t="s">
        <v>322</v>
      </c>
      <c r="F496" s="125" t="s">
        <v>307</v>
      </c>
      <c r="G496" s="198">
        <v>3306</v>
      </c>
      <c r="H496" s="125" t="s">
        <v>811</v>
      </c>
      <c r="I496" s="198" t="s">
        <v>2095</v>
      </c>
      <c r="J496" s="125" t="s">
        <v>94</v>
      </c>
      <c r="K496" s="188" t="s">
        <v>1749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665"/>
      <c r="C497" s="92">
        <v>45479</v>
      </c>
      <c r="D497" s="125" t="s">
        <v>306</v>
      </c>
      <c r="E497" s="125" t="s">
        <v>322</v>
      </c>
      <c r="F497" s="125" t="s">
        <v>307</v>
      </c>
      <c r="G497" s="198">
        <v>4267</v>
      </c>
      <c r="H497" s="125" t="s">
        <v>125</v>
      </c>
      <c r="I497" s="198" t="s">
        <v>1878</v>
      </c>
      <c r="J497" s="125" t="s">
        <v>94</v>
      </c>
      <c r="K497" s="188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66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53" t="s">
        <v>1412</v>
      </c>
      <c r="H498" s="9" t="s">
        <v>1391</v>
      </c>
      <c r="I498" s="9" t="s">
        <v>1426</v>
      </c>
      <c r="J498" s="13" t="s">
        <v>638</v>
      </c>
      <c r="K498" s="295" t="s">
        <v>2298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66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6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 x14ac:dyDescent="0.3">
      <c r="A500" s="123">
        <v>27</v>
      </c>
      <c r="B500" s="66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663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8" t="s">
        <v>2089</v>
      </c>
      <c r="H501" s="125" t="s">
        <v>23</v>
      </c>
      <c r="I501" s="198" t="s">
        <v>1966</v>
      </c>
      <c r="J501" s="125" t="s">
        <v>168</v>
      </c>
      <c r="K501" s="184" t="s">
        <v>1873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664"/>
      <c r="C502" s="92" t="s">
        <v>2110</v>
      </c>
      <c r="D502" s="125" t="s">
        <v>306</v>
      </c>
      <c r="E502" s="125" t="s">
        <v>322</v>
      </c>
      <c r="F502" s="125" t="s">
        <v>307</v>
      </c>
      <c r="G502" s="198" t="s">
        <v>1972</v>
      </c>
      <c r="H502" s="125" t="s">
        <v>1899</v>
      </c>
      <c r="I502" s="198" t="s">
        <v>1966</v>
      </c>
      <c r="J502" s="125" t="s">
        <v>168</v>
      </c>
      <c r="K502" s="184" t="s">
        <v>1963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664"/>
      <c r="C503" s="92">
        <v>45481</v>
      </c>
      <c r="D503" s="125" t="s">
        <v>306</v>
      </c>
      <c r="E503" s="125" t="s">
        <v>322</v>
      </c>
      <c r="F503" s="125" t="s">
        <v>307</v>
      </c>
      <c r="G503" s="198">
        <v>3306</v>
      </c>
      <c r="H503" s="125" t="s">
        <v>811</v>
      </c>
      <c r="I503" s="198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665"/>
      <c r="C504" s="92" t="s">
        <v>2110</v>
      </c>
      <c r="D504" s="125" t="s">
        <v>306</v>
      </c>
      <c r="E504" s="125" t="s">
        <v>322</v>
      </c>
      <c r="F504" s="125" t="s">
        <v>307</v>
      </c>
      <c r="G504" s="198">
        <v>3306</v>
      </c>
      <c r="H504" s="125" t="s">
        <v>811</v>
      </c>
      <c r="I504" s="198" t="s">
        <v>2114</v>
      </c>
      <c r="J504" s="125" t="s">
        <v>94</v>
      </c>
      <c r="K504" s="188" t="s">
        <v>2111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66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5" t="s">
        <v>2296</v>
      </c>
      <c r="L505" s="6" t="s">
        <v>2104</v>
      </c>
      <c r="M505" s="96">
        <v>500000</v>
      </c>
      <c r="N505" s="8" t="s">
        <v>2106</v>
      </c>
    </row>
    <row r="506" spans="1:14" ht="27" x14ac:dyDescent="0.3">
      <c r="A506" s="123">
        <v>28</v>
      </c>
      <c r="B506" s="66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 x14ac:dyDescent="0.3">
      <c r="A507" s="123">
        <v>29</v>
      </c>
      <c r="B507" s="663" t="s">
        <v>2165</v>
      </c>
      <c r="C507" s="122" t="s">
        <v>2125</v>
      </c>
      <c r="D507" s="207" t="s">
        <v>306</v>
      </c>
      <c r="E507" s="207" t="s">
        <v>322</v>
      </c>
      <c r="F507" s="207" t="s">
        <v>307</v>
      </c>
      <c r="G507" s="208" t="s">
        <v>2089</v>
      </c>
      <c r="H507" s="207" t="s">
        <v>40</v>
      </c>
      <c r="I507" s="208" t="s">
        <v>2121</v>
      </c>
      <c r="J507" s="207" t="s">
        <v>168</v>
      </c>
      <c r="K507" s="184" t="s">
        <v>2122</v>
      </c>
      <c r="L507" s="207" t="s">
        <v>209</v>
      </c>
      <c r="M507" s="96">
        <v>750000</v>
      </c>
      <c r="N507" s="207" t="s">
        <v>1974</v>
      </c>
    </row>
    <row r="508" spans="1:14" ht="27" x14ac:dyDescent="0.3">
      <c r="A508" s="123">
        <v>29</v>
      </c>
      <c r="B508" s="664"/>
      <c r="C508" s="122" t="s">
        <v>2123</v>
      </c>
      <c r="D508" s="207" t="s">
        <v>306</v>
      </c>
      <c r="E508" s="207" t="s">
        <v>322</v>
      </c>
      <c r="F508" s="207" t="s">
        <v>307</v>
      </c>
      <c r="G508" s="198" t="s">
        <v>1972</v>
      </c>
      <c r="H508" s="125" t="s">
        <v>1899</v>
      </c>
      <c r="I508" s="198" t="s">
        <v>1966</v>
      </c>
      <c r="J508" s="207" t="s">
        <v>168</v>
      </c>
      <c r="K508" s="184" t="s">
        <v>2108</v>
      </c>
      <c r="L508" s="207" t="s">
        <v>209</v>
      </c>
      <c r="M508" s="96">
        <v>500000</v>
      </c>
      <c r="N508" s="207" t="s">
        <v>121</v>
      </c>
    </row>
    <row r="509" spans="1:14" x14ac:dyDescent="0.3">
      <c r="A509" s="123">
        <v>29</v>
      </c>
      <c r="B509" s="664"/>
      <c r="C509" s="122" t="s">
        <v>2126</v>
      </c>
      <c r="D509" s="207" t="s">
        <v>306</v>
      </c>
      <c r="E509" s="207" t="s">
        <v>322</v>
      </c>
      <c r="F509" s="207" t="s">
        <v>307</v>
      </c>
      <c r="G509" s="198">
        <v>4267</v>
      </c>
      <c r="H509" s="125" t="s">
        <v>18</v>
      </c>
      <c r="I509" s="208" t="s">
        <v>2127</v>
      </c>
      <c r="J509" s="207"/>
      <c r="K509" s="188" t="s">
        <v>1619</v>
      </c>
      <c r="L509" s="207"/>
      <c r="M509" s="96">
        <v>500000</v>
      </c>
      <c r="N509" s="207" t="s">
        <v>247</v>
      </c>
    </row>
    <row r="510" spans="1:14" x14ac:dyDescent="0.3">
      <c r="A510" s="123">
        <v>29</v>
      </c>
      <c r="B510" s="664"/>
      <c r="C510" s="122" t="s">
        <v>2126</v>
      </c>
      <c r="D510" s="207" t="s">
        <v>306</v>
      </c>
      <c r="E510" s="207" t="s">
        <v>322</v>
      </c>
      <c r="F510" s="207" t="s">
        <v>307</v>
      </c>
      <c r="G510" s="198">
        <v>3306</v>
      </c>
      <c r="H510" s="125" t="s">
        <v>811</v>
      </c>
      <c r="I510" s="208" t="s">
        <v>2128</v>
      </c>
      <c r="J510" s="207"/>
      <c r="K510" s="188" t="s">
        <v>1619</v>
      </c>
      <c r="L510" s="207"/>
      <c r="M510" s="96">
        <v>500000</v>
      </c>
      <c r="N510" s="207" t="s">
        <v>247</v>
      </c>
    </row>
    <row r="511" spans="1:14" ht="27" x14ac:dyDescent="0.3">
      <c r="A511" s="123">
        <v>29</v>
      </c>
      <c r="B511" s="66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5" t="s">
        <v>41</v>
      </c>
      <c r="L511" s="6" t="s">
        <v>15</v>
      </c>
      <c r="M511" s="96">
        <v>250000</v>
      </c>
      <c r="N511" s="8" t="s">
        <v>2120</v>
      </c>
    </row>
    <row r="512" spans="1:14" x14ac:dyDescent="0.3">
      <c r="A512" s="123">
        <v>29</v>
      </c>
      <c r="B512" s="66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5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66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94" t="s">
        <v>2297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66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 x14ac:dyDescent="0.3">
      <c r="A515" s="238">
        <v>29</v>
      </c>
      <c r="B515" s="665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 x14ac:dyDescent="0.3">
      <c r="A516" s="123">
        <v>30</v>
      </c>
      <c r="B516" s="663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8" t="s">
        <v>2139</v>
      </c>
      <c r="H516" s="207" t="s">
        <v>40</v>
      </c>
      <c r="I516" s="198" t="s">
        <v>1966</v>
      </c>
      <c r="J516" s="207" t="s">
        <v>168</v>
      </c>
      <c r="K516" s="184" t="s">
        <v>2122</v>
      </c>
      <c r="L516" s="207" t="s">
        <v>209</v>
      </c>
      <c r="M516" s="96">
        <v>750000</v>
      </c>
      <c r="N516" s="207" t="s">
        <v>1974</v>
      </c>
    </row>
    <row r="517" spans="1:15" ht="27" x14ac:dyDescent="0.3">
      <c r="A517" s="123">
        <v>30</v>
      </c>
      <c r="B517" s="664"/>
      <c r="C517" s="92" t="s">
        <v>2140</v>
      </c>
      <c r="D517" s="125" t="s">
        <v>306</v>
      </c>
      <c r="E517" s="125" t="s">
        <v>322</v>
      </c>
      <c r="F517" s="125" t="s">
        <v>307</v>
      </c>
      <c r="G517" s="198" t="s">
        <v>2052</v>
      </c>
      <c r="H517" s="125" t="s">
        <v>18</v>
      </c>
      <c r="I517" s="198" t="s">
        <v>1966</v>
      </c>
      <c r="J517" s="207" t="s">
        <v>168</v>
      </c>
      <c r="K517" s="184" t="s">
        <v>2108</v>
      </c>
      <c r="L517" s="207" t="s">
        <v>209</v>
      </c>
      <c r="M517" s="96">
        <v>500000</v>
      </c>
      <c r="N517" s="207" t="s">
        <v>121</v>
      </c>
    </row>
    <row r="518" spans="1:15" ht="27" x14ac:dyDescent="0.3">
      <c r="A518" s="123">
        <v>30</v>
      </c>
      <c r="B518" s="665"/>
      <c r="C518" s="92" t="s">
        <v>2144</v>
      </c>
      <c r="D518" s="125" t="s">
        <v>306</v>
      </c>
      <c r="E518" s="125" t="s">
        <v>322</v>
      </c>
      <c r="F518" s="125" t="s">
        <v>307</v>
      </c>
      <c r="G518" s="198" t="s">
        <v>2142</v>
      </c>
      <c r="H518" s="125" t="s">
        <v>23</v>
      </c>
      <c r="I518" s="208" t="s">
        <v>2141</v>
      </c>
      <c r="J518" s="207" t="s">
        <v>292</v>
      </c>
      <c r="K518" s="188" t="s">
        <v>1572</v>
      </c>
      <c r="L518" s="207"/>
      <c r="M518" s="96">
        <v>1500000</v>
      </c>
      <c r="N518" s="207" t="s">
        <v>247</v>
      </c>
    </row>
    <row r="519" spans="1:15" ht="27" x14ac:dyDescent="0.3">
      <c r="A519" s="123">
        <v>30</v>
      </c>
      <c r="B519" s="663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 x14ac:dyDescent="0.3">
      <c r="A520" s="123">
        <v>30</v>
      </c>
      <c r="B520" s="66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 x14ac:dyDescent="0.3">
      <c r="A521" s="123">
        <v>30</v>
      </c>
      <c r="B521" s="66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8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 x14ac:dyDescent="0.3">
      <c r="A522" s="123">
        <v>30</v>
      </c>
      <c r="B522" s="66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6" t="s">
        <v>2146</v>
      </c>
      <c r="J522" s="13"/>
      <c r="K522" s="304" t="s">
        <v>133</v>
      </c>
      <c r="L522" s="6" t="s">
        <v>15</v>
      </c>
      <c r="M522" s="96">
        <v>500000</v>
      </c>
      <c r="N522" s="8" t="s">
        <v>2147</v>
      </c>
    </row>
    <row r="523" spans="1:15" x14ac:dyDescent="0.3">
      <c r="A523" s="123">
        <v>30</v>
      </c>
      <c r="B523" s="66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6" t="s">
        <v>2132</v>
      </c>
      <c r="J523" s="13" t="s">
        <v>155</v>
      </c>
      <c r="K523" s="295" t="s">
        <v>41</v>
      </c>
      <c r="L523" s="315" t="s">
        <v>15</v>
      </c>
      <c r="M523" s="96">
        <v>250000</v>
      </c>
      <c r="N523" s="8" t="s">
        <v>1983</v>
      </c>
      <c r="O523">
        <v>30</v>
      </c>
    </row>
    <row r="524" spans="1:15" ht="27" x14ac:dyDescent="0.3">
      <c r="A524" s="123">
        <v>31</v>
      </c>
      <c r="B524" s="663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8" t="s">
        <v>2168</v>
      </c>
      <c r="H524" s="125" t="s">
        <v>2169</v>
      </c>
      <c r="I524" s="198" t="s">
        <v>1966</v>
      </c>
      <c r="J524" s="125" t="s">
        <v>168</v>
      </c>
      <c r="K524" s="184" t="s">
        <v>2122</v>
      </c>
      <c r="L524" s="125" t="s">
        <v>209</v>
      </c>
      <c r="M524" s="96">
        <v>750000</v>
      </c>
      <c r="N524" s="125" t="s">
        <v>1974</v>
      </c>
    </row>
    <row r="525" spans="1:15" x14ac:dyDescent="0.3">
      <c r="A525" s="123">
        <v>31</v>
      </c>
      <c r="B525" s="665"/>
      <c r="C525" s="92" t="s">
        <v>2170</v>
      </c>
      <c r="D525" s="125" t="s">
        <v>306</v>
      </c>
      <c r="E525" s="125" t="s">
        <v>322</v>
      </c>
      <c r="F525" s="125" t="s">
        <v>307</v>
      </c>
      <c r="G525" s="198" t="s">
        <v>2173</v>
      </c>
      <c r="H525" s="125" t="s">
        <v>2174</v>
      </c>
      <c r="I525" s="198" t="s">
        <v>2177</v>
      </c>
      <c r="J525" s="125" t="s">
        <v>2176</v>
      </c>
      <c r="K525" s="188" t="s">
        <v>2171</v>
      </c>
      <c r="L525" s="125" t="s">
        <v>209</v>
      </c>
      <c r="M525" s="96">
        <v>500000</v>
      </c>
      <c r="N525" s="125" t="s">
        <v>2172</v>
      </c>
    </row>
    <row r="526" spans="1:15" x14ac:dyDescent="0.3">
      <c r="A526" s="123">
        <v>31</v>
      </c>
      <c r="B526" s="663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 x14ac:dyDescent="0.3">
      <c r="A527" s="123">
        <v>31</v>
      </c>
      <c r="B527" s="66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5" t="s">
        <v>2475</v>
      </c>
      <c r="L527" s="6" t="s">
        <v>15</v>
      </c>
      <c r="M527" s="96">
        <v>250000</v>
      </c>
      <c r="N527" s="8" t="s">
        <v>2164</v>
      </c>
    </row>
    <row r="528" spans="1:15" x14ac:dyDescent="0.3">
      <c r="A528" s="123">
        <v>31</v>
      </c>
      <c r="B528" s="66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664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302" t="s">
        <v>2163</v>
      </c>
      <c r="L529" s="6" t="s">
        <v>69</v>
      </c>
      <c r="M529" s="96">
        <v>600000</v>
      </c>
      <c r="N529" s="8" t="s">
        <v>2175</v>
      </c>
    </row>
    <row r="530" spans="1:14" ht="27" x14ac:dyDescent="0.3">
      <c r="A530" s="123">
        <v>31</v>
      </c>
      <c r="B530" s="665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6" t="s">
        <v>2159</v>
      </c>
      <c r="J530" s="13" t="s">
        <v>155</v>
      </c>
      <c r="K530" s="300" t="s">
        <v>822</v>
      </c>
      <c r="L530" s="6" t="s">
        <v>15</v>
      </c>
      <c r="M530" s="96">
        <v>250000</v>
      </c>
      <c r="N530" s="8" t="s">
        <v>2161</v>
      </c>
    </row>
    <row r="531" spans="1:14" ht="27" x14ac:dyDescent="0.3">
      <c r="A531" s="123">
        <v>32</v>
      </c>
      <c r="B531" s="663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8" t="s">
        <v>2168</v>
      </c>
      <c r="H531" s="125" t="s">
        <v>2169</v>
      </c>
      <c r="I531" s="198" t="s">
        <v>1966</v>
      </c>
      <c r="J531" s="125" t="s">
        <v>168</v>
      </c>
      <c r="K531" s="305" t="s">
        <v>1873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664"/>
      <c r="C532" s="92" t="s">
        <v>2301</v>
      </c>
      <c r="D532" s="125" t="s">
        <v>306</v>
      </c>
      <c r="E532" s="125" t="s">
        <v>322</v>
      </c>
      <c r="F532" s="125" t="s">
        <v>307</v>
      </c>
      <c r="G532" s="198" t="s">
        <v>1972</v>
      </c>
      <c r="H532" s="125" t="s">
        <v>1899</v>
      </c>
      <c r="I532" s="198" t="s">
        <v>1966</v>
      </c>
      <c r="J532" s="125" t="s">
        <v>168</v>
      </c>
      <c r="K532" s="305" t="s">
        <v>1659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665"/>
      <c r="C533" s="92">
        <v>45509</v>
      </c>
      <c r="D533" s="125" t="s">
        <v>306</v>
      </c>
      <c r="E533" s="125" t="s">
        <v>322</v>
      </c>
      <c r="F533" s="125" t="s">
        <v>307</v>
      </c>
      <c r="G533" s="198">
        <v>3307</v>
      </c>
      <c r="H533" s="125" t="s">
        <v>811</v>
      </c>
      <c r="I533" s="198" t="s">
        <v>2304</v>
      </c>
      <c r="J533" s="125" t="s">
        <v>168</v>
      </c>
      <c r="K533" s="299" t="s">
        <v>1588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66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5" t="s">
        <v>118</v>
      </c>
      <c r="L534" s="6" t="s">
        <v>15</v>
      </c>
      <c r="M534" s="96">
        <v>500000</v>
      </c>
      <c r="N534" s="8" t="s">
        <v>1882</v>
      </c>
    </row>
    <row r="535" spans="1:14" x14ac:dyDescent="0.3">
      <c r="A535" s="123">
        <v>32</v>
      </c>
      <c r="B535" s="66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304" t="s">
        <v>2303</v>
      </c>
      <c r="L535" s="307" t="s">
        <v>15</v>
      </c>
      <c r="M535" s="96">
        <v>1000000</v>
      </c>
      <c r="N535" s="8" t="s">
        <v>1880</v>
      </c>
    </row>
    <row r="536" spans="1:14" ht="27" x14ac:dyDescent="0.3">
      <c r="A536" s="123">
        <v>32</v>
      </c>
      <c r="B536" s="665"/>
      <c r="C536" s="15">
        <v>45513</v>
      </c>
      <c r="D536" s="4" t="s">
        <v>21</v>
      </c>
      <c r="E536" s="4" t="s">
        <v>17</v>
      </c>
      <c r="F536" s="205" t="s">
        <v>898</v>
      </c>
      <c r="G536" s="4" t="s">
        <v>2081</v>
      </c>
      <c r="H536" s="4" t="s">
        <v>102</v>
      </c>
      <c r="I536" s="276" t="s">
        <v>2148</v>
      </c>
      <c r="J536" s="13" t="s">
        <v>73</v>
      </c>
      <c r="K536" s="303" t="s">
        <v>41</v>
      </c>
      <c r="L536" s="6" t="s">
        <v>15</v>
      </c>
      <c r="M536" s="96">
        <v>250000</v>
      </c>
      <c r="N536" s="8" t="s">
        <v>2302</v>
      </c>
    </row>
    <row r="537" spans="1:14" x14ac:dyDescent="0.3">
      <c r="A537" s="123">
        <v>33</v>
      </c>
      <c r="B537" s="66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8" t="s">
        <v>2052</v>
      </c>
      <c r="H537" s="125" t="s">
        <v>125</v>
      </c>
      <c r="I537" s="198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664"/>
      <c r="C538" s="92">
        <v>45516</v>
      </c>
      <c r="D538" s="125" t="s">
        <v>306</v>
      </c>
      <c r="E538" s="125" t="s">
        <v>322</v>
      </c>
      <c r="F538" s="125" t="s">
        <v>307</v>
      </c>
      <c r="G538" s="198" t="s">
        <v>2052</v>
      </c>
      <c r="H538" s="125" t="s">
        <v>125</v>
      </c>
      <c r="I538" s="198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664"/>
      <c r="C539" s="92">
        <v>45517</v>
      </c>
      <c r="D539" s="125" t="s">
        <v>306</v>
      </c>
      <c r="E539" s="125" t="s">
        <v>322</v>
      </c>
      <c r="F539" s="125" t="s">
        <v>307</v>
      </c>
      <c r="G539" s="198">
        <v>3307</v>
      </c>
      <c r="H539" s="125" t="s">
        <v>811</v>
      </c>
      <c r="I539" s="198" t="s">
        <v>2317</v>
      </c>
      <c r="J539" s="125" t="s">
        <v>168</v>
      </c>
      <c r="K539" s="299" t="s">
        <v>1588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664"/>
      <c r="C540" s="92" t="s">
        <v>2311</v>
      </c>
      <c r="D540" s="125" t="s">
        <v>306</v>
      </c>
      <c r="E540" s="125" t="s">
        <v>322</v>
      </c>
      <c r="F540" s="125" t="s">
        <v>307</v>
      </c>
      <c r="G540" s="198" t="s">
        <v>2052</v>
      </c>
      <c r="H540" s="125" t="s">
        <v>125</v>
      </c>
      <c r="I540" s="198" t="s">
        <v>2310</v>
      </c>
      <c r="J540" s="125" t="s">
        <v>168</v>
      </c>
      <c r="K540" s="305" t="s">
        <v>1659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665"/>
      <c r="C541" s="92" t="s">
        <v>2312</v>
      </c>
      <c r="D541" s="125" t="s">
        <v>306</v>
      </c>
      <c r="E541" s="125" t="s">
        <v>322</v>
      </c>
      <c r="F541" s="125" t="s">
        <v>307</v>
      </c>
      <c r="G541" s="198" t="s">
        <v>2052</v>
      </c>
      <c r="H541" s="125" t="s">
        <v>361</v>
      </c>
      <c r="I541" s="198" t="s">
        <v>1966</v>
      </c>
      <c r="J541" s="125" t="s">
        <v>168</v>
      </c>
      <c r="K541" s="305" t="s">
        <v>1659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66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6" t="s">
        <v>2313</v>
      </c>
      <c r="J542" s="13"/>
      <c r="K542" s="295" t="s">
        <v>2474</v>
      </c>
      <c r="L542" s="6" t="s">
        <v>15</v>
      </c>
      <c r="M542" s="96">
        <v>500000</v>
      </c>
      <c r="N542" s="8" t="s">
        <v>2308</v>
      </c>
    </row>
    <row r="543" spans="1:14" x14ac:dyDescent="0.3">
      <c r="A543" s="123">
        <v>33</v>
      </c>
      <c r="B543" s="66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300" t="s">
        <v>686</v>
      </c>
      <c r="L543" s="6" t="s">
        <v>15</v>
      </c>
      <c r="M543" s="96">
        <v>250000</v>
      </c>
      <c r="N543" s="8" t="s">
        <v>2309</v>
      </c>
    </row>
    <row r="544" spans="1:14" ht="27" x14ac:dyDescent="0.3">
      <c r="A544" s="123">
        <v>33</v>
      </c>
      <c r="B544" s="66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74" t="s">
        <v>999</v>
      </c>
      <c r="L544" s="6" t="s">
        <v>15</v>
      </c>
      <c r="M544" s="96">
        <v>300000</v>
      </c>
      <c r="N544" s="8" t="s">
        <v>2314</v>
      </c>
    </row>
    <row r="545" spans="1:14" x14ac:dyDescent="0.3">
      <c r="A545" s="123">
        <v>33</v>
      </c>
      <c r="B545" s="66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6" t="s">
        <v>2315</v>
      </c>
      <c r="J545" s="13"/>
      <c r="K545" s="306" t="s">
        <v>118</v>
      </c>
      <c r="L545" s="6" t="s">
        <v>15</v>
      </c>
      <c r="M545" s="96">
        <v>500000</v>
      </c>
      <c r="N545" s="8" t="s">
        <v>2316</v>
      </c>
    </row>
    <row r="546" spans="1:14" ht="27" x14ac:dyDescent="0.3">
      <c r="A546" s="123">
        <v>34</v>
      </c>
      <c r="B546" s="663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8" t="s">
        <v>2320</v>
      </c>
      <c r="H546" s="207" t="s">
        <v>2321</v>
      </c>
      <c r="I546" s="198" t="s">
        <v>2322</v>
      </c>
      <c r="J546" s="207" t="s">
        <v>168</v>
      </c>
      <c r="K546" s="305" t="s">
        <v>1873</v>
      </c>
      <c r="L546" s="207" t="s">
        <v>209</v>
      </c>
      <c r="M546" s="96">
        <v>750000</v>
      </c>
      <c r="N546" s="207" t="s">
        <v>121</v>
      </c>
    </row>
    <row r="547" spans="1:14" ht="27" x14ac:dyDescent="0.3">
      <c r="A547" s="123">
        <v>34</v>
      </c>
      <c r="B547" s="664"/>
      <c r="C547" s="92" t="s">
        <v>2323</v>
      </c>
      <c r="D547" s="125" t="s">
        <v>306</v>
      </c>
      <c r="E547" s="125" t="s">
        <v>322</v>
      </c>
      <c r="F547" s="125" t="s">
        <v>307</v>
      </c>
      <c r="G547" s="208" t="s">
        <v>2327</v>
      </c>
      <c r="H547" s="207" t="s">
        <v>40</v>
      </c>
      <c r="I547" s="198" t="s">
        <v>2324</v>
      </c>
      <c r="J547" s="207" t="s">
        <v>168</v>
      </c>
      <c r="K547" s="305" t="s">
        <v>1659</v>
      </c>
      <c r="L547" s="207" t="s">
        <v>209</v>
      </c>
      <c r="M547" s="96">
        <v>500000</v>
      </c>
      <c r="N547" s="207" t="s">
        <v>121</v>
      </c>
    </row>
    <row r="548" spans="1:14" x14ac:dyDescent="0.3">
      <c r="A548" s="123">
        <v>34</v>
      </c>
      <c r="B548" s="664"/>
      <c r="C548" s="92">
        <v>45523</v>
      </c>
      <c r="D548" s="125" t="s">
        <v>306</v>
      </c>
      <c r="E548" s="125" t="s">
        <v>322</v>
      </c>
      <c r="F548" s="125" t="s">
        <v>307</v>
      </c>
      <c r="G548" s="208">
        <v>3307</v>
      </c>
      <c r="H548" s="207" t="s">
        <v>811</v>
      </c>
      <c r="I548" s="198" t="s">
        <v>2328</v>
      </c>
      <c r="J548" s="207" t="s">
        <v>168</v>
      </c>
      <c r="K548" s="300" t="s">
        <v>686</v>
      </c>
      <c r="L548" s="207" t="s">
        <v>209</v>
      </c>
      <c r="M548" s="96">
        <v>250000</v>
      </c>
      <c r="N548" s="207" t="s">
        <v>121</v>
      </c>
    </row>
    <row r="549" spans="1:14" ht="27" x14ac:dyDescent="0.3">
      <c r="A549" s="123">
        <v>34</v>
      </c>
      <c r="B549" s="665"/>
      <c r="C549" s="92" t="s">
        <v>2326</v>
      </c>
      <c r="D549" s="125" t="s">
        <v>306</v>
      </c>
      <c r="E549" s="125" t="s">
        <v>322</v>
      </c>
      <c r="F549" s="125" t="s">
        <v>307</v>
      </c>
      <c r="G549" s="208" t="s">
        <v>2052</v>
      </c>
      <c r="H549" s="207" t="s">
        <v>227</v>
      </c>
      <c r="I549" s="198" t="s">
        <v>2325</v>
      </c>
      <c r="J549" s="207" t="s">
        <v>468</v>
      </c>
      <c r="K549" s="299" t="s">
        <v>1572</v>
      </c>
      <c r="L549" s="207" t="s">
        <v>209</v>
      </c>
      <c r="M549" s="96">
        <v>1500000</v>
      </c>
      <c r="N549" s="207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 x14ac:dyDescent="0.3">
      <c r="A551" s="123">
        <v>35</v>
      </c>
      <c r="B551" s="663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8" t="s">
        <v>2333</v>
      </c>
      <c r="H551" s="125" t="s">
        <v>23</v>
      </c>
      <c r="I551" s="198" t="s">
        <v>1966</v>
      </c>
      <c r="J551" s="125" t="s">
        <v>168</v>
      </c>
      <c r="K551" s="305" t="s">
        <v>1873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664"/>
      <c r="C552" s="92" t="s">
        <v>2332</v>
      </c>
      <c r="D552" s="125" t="s">
        <v>306</v>
      </c>
      <c r="E552" s="125" t="s">
        <v>322</v>
      </c>
      <c r="F552" s="125" t="s">
        <v>307</v>
      </c>
      <c r="G552" s="198" t="s">
        <v>2334</v>
      </c>
      <c r="H552" s="125" t="s">
        <v>2335</v>
      </c>
      <c r="I552" s="198" t="s">
        <v>1966</v>
      </c>
      <c r="J552" s="125" t="s">
        <v>168</v>
      </c>
      <c r="K552" s="305" t="s">
        <v>1659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665"/>
      <c r="C553" s="92" t="s">
        <v>2332</v>
      </c>
      <c r="D553" s="125" t="s">
        <v>306</v>
      </c>
      <c r="E553" s="125" t="s">
        <v>322</v>
      </c>
      <c r="F553" s="125" t="s">
        <v>307</v>
      </c>
      <c r="G553" s="198" t="s">
        <v>2052</v>
      </c>
      <c r="H553" s="125" t="s">
        <v>344</v>
      </c>
      <c r="I553" s="198" t="s">
        <v>2341</v>
      </c>
      <c r="J553" s="125" t="s">
        <v>468</v>
      </c>
      <c r="K553" s="299" t="s">
        <v>1588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663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6" t="s">
        <v>2344</v>
      </c>
      <c r="J554" s="13" t="s">
        <v>2342</v>
      </c>
      <c r="K554" s="303" t="s">
        <v>41</v>
      </c>
      <c r="L554" s="6" t="s">
        <v>15</v>
      </c>
      <c r="M554" s="96">
        <v>250000</v>
      </c>
      <c r="N554" s="8" t="s">
        <v>2345</v>
      </c>
    </row>
    <row r="555" spans="1:14" x14ac:dyDescent="0.3">
      <c r="A555" s="123">
        <v>35</v>
      </c>
      <c r="B555" s="66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6" t="s">
        <v>318</v>
      </c>
      <c r="J555" s="13"/>
      <c r="K555" s="301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664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6" t="s">
        <v>2337</v>
      </c>
      <c r="J556" s="13"/>
      <c r="K556" s="308" t="s">
        <v>641</v>
      </c>
      <c r="L556" s="6" t="s">
        <v>15</v>
      </c>
      <c r="M556" s="96">
        <v>500000</v>
      </c>
      <c r="N556" s="8" t="s">
        <v>2336</v>
      </c>
    </row>
    <row r="557" spans="1:14" ht="27" x14ac:dyDescent="0.3">
      <c r="A557" s="123">
        <v>35</v>
      </c>
      <c r="B557" s="665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11" t="s">
        <v>2163</v>
      </c>
      <c r="L557" s="6" t="s">
        <v>15</v>
      </c>
      <c r="M557" s="96">
        <v>600000</v>
      </c>
      <c r="N557" s="8" t="s">
        <v>1880</v>
      </c>
    </row>
    <row r="558" spans="1:14" ht="27" x14ac:dyDescent="0.3">
      <c r="A558" s="123">
        <v>36</v>
      </c>
      <c r="B558" s="663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8" t="s">
        <v>2353</v>
      </c>
      <c r="H558" s="125" t="s">
        <v>23</v>
      </c>
      <c r="I558" s="198" t="s">
        <v>1966</v>
      </c>
      <c r="J558" s="125" t="s">
        <v>168</v>
      </c>
      <c r="K558" s="314" t="s">
        <v>1873</v>
      </c>
      <c r="L558" s="125" t="s">
        <v>209</v>
      </c>
      <c r="M558" s="96">
        <v>750000</v>
      </c>
      <c r="N558" s="207" t="s">
        <v>121</v>
      </c>
    </row>
    <row r="559" spans="1:14" ht="27" x14ac:dyDescent="0.3">
      <c r="A559" s="123">
        <v>36</v>
      </c>
      <c r="B559" s="664"/>
      <c r="C559" s="92" t="s">
        <v>2355</v>
      </c>
      <c r="D559" s="125" t="s">
        <v>306</v>
      </c>
      <c r="E559" s="125" t="s">
        <v>322</v>
      </c>
      <c r="F559" s="125" t="s">
        <v>307</v>
      </c>
      <c r="G559" s="198" t="s">
        <v>2052</v>
      </c>
      <c r="H559" s="125" t="s">
        <v>361</v>
      </c>
      <c r="I559" s="198" t="s">
        <v>1966</v>
      </c>
      <c r="J559" s="125" t="s">
        <v>168</v>
      </c>
      <c r="K559" s="314" t="s">
        <v>1659</v>
      </c>
      <c r="L559" s="207" t="s">
        <v>209</v>
      </c>
      <c r="M559" s="96">
        <v>500000</v>
      </c>
      <c r="N559" s="207" t="s">
        <v>121</v>
      </c>
    </row>
    <row r="560" spans="1:14" ht="27" x14ac:dyDescent="0.3">
      <c r="A560" s="123">
        <v>36</v>
      </c>
      <c r="B560" s="665"/>
      <c r="C560" s="92" t="s">
        <v>2356</v>
      </c>
      <c r="D560" s="125" t="s">
        <v>306</v>
      </c>
      <c r="E560" s="125" t="s">
        <v>322</v>
      </c>
      <c r="F560" s="125" t="s">
        <v>307</v>
      </c>
      <c r="G560" s="198" t="s">
        <v>2139</v>
      </c>
      <c r="H560" s="125" t="s">
        <v>1391</v>
      </c>
      <c r="I560" s="198" t="s">
        <v>2325</v>
      </c>
      <c r="J560" s="207" t="s">
        <v>94</v>
      </c>
      <c r="K560" s="188" t="s">
        <v>1749</v>
      </c>
      <c r="L560" s="207" t="s">
        <v>209</v>
      </c>
      <c r="M560" s="96">
        <v>1000000</v>
      </c>
      <c r="N560" s="207" t="s">
        <v>2340</v>
      </c>
    </row>
    <row r="561" spans="1:14" ht="27" x14ac:dyDescent="0.3">
      <c r="A561" s="123">
        <v>36</v>
      </c>
      <c r="B561" s="663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 x14ac:dyDescent="0.3">
      <c r="A562" s="123">
        <v>36</v>
      </c>
      <c r="B562" s="66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10" t="s">
        <v>686</v>
      </c>
      <c r="L562" s="84" t="s">
        <v>309</v>
      </c>
      <c r="M562" s="96">
        <v>250000</v>
      </c>
      <c r="N562" s="8" t="s">
        <v>1984</v>
      </c>
    </row>
    <row r="563" spans="1:14" x14ac:dyDescent="0.3">
      <c r="A563" s="123">
        <v>36</v>
      </c>
      <c r="B563" s="66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 x14ac:dyDescent="0.3">
      <c r="A564" s="123">
        <v>36</v>
      </c>
      <c r="B564" s="66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 x14ac:dyDescent="0.3">
      <c r="A565" s="123">
        <v>37</v>
      </c>
      <c r="B565" s="663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8" t="s">
        <v>2052</v>
      </c>
      <c r="H565" s="125" t="s">
        <v>264</v>
      </c>
      <c r="I565" s="198" t="s">
        <v>1122</v>
      </c>
      <c r="J565" s="125"/>
      <c r="K565" s="314" t="s">
        <v>2478</v>
      </c>
      <c r="L565" s="125" t="s">
        <v>209</v>
      </c>
      <c r="M565" s="96">
        <v>1000000</v>
      </c>
      <c r="N565" s="207" t="s">
        <v>121</v>
      </c>
    </row>
    <row r="566" spans="1:14" x14ac:dyDescent="0.3">
      <c r="A566" s="123">
        <v>37</v>
      </c>
      <c r="B566" s="664"/>
      <c r="C566" s="92" t="s">
        <v>2480</v>
      </c>
      <c r="D566" s="125" t="s">
        <v>306</v>
      </c>
      <c r="E566" s="125" t="s">
        <v>322</v>
      </c>
      <c r="F566" s="125" t="s">
        <v>307</v>
      </c>
      <c r="G566" s="198" t="s">
        <v>2333</v>
      </c>
      <c r="H566" s="125" t="s">
        <v>23</v>
      </c>
      <c r="I566" s="198" t="s">
        <v>2476</v>
      </c>
      <c r="J566" s="125"/>
      <c r="K566" s="314" t="s">
        <v>1837</v>
      </c>
      <c r="L566" s="207" t="s">
        <v>209</v>
      </c>
      <c r="M566" s="96">
        <v>250000</v>
      </c>
      <c r="N566" s="207" t="s">
        <v>121</v>
      </c>
    </row>
    <row r="567" spans="1:14" ht="27" x14ac:dyDescent="0.3">
      <c r="A567" s="123">
        <v>37</v>
      </c>
      <c r="B567" s="664"/>
      <c r="C567" s="92" t="s">
        <v>2479</v>
      </c>
      <c r="D567" s="125" t="s">
        <v>306</v>
      </c>
      <c r="E567" s="125" t="s">
        <v>322</v>
      </c>
      <c r="F567" s="125" t="s">
        <v>307</v>
      </c>
      <c r="G567" s="198" t="s">
        <v>2333</v>
      </c>
      <c r="H567" s="125" t="s">
        <v>23</v>
      </c>
      <c r="I567" s="198" t="s">
        <v>2325</v>
      </c>
      <c r="J567" s="207" t="s">
        <v>468</v>
      </c>
      <c r="K567" s="188" t="s">
        <v>1749</v>
      </c>
      <c r="L567" s="207" t="s">
        <v>209</v>
      </c>
      <c r="M567" s="96">
        <v>1000000</v>
      </c>
      <c r="N567" s="207" t="s">
        <v>247</v>
      </c>
    </row>
    <row r="568" spans="1:14" x14ac:dyDescent="0.3">
      <c r="A568" s="123">
        <v>37</v>
      </c>
      <c r="B568" s="664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13" t="s">
        <v>2473</v>
      </c>
      <c r="L568" s="84" t="s">
        <v>15</v>
      </c>
      <c r="M568" s="96">
        <v>550000</v>
      </c>
      <c r="N568" s="18" t="s">
        <v>2118</v>
      </c>
    </row>
    <row r="569" spans="1:14" x14ac:dyDescent="0.3">
      <c r="A569" s="123">
        <v>37</v>
      </c>
      <c r="B569" s="66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10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66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93" t="s">
        <v>487</v>
      </c>
      <c r="L570" s="6" t="s">
        <v>15</v>
      </c>
      <c r="M570" s="96">
        <v>500000</v>
      </c>
      <c r="N570" s="8" t="s">
        <v>2308</v>
      </c>
    </row>
    <row r="571" spans="1:14" ht="27" x14ac:dyDescent="0.3">
      <c r="A571" s="123">
        <v>38</v>
      </c>
      <c r="B571" s="676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8" t="s">
        <v>2484</v>
      </c>
      <c r="H571" s="125" t="s">
        <v>23</v>
      </c>
      <c r="I571" s="198" t="s">
        <v>2035</v>
      </c>
      <c r="J571" s="125" t="s">
        <v>2485</v>
      </c>
      <c r="K571" s="314" t="s">
        <v>2483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678"/>
      <c r="C572" s="92">
        <v>45556</v>
      </c>
      <c r="D572" s="125" t="s">
        <v>306</v>
      </c>
      <c r="E572" s="125" t="s">
        <v>322</v>
      </c>
      <c r="F572" s="125" t="s">
        <v>307</v>
      </c>
      <c r="G572" s="198" t="s">
        <v>2489</v>
      </c>
      <c r="H572" s="125" t="s">
        <v>2490</v>
      </c>
      <c r="I572" s="198" t="s">
        <v>2141</v>
      </c>
      <c r="J572" s="125" t="s">
        <v>2491</v>
      </c>
      <c r="K572" s="188" t="s">
        <v>2492</v>
      </c>
      <c r="L572" s="125"/>
      <c r="M572" s="96">
        <v>500000</v>
      </c>
      <c r="N572" s="125" t="s">
        <v>2493</v>
      </c>
    </row>
    <row r="573" spans="1:14" ht="27" x14ac:dyDescent="0.3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6" t="s">
        <v>2494</v>
      </c>
      <c r="J573" s="13" t="s">
        <v>2488</v>
      </c>
      <c r="K573" s="293" t="s">
        <v>2487</v>
      </c>
      <c r="L573" s="6" t="s">
        <v>15</v>
      </c>
      <c r="M573" s="96">
        <v>1000000</v>
      </c>
      <c r="N573" s="8" t="s">
        <v>2308</v>
      </c>
    </row>
    <row r="574" spans="1:14" x14ac:dyDescent="0.3">
      <c r="A574" s="123">
        <v>39</v>
      </c>
      <c r="B574" s="676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8" t="s">
        <v>1953</v>
      </c>
      <c r="H574" s="125" t="s">
        <v>23</v>
      </c>
      <c r="I574" s="198" t="s">
        <v>614</v>
      </c>
      <c r="J574" s="125" t="s">
        <v>168</v>
      </c>
      <c r="K574" s="314" t="s">
        <v>1837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677"/>
      <c r="C575" s="92" t="s">
        <v>2497</v>
      </c>
      <c r="D575" s="125" t="s">
        <v>306</v>
      </c>
      <c r="E575" s="125" t="s">
        <v>322</v>
      </c>
      <c r="F575" s="125" t="s">
        <v>307</v>
      </c>
      <c r="G575" s="198" t="s">
        <v>2052</v>
      </c>
      <c r="H575" s="125" t="s">
        <v>894</v>
      </c>
      <c r="I575" s="198" t="s">
        <v>2499</v>
      </c>
      <c r="J575" s="125" t="s">
        <v>168</v>
      </c>
      <c r="K575" s="314" t="s">
        <v>1659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677"/>
      <c r="C576" s="92" t="s">
        <v>2498</v>
      </c>
      <c r="D576" s="125" t="s">
        <v>306</v>
      </c>
      <c r="E576" s="125" t="s">
        <v>322</v>
      </c>
      <c r="F576" s="125" t="s">
        <v>307</v>
      </c>
      <c r="G576" s="198" t="s">
        <v>2334</v>
      </c>
      <c r="H576" s="125" t="s">
        <v>18</v>
      </c>
      <c r="I576" s="198" t="s">
        <v>2035</v>
      </c>
      <c r="J576" s="125" t="s">
        <v>168</v>
      </c>
      <c r="K576" s="314" t="s">
        <v>1659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678"/>
      <c r="C577" s="92">
        <v>45559</v>
      </c>
      <c r="D577" s="125" t="s">
        <v>306</v>
      </c>
      <c r="E577" s="125" t="s">
        <v>322</v>
      </c>
      <c r="F577" s="125" t="s">
        <v>307</v>
      </c>
      <c r="G577" s="198" t="s">
        <v>2353</v>
      </c>
      <c r="H577" s="125" t="s">
        <v>2500</v>
      </c>
      <c r="I577" s="198" t="s">
        <v>2501</v>
      </c>
      <c r="J577" s="125" t="s">
        <v>902</v>
      </c>
      <c r="K577" s="188" t="s">
        <v>1588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6" t="s">
        <v>2494</v>
      </c>
      <c r="J578" s="13" t="s">
        <v>90</v>
      </c>
      <c r="K578" s="293" t="s">
        <v>1178</v>
      </c>
      <c r="L578" s="312" t="s">
        <v>15</v>
      </c>
      <c r="M578" s="96">
        <v>500000</v>
      </c>
      <c r="N578" s="309" t="s">
        <v>2496</v>
      </c>
    </row>
    <row r="579" spans="1:17" ht="27" x14ac:dyDescent="0.3">
      <c r="A579" s="123">
        <v>40</v>
      </c>
      <c r="B579" s="663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8">
        <v>3307</v>
      </c>
      <c r="H579" s="125" t="s">
        <v>811</v>
      </c>
      <c r="I579" s="198" t="s">
        <v>2509</v>
      </c>
      <c r="J579" s="125" t="s">
        <v>168</v>
      </c>
      <c r="K579" s="314" t="s">
        <v>1873</v>
      </c>
      <c r="L579" s="320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665"/>
      <c r="C580" s="92" t="s">
        <v>2507</v>
      </c>
      <c r="D580" s="125" t="s">
        <v>306</v>
      </c>
      <c r="E580" s="125" t="s">
        <v>322</v>
      </c>
      <c r="F580" s="125" t="s">
        <v>307</v>
      </c>
      <c r="G580" s="198">
        <v>3001</v>
      </c>
      <c r="H580" s="125" t="s">
        <v>23</v>
      </c>
      <c r="I580" s="198" t="s">
        <v>2508</v>
      </c>
      <c r="J580" s="125" t="s">
        <v>94</v>
      </c>
      <c r="K580" s="275" t="s">
        <v>1749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 x14ac:dyDescent="0.3">
      <c r="A582" s="123">
        <v>41</v>
      </c>
      <c r="B582" s="676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8" t="s">
        <v>2513</v>
      </c>
      <c r="H582" s="125" t="s">
        <v>23</v>
      </c>
      <c r="I582" s="198" t="s">
        <v>855</v>
      </c>
      <c r="J582" s="125" t="s">
        <v>168</v>
      </c>
      <c r="K582" s="319" t="s">
        <v>1963</v>
      </c>
      <c r="L582" s="125" t="s">
        <v>209</v>
      </c>
      <c r="M582" s="96">
        <v>500000</v>
      </c>
      <c r="N582" s="207" t="s">
        <v>121</v>
      </c>
    </row>
    <row r="583" spans="1:17" ht="27" x14ac:dyDescent="0.3">
      <c r="A583" s="123">
        <v>41</v>
      </c>
      <c r="B583" s="677"/>
      <c r="C583" s="92" t="s">
        <v>2522</v>
      </c>
      <c r="D583" s="125" t="s">
        <v>306</v>
      </c>
      <c r="E583" s="125" t="s">
        <v>322</v>
      </c>
      <c r="F583" s="125" t="s">
        <v>307</v>
      </c>
      <c r="G583" s="198" t="s">
        <v>1953</v>
      </c>
      <c r="H583" s="125" t="s">
        <v>2515</v>
      </c>
      <c r="I583" s="198" t="s">
        <v>1635</v>
      </c>
      <c r="J583" s="125" t="s">
        <v>168</v>
      </c>
      <c r="K583" s="319" t="s">
        <v>1963</v>
      </c>
      <c r="L583" s="125"/>
      <c r="M583" s="96">
        <v>500000</v>
      </c>
      <c r="N583" s="207" t="s">
        <v>121</v>
      </c>
    </row>
    <row r="584" spans="1:17" x14ac:dyDescent="0.3">
      <c r="A584" s="123">
        <v>41</v>
      </c>
      <c r="B584" s="677"/>
      <c r="C584" s="122">
        <v>45573</v>
      </c>
      <c r="D584" s="125" t="s">
        <v>306</v>
      </c>
      <c r="E584" s="125" t="s">
        <v>322</v>
      </c>
      <c r="F584" s="125" t="s">
        <v>307</v>
      </c>
      <c r="G584" s="198" t="s">
        <v>2520</v>
      </c>
      <c r="H584" s="125" t="s">
        <v>2521</v>
      </c>
      <c r="I584" s="198" t="s">
        <v>2325</v>
      </c>
      <c r="J584" s="125" t="s">
        <v>94</v>
      </c>
      <c r="K584" s="275" t="s">
        <v>1619</v>
      </c>
      <c r="L584" s="125"/>
      <c r="M584" s="96">
        <v>500000</v>
      </c>
      <c r="N584" s="207" t="s">
        <v>247</v>
      </c>
    </row>
    <row r="585" spans="1:17" x14ac:dyDescent="0.3">
      <c r="A585" s="123">
        <v>41</v>
      </c>
      <c r="B585" s="678"/>
      <c r="C585" s="122">
        <v>45575</v>
      </c>
      <c r="D585" s="125" t="s">
        <v>306</v>
      </c>
      <c r="E585" s="125" t="s">
        <v>322</v>
      </c>
      <c r="F585" s="125" t="s">
        <v>307</v>
      </c>
      <c r="G585" s="198" t="s">
        <v>2489</v>
      </c>
      <c r="H585" s="125" t="s">
        <v>2519</v>
      </c>
      <c r="I585" s="198" t="s">
        <v>2325</v>
      </c>
      <c r="J585" s="125" t="s">
        <v>94</v>
      </c>
      <c r="K585" s="275" t="s">
        <v>2523</v>
      </c>
      <c r="L585" s="125"/>
      <c r="M585" s="96">
        <v>1000000</v>
      </c>
      <c r="N585" s="207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663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13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66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664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13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66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14" t="s">
        <v>794</v>
      </c>
      <c r="L589" s="125" t="s">
        <v>15</v>
      </c>
      <c r="M589" s="96">
        <v>500000</v>
      </c>
      <c r="N589" s="18" t="s">
        <v>2517</v>
      </c>
    </row>
    <row r="590" spans="1:17" x14ac:dyDescent="0.3">
      <c r="A590" s="123">
        <v>42</v>
      </c>
      <c r="B590" s="66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8" t="s">
        <v>2513</v>
      </c>
      <c r="H590" s="125" t="s">
        <v>23</v>
      </c>
      <c r="I590" s="198" t="s">
        <v>1841</v>
      </c>
      <c r="J590" s="125" t="s">
        <v>168</v>
      </c>
      <c r="K590" s="319" t="s">
        <v>1837</v>
      </c>
      <c r="L590" s="125" t="s">
        <v>209</v>
      </c>
      <c r="M590" s="96">
        <v>250000</v>
      </c>
      <c r="N590" s="207" t="s">
        <v>121</v>
      </c>
    </row>
    <row r="591" spans="1:17" x14ac:dyDescent="0.3">
      <c r="A591" s="123">
        <v>42</v>
      </c>
      <c r="B591" s="664"/>
      <c r="C591" s="92">
        <v>45580</v>
      </c>
      <c r="D591" s="125" t="s">
        <v>306</v>
      </c>
      <c r="E591" s="125" t="s">
        <v>322</v>
      </c>
      <c r="F591" s="125" t="s">
        <v>307</v>
      </c>
      <c r="G591" s="198" t="s">
        <v>2334</v>
      </c>
      <c r="H591" s="125" t="s">
        <v>264</v>
      </c>
      <c r="I591" s="198" t="s">
        <v>2476</v>
      </c>
      <c r="J591" s="125" t="s">
        <v>168</v>
      </c>
      <c r="K591" s="319" t="s">
        <v>1837</v>
      </c>
      <c r="L591" s="125"/>
      <c r="M591" s="96">
        <v>250000</v>
      </c>
      <c r="N591" s="207" t="s">
        <v>121</v>
      </c>
    </row>
    <row r="592" spans="1:17" ht="27" x14ac:dyDescent="0.3">
      <c r="A592" s="123">
        <v>42</v>
      </c>
      <c r="B592" s="664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8" t="s">
        <v>1953</v>
      </c>
      <c r="H592" s="125" t="s">
        <v>37</v>
      </c>
      <c r="I592" s="198" t="s">
        <v>1122</v>
      </c>
      <c r="J592" s="125" t="s">
        <v>168</v>
      </c>
      <c r="K592" s="319" t="s">
        <v>1873</v>
      </c>
      <c r="L592" s="125"/>
      <c r="M592" s="96">
        <v>750000</v>
      </c>
      <c r="N592" s="207" t="s">
        <v>247</v>
      </c>
    </row>
    <row r="593" spans="1:14" x14ac:dyDescent="0.3">
      <c r="A593" s="123">
        <v>42</v>
      </c>
      <c r="B593" s="664"/>
      <c r="C593" s="92">
        <v>45579</v>
      </c>
      <c r="D593" s="125" t="s">
        <v>306</v>
      </c>
      <c r="E593" s="125" t="s">
        <v>322</v>
      </c>
      <c r="F593" s="125" t="s">
        <v>307</v>
      </c>
      <c r="G593" s="198">
        <v>3307</v>
      </c>
      <c r="H593" s="125" t="s">
        <v>908</v>
      </c>
      <c r="I593" s="198" t="s">
        <v>2531</v>
      </c>
      <c r="J593" s="125" t="s">
        <v>94</v>
      </c>
      <c r="K593" s="213" t="s">
        <v>794</v>
      </c>
      <c r="L593" s="125"/>
      <c r="M593" s="96">
        <v>500000</v>
      </c>
      <c r="N593" s="207" t="s">
        <v>247</v>
      </c>
    </row>
    <row r="594" spans="1:14" x14ac:dyDescent="0.3">
      <c r="A594" s="123">
        <v>42</v>
      </c>
      <c r="B594" s="664"/>
      <c r="C594" s="92">
        <v>45579</v>
      </c>
      <c r="D594" s="125" t="s">
        <v>306</v>
      </c>
      <c r="E594" s="125" t="s">
        <v>322</v>
      </c>
      <c r="F594" s="125" t="s">
        <v>307</v>
      </c>
      <c r="G594" s="198" t="s">
        <v>2468</v>
      </c>
      <c r="H594" s="125" t="s">
        <v>264</v>
      </c>
      <c r="I594" s="198" t="s">
        <v>2528</v>
      </c>
      <c r="J594" s="125" t="s">
        <v>94</v>
      </c>
      <c r="K594" s="275" t="s">
        <v>1619</v>
      </c>
      <c r="L594" s="125"/>
      <c r="M594" s="96">
        <v>500000</v>
      </c>
      <c r="N594" s="207" t="s">
        <v>247</v>
      </c>
    </row>
    <row r="595" spans="1:14" x14ac:dyDescent="0.3">
      <c r="A595" s="123">
        <v>42</v>
      </c>
      <c r="B595" s="665"/>
      <c r="C595" s="92">
        <v>45583</v>
      </c>
      <c r="D595" s="125" t="s">
        <v>306</v>
      </c>
      <c r="E595" s="125" t="s">
        <v>322</v>
      </c>
      <c r="F595" s="125" t="s">
        <v>307</v>
      </c>
      <c r="G595" s="198" t="s">
        <v>2334</v>
      </c>
      <c r="H595" s="125" t="s">
        <v>2529</v>
      </c>
      <c r="I595" s="198" t="s">
        <v>2528</v>
      </c>
      <c r="J595" s="125" t="s">
        <v>94</v>
      </c>
      <c r="K595" s="275" t="s">
        <v>1619</v>
      </c>
      <c r="L595" s="125"/>
      <c r="M595" s="96">
        <v>500000</v>
      </c>
      <c r="N595" s="207" t="s">
        <v>247</v>
      </c>
    </row>
    <row r="596" spans="1:14" x14ac:dyDescent="0.3">
      <c r="A596" s="123">
        <v>42</v>
      </c>
      <c r="B596" s="663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66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14" t="s">
        <v>777</v>
      </c>
      <c r="L597" s="6" t="s">
        <v>15</v>
      </c>
      <c r="M597" s="96">
        <v>250000</v>
      </c>
      <c r="N597" s="18" t="s">
        <v>2526</v>
      </c>
    </row>
    <row r="598" spans="1:14" x14ac:dyDescent="0.3">
      <c r="A598" s="123">
        <v>42</v>
      </c>
      <c r="B598" s="66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14" t="s">
        <v>777</v>
      </c>
      <c r="L598" s="6" t="s">
        <v>15</v>
      </c>
      <c r="M598" s="96">
        <v>250000</v>
      </c>
      <c r="N598" s="18" t="s">
        <v>1882</v>
      </c>
    </row>
    <row r="599" spans="1:14" ht="27" x14ac:dyDescent="0.3">
      <c r="A599" s="123">
        <v>43</v>
      </c>
      <c r="B599" s="663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8" t="s">
        <v>1953</v>
      </c>
      <c r="H599" s="125" t="s">
        <v>37</v>
      </c>
      <c r="I599" s="198" t="s">
        <v>1122</v>
      </c>
      <c r="J599" s="125" t="s">
        <v>220</v>
      </c>
      <c r="K599" s="319" t="s">
        <v>2478</v>
      </c>
      <c r="L599" s="125" t="s">
        <v>209</v>
      </c>
      <c r="M599" s="96">
        <v>1000000</v>
      </c>
      <c r="N599" s="207" t="s">
        <v>121</v>
      </c>
    </row>
    <row r="600" spans="1:14" x14ac:dyDescent="0.3">
      <c r="A600" s="123">
        <v>43</v>
      </c>
      <c r="B600" s="664"/>
      <c r="C600" s="92">
        <v>45590</v>
      </c>
      <c r="D600" s="125" t="s">
        <v>306</v>
      </c>
      <c r="E600" s="125" t="s">
        <v>322</v>
      </c>
      <c r="F600" s="125" t="s">
        <v>307</v>
      </c>
      <c r="G600" s="198" t="s">
        <v>2532</v>
      </c>
      <c r="H600" s="125" t="s">
        <v>115</v>
      </c>
      <c r="I600" s="198" t="s">
        <v>1122</v>
      </c>
      <c r="J600" s="125" t="s">
        <v>168</v>
      </c>
      <c r="K600" s="319" t="s">
        <v>1960</v>
      </c>
      <c r="L600" s="125"/>
      <c r="M600" s="96">
        <v>250000</v>
      </c>
      <c r="N600" s="207" t="s">
        <v>121</v>
      </c>
    </row>
    <row r="601" spans="1:14" ht="27" x14ac:dyDescent="0.3">
      <c r="A601" s="123">
        <v>43</v>
      </c>
      <c r="B601" s="665"/>
      <c r="C601" s="92" t="s">
        <v>2536</v>
      </c>
      <c r="D601" s="125" t="s">
        <v>306</v>
      </c>
      <c r="E601" s="125" t="s">
        <v>322</v>
      </c>
      <c r="F601" s="125" t="s">
        <v>307</v>
      </c>
      <c r="G601" s="198" t="s">
        <v>2513</v>
      </c>
      <c r="H601" s="125" t="s">
        <v>2535</v>
      </c>
      <c r="I601" s="198" t="s">
        <v>2528</v>
      </c>
      <c r="J601" s="125" t="s">
        <v>94</v>
      </c>
      <c r="K601" s="275" t="s">
        <v>2523</v>
      </c>
      <c r="L601" s="125"/>
      <c r="M601" s="96">
        <v>1000000</v>
      </c>
      <c r="N601" s="207" t="s">
        <v>247</v>
      </c>
    </row>
    <row r="602" spans="1:14" x14ac:dyDescent="0.3">
      <c r="A602" s="123">
        <v>43</v>
      </c>
      <c r="B602" s="66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14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66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14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66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14" t="s">
        <v>2568</v>
      </c>
      <c r="L604" s="125" t="s">
        <v>15</v>
      </c>
      <c r="M604" s="96">
        <v>250000</v>
      </c>
      <c r="N604" s="18" t="s">
        <v>2534</v>
      </c>
    </row>
    <row r="605" spans="1:14" x14ac:dyDescent="0.3">
      <c r="A605" s="123">
        <v>43</v>
      </c>
      <c r="B605" s="66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663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8" t="s">
        <v>1953</v>
      </c>
      <c r="H606" s="125" t="s">
        <v>37</v>
      </c>
      <c r="I606" s="198" t="s">
        <v>2539</v>
      </c>
      <c r="J606" s="125" t="s">
        <v>2485</v>
      </c>
      <c r="K606" s="319" t="s">
        <v>2540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665"/>
      <c r="C607" s="92" t="s">
        <v>2544</v>
      </c>
      <c r="D607" s="125" t="s">
        <v>306</v>
      </c>
      <c r="E607" s="125" t="s">
        <v>322</v>
      </c>
      <c r="F607" s="125" t="s">
        <v>307</v>
      </c>
      <c r="G607" s="198" t="s">
        <v>2532</v>
      </c>
      <c r="H607" s="125" t="s">
        <v>115</v>
      </c>
      <c r="I607" s="198" t="s">
        <v>2542</v>
      </c>
      <c r="J607" s="125" t="s">
        <v>168</v>
      </c>
      <c r="K607" s="319" t="s">
        <v>2543</v>
      </c>
      <c r="L607" s="325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8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 x14ac:dyDescent="0.3">
      <c r="A609" s="123">
        <v>45</v>
      </c>
      <c r="B609" s="676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8" t="s">
        <v>1975</v>
      </c>
      <c r="H609" s="125" t="s">
        <v>143</v>
      </c>
      <c r="I609" s="198" t="s">
        <v>2566</v>
      </c>
      <c r="J609" s="125" t="s">
        <v>90</v>
      </c>
      <c r="K609" s="297" t="s">
        <v>686</v>
      </c>
      <c r="L609" s="125"/>
      <c r="M609" s="96">
        <v>250000</v>
      </c>
      <c r="N609" s="207" t="s">
        <v>121</v>
      </c>
    </row>
    <row r="610" spans="1:14" ht="27" x14ac:dyDescent="0.3">
      <c r="A610" s="123">
        <v>45</v>
      </c>
      <c r="B610" s="677"/>
      <c r="C610" s="92" t="s">
        <v>2563</v>
      </c>
      <c r="D610" s="125" t="s">
        <v>306</v>
      </c>
      <c r="E610" s="125" t="s">
        <v>322</v>
      </c>
      <c r="F610" s="125" t="s">
        <v>307</v>
      </c>
      <c r="G610" s="198" t="s">
        <v>2561</v>
      </c>
      <c r="H610" s="125" t="s">
        <v>148</v>
      </c>
      <c r="I610" s="198" t="s">
        <v>1122</v>
      </c>
      <c r="J610" s="125" t="s">
        <v>90</v>
      </c>
      <c r="K610" s="275" t="s">
        <v>2564</v>
      </c>
      <c r="L610" s="125"/>
      <c r="M610" s="96">
        <v>1250000</v>
      </c>
      <c r="N610" s="207" t="s">
        <v>121</v>
      </c>
    </row>
    <row r="611" spans="1:14" ht="27" x14ac:dyDescent="0.3">
      <c r="A611" s="123">
        <v>45</v>
      </c>
      <c r="B611" s="678"/>
      <c r="C611" s="92" t="s">
        <v>2565</v>
      </c>
      <c r="D611" s="125" t="s">
        <v>306</v>
      </c>
      <c r="E611" s="125" t="s">
        <v>322</v>
      </c>
      <c r="F611" s="125" t="s">
        <v>307</v>
      </c>
      <c r="G611" s="198">
        <v>1006</v>
      </c>
      <c r="H611" s="125" t="s">
        <v>102</v>
      </c>
      <c r="I611" s="198" t="s">
        <v>2528</v>
      </c>
      <c r="J611" s="125" t="s">
        <v>94</v>
      </c>
      <c r="K611" s="188" t="s">
        <v>1749</v>
      </c>
      <c r="L611" s="246"/>
      <c r="M611" s="212">
        <v>1000000</v>
      </c>
      <c r="N611" s="207" t="s">
        <v>247</v>
      </c>
    </row>
    <row r="612" spans="1:14" ht="27" x14ac:dyDescent="0.3">
      <c r="A612" s="123">
        <v>45</v>
      </c>
      <c r="B612" s="66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 x14ac:dyDescent="0.3">
      <c r="A613" s="123">
        <v>45</v>
      </c>
      <c r="B613" s="66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8" t="s">
        <v>2557</v>
      </c>
      <c r="J613" s="31" t="s">
        <v>90</v>
      </c>
      <c r="K613" s="324" t="s">
        <v>999</v>
      </c>
      <c r="L613" s="125" t="s">
        <v>15</v>
      </c>
      <c r="M613" s="96">
        <v>300000</v>
      </c>
      <c r="N613" s="18" t="s">
        <v>2560</v>
      </c>
    </row>
    <row r="614" spans="1:14" ht="27" x14ac:dyDescent="0.3">
      <c r="A614" s="123">
        <v>45</v>
      </c>
      <c r="B614" s="66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 x14ac:dyDescent="0.3">
      <c r="A615" s="123">
        <v>45</v>
      </c>
      <c r="B615" s="665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21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 x14ac:dyDescent="0.3">
      <c r="A616" s="123">
        <v>46</v>
      </c>
      <c r="B616" s="663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8" t="s">
        <v>2561</v>
      </c>
      <c r="H616" s="125" t="s">
        <v>148</v>
      </c>
      <c r="I616" s="198" t="s">
        <v>1122</v>
      </c>
      <c r="J616" s="125" t="s">
        <v>168</v>
      </c>
      <c r="K616" s="275" t="s">
        <v>2564</v>
      </c>
      <c r="L616" s="125"/>
      <c r="M616" s="96">
        <v>1250000</v>
      </c>
      <c r="N616" s="207" t="s">
        <v>121</v>
      </c>
    </row>
    <row r="617" spans="1:14" ht="27" x14ac:dyDescent="0.3">
      <c r="A617" s="123">
        <v>46</v>
      </c>
      <c r="B617" s="665"/>
      <c r="C617" s="92" t="s">
        <v>2577</v>
      </c>
      <c r="D617" s="125" t="s">
        <v>306</v>
      </c>
      <c r="E617" s="125" t="s">
        <v>322</v>
      </c>
      <c r="F617" s="125" t="s">
        <v>307</v>
      </c>
      <c r="G617" s="198">
        <v>3001</v>
      </c>
      <c r="H617" s="125" t="s">
        <v>37</v>
      </c>
      <c r="I617" s="198" t="s">
        <v>2528</v>
      </c>
      <c r="J617" s="125" t="s">
        <v>94</v>
      </c>
      <c r="K617" s="188" t="s">
        <v>1749</v>
      </c>
      <c r="L617" s="246"/>
      <c r="M617" s="212">
        <v>1000000</v>
      </c>
      <c r="N617" s="207" t="s">
        <v>247</v>
      </c>
    </row>
    <row r="618" spans="1:14" x14ac:dyDescent="0.3">
      <c r="A618" s="123">
        <v>46</v>
      </c>
      <c r="B618" s="663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8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 x14ac:dyDescent="0.3">
      <c r="A619" s="123">
        <v>46</v>
      </c>
      <c r="B619" s="664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8" t="s">
        <v>2571</v>
      </c>
      <c r="J619" s="13"/>
      <c r="K619" s="326" t="s">
        <v>41</v>
      </c>
      <c r="L619" s="125" t="s">
        <v>15</v>
      </c>
      <c r="M619" s="96">
        <v>250000</v>
      </c>
      <c r="N619" s="18" t="s">
        <v>1880</v>
      </c>
    </row>
    <row r="620" spans="1:14" x14ac:dyDescent="0.3">
      <c r="A620" s="123">
        <v>46</v>
      </c>
      <c r="B620" s="66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24" t="s">
        <v>999</v>
      </c>
      <c r="L620" s="6" t="s">
        <v>15</v>
      </c>
      <c r="M620" s="96">
        <v>300000</v>
      </c>
      <c r="N620" s="18" t="s">
        <v>1880</v>
      </c>
    </row>
    <row r="621" spans="1:14" ht="27" x14ac:dyDescent="0.3">
      <c r="A621" s="123">
        <v>46</v>
      </c>
      <c r="B621" s="665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8" t="s">
        <v>2569</v>
      </c>
      <c r="J621" s="31"/>
      <c r="K621" s="324" t="s">
        <v>999</v>
      </c>
      <c r="L621" s="125" t="s">
        <v>15</v>
      </c>
      <c r="M621" s="96">
        <v>300000</v>
      </c>
      <c r="N621" s="18" t="s">
        <v>2574</v>
      </c>
    </row>
    <row r="622" spans="1:14" ht="24" x14ac:dyDescent="0.3">
      <c r="A622" s="123">
        <v>47</v>
      </c>
      <c r="B622" s="698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8" t="s">
        <v>2582</v>
      </c>
      <c r="H622" s="125" t="s">
        <v>23</v>
      </c>
      <c r="I622" s="198" t="s">
        <v>2583</v>
      </c>
      <c r="J622" s="125" t="s">
        <v>1074</v>
      </c>
      <c r="K622" s="4" t="s">
        <v>410</v>
      </c>
      <c r="L622" s="125"/>
      <c r="M622" s="96">
        <v>300000</v>
      </c>
      <c r="N622" s="322" t="s">
        <v>2584</v>
      </c>
    </row>
    <row r="623" spans="1:14" x14ac:dyDescent="0.3">
      <c r="A623" s="123">
        <v>47</v>
      </c>
      <c r="B623" s="699"/>
      <c r="C623" s="92">
        <v>45614</v>
      </c>
      <c r="D623" s="125" t="s">
        <v>306</v>
      </c>
      <c r="E623" s="125" t="s">
        <v>322</v>
      </c>
      <c r="F623" s="125" t="s">
        <v>307</v>
      </c>
      <c r="G623" s="198" t="s">
        <v>2570</v>
      </c>
      <c r="H623" s="125" t="s">
        <v>376</v>
      </c>
      <c r="I623" s="198" t="s">
        <v>1122</v>
      </c>
      <c r="J623" s="125" t="s">
        <v>168</v>
      </c>
      <c r="K623" s="275" t="s">
        <v>1837</v>
      </c>
      <c r="L623" s="125"/>
      <c r="M623" s="96">
        <v>250000</v>
      </c>
      <c r="N623" s="207" t="s">
        <v>121</v>
      </c>
    </row>
    <row r="624" spans="1:14" ht="27" x14ac:dyDescent="0.3">
      <c r="A624" s="123">
        <v>47</v>
      </c>
      <c r="B624" s="699"/>
      <c r="C624" s="92" t="s">
        <v>2579</v>
      </c>
      <c r="D624" s="125" t="s">
        <v>306</v>
      </c>
      <c r="E624" s="125" t="s">
        <v>322</v>
      </c>
      <c r="F624" s="125" t="s">
        <v>307</v>
      </c>
      <c r="G624" s="198" t="s">
        <v>2580</v>
      </c>
      <c r="H624" s="125" t="s">
        <v>143</v>
      </c>
      <c r="I624" s="198" t="s">
        <v>1871</v>
      </c>
      <c r="J624" s="125" t="s">
        <v>168</v>
      </c>
      <c r="K624" s="275" t="s">
        <v>2483</v>
      </c>
      <c r="L624" s="125"/>
      <c r="M624" s="96">
        <v>500000</v>
      </c>
      <c r="N624" s="207" t="s">
        <v>121</v>
      </c>
    </row>
    <row r="625" spans="1:14" ht="27" x14ac:dyDescent="0.3">
      <c r="A625" s="123">
        <v>47</v>
      </c>
      <c r="B625" s="699"/>
      <c r="C625" s="92" t="s">
        <v>2581</v>
      </c>
      <c r="D625" s="125" t="s">
        <v>306</v>
      </c>
      <c r="E625" s="125" t="s">
        <v>322</v>
      </c>
      <c r="F625" s="125" t="s">
        <v>307</v>
      </c>
      <c r="G625" s="198" t="s">
        <v>2561</v>
      </c>
      <c r="H625" s="125" t="s">
        <v>148</v>
      </c>
      <c r="I625" s="198" t="s">
        <v>2585</v>
      </c>
      <c r="J625" s="125" t="s">
        <v>168</v>
      </c>
      <c r="K625" s="275" t="s">
        <v>2483</v>
      </c>
      <c r="L625" s="125"/>
      <c r="M625" s="96">
        <v>500000</v>
      </c>
      <c r="N625" s="207" t="s">
        <v>121</v>
      </c>
    </row>
    <row r="626" spans="1:14" ht="27" x14ac:dyDescent="0.3">
      <c r="A626" s="123">
        <v>47</v>
      </c>
      <c r="B626" s="700"/>
      <c r="C626" s="92" t="s">
        <v>2587</v>
      </c>
      <c r="D626" s="125" t="s">
        <v>306</v>
      </c>
      <c r="E626" s="125" t="s">
        <v>322</v>
      </c>
      <c r="F626" s="125" t="s">
        <v>307</v>
      </c>
      <c r="G626" s="198">
        <v>3307</v>
      </c>
      <c r="H626" s="125" t="s">
        <v>811</v>
      </c>
      <c r="I626" s="198" t="s">
        <v>2588</v>
      </c>
      <c r="J626" s="125" t="s">
        <v>94</v>
      </c>
      <c r="K626" s="188" t="s">
        <v>2589</v>
      </c>
      <c r="L626" s="246"/>
      <c r="M626" s="212">
        <v>2250000</v>
      </c>
      <c r="N626" s="207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8" t="s">
        <v>2578</v>
      </c>
      <c r="G627" s="16">
        <v>4266</v>
      </c>
      <c r="H627" s="3" t="s">
        <v>18</v>
      </c>
      <c r="I627" s="198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 x14ac:dyDescent="0.3">
      <c r="A628" s="123">
        <v>48</v>
      </c>
      <c r="B628" s="663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8" t="s">
        <v>2595</v>
      </c>
      <c r="H628" s="125" t="s">
        <v>2596</v>
      </c>
      <c r="I628" s="198" t="s">
        <v>2598</v>
      </c>
      <c r="J628" s="125" t="s">
        <v>94</v>
      </c>
      <c r="K628" s="188" t="s">
        <v>2597</v>
      </c>
      <c r="L628" s="246"/>
      <c r="M628" s="212">
        <v>750000</v>
      </c>
      <c r="N628" s="207" t="s">
        <v>2602</v>
      </c>
    </row>
    <row r="629" spans="1:14" ht="27" x14ac:dyDescent="0.3">
      <c r="A629" s="123">
        <v>48</v>
      </c>
      <c r="B629" s="664"/>
      <c r="C629" s="92" t="s">
        <v>2592</v>
      </c>
      <c r="D629" s="125" t="s">
        <v>306</v>
      </c>
      <c r="E629" s="125" t="s">
        <v>322</v>
      </c>
      <c r="F629" s="125" t="s">
        <v>307</v>
      </c>
      <c r="G629" s="198" t="s">
        <v>2561</v>
      </c>
      <c r="H629" s="125" t="s">
        <v>148</v>
      </c>
      <c r="I629" s="198" t="s">
        <v>2593</v>
      </c>
      <c r="J629" s="125" t="s">
        <v>168</v>
      </c>
      <c r="K629" s="275" t="s">
        <v>2564</v>
      </c>
      <c r="L629" s="125"/>
      <c r="M629" s="96">
        <v>1250000</v>
      </c>
      <c r="N629" s="207" t="s">
        <v>121</v>
      </c>
    </row>
    <row r="630" spans="1:14" ht="27" x14ac:dyDescent="0.3">
      <c r="A630" s="123">
        <v>48</v>
      </c>
      <c r="B630" s="665"/>
      <c r="C630" s="92" t="s">
        <v>2599</v>
      </c>
      <c r="D630" s="125" t="s">
        <v>306</v>
      </c>
      <c r="E630" s="125" t="s">
        <v>322</v>
      </c>
      <c r="F630" s="125" t="s">
        <v>307</v>
      </c>
      <c r="G630" s="198">
        <v>3307</v>
      </c>
      <c r="H630" s="125" t="s">
        <v>811</v>
      </c>
      <c r="I630" s="198" t="s">
        <v>2603</v>
      </c>
      <c r="J630" s="125" t="s">
        <v>94</v>
      </c>
      <c r="K630" s="188" t="s">
        <v>2600</v>
      </c>
      <c r="L630" s="246"/>
      <c r="M630" s="212">
        <v>1500000</v>
      </c>
      <c r="N630" s="207" t="s">
        <v>2601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6" t="s">
        <v>686</v>
      </c>
      <c r="L631" s="125" t="s">
        <v>15</v>
      </c>
      <c r="M631" s="96">
        <v>250000</v>
      </c>
      <c r="N631" s="18" t="s">
        <v>2604</v>
      </c>
    </row>
    <row r="632" spans="1:14" ht="27" x14ac:dyDescent="0.3">
      <c r="A632" s="123">
        <v>49</v>
      </c>
      <c r="B632" s="663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8" t="s">
        <v>2561</v>
      </c>
      <c r="H632" s="125" t="s">
        <v>148</v>
      </c>
      <c r="I632" s="198" t="s">
        <v>2614</v>
      </c>
      <c r="J632" s="125" t="s">
        <v>168</v>
      </c>
      <c r="K632" s="4" t="s">
        <v>2564</v>
      </c>
      <c r="L632" s="125"/>
      <c r="M632" s="96">
        <v>1250000</v>
      </c>
      <c r="N632" s="207" t="s">
        <v>121</v>
      </c>
    </row>
    <row r="633" spans="1:14" x14ac:dyDescent="0.3">
      <c r="A633" s="123">
        <v>49</v>
      </c>
      <c r="B633" s="664"/>
      <c r="C633" s="92">
        <v>45631</v>
      </c>
      <c r="D633" s="125" t="s">
        <v>306</v>
      </c>
      <c r="E633" s="125" t="s">
        <v>322</v>
      </c>
      <c r="F633" s="125" t="s">
        <v>307</v>
      </c>
      <c r="G633" s="198">
        <v>3307</v>
      </c>
      <c r="H633" s="125" t="s">
        <v>811</v>
      </c>
      <c r="I633" s="198" t="s">
        <v>2603</v>
      </c>
      <c r="J633" s="125" t="s">
        <v>94</v>
      </c>
      <c r="K633" s="188" t="s">
        <v>2619</v>
      </c>
      <c r="L633" s="246"/>
      <c r="M633" s="212">
        <v>750000</v>
      </c>
      <c r="N633" s="207" t="s">
        <v>247</v>
      </c>
    </row>
    <row r="634" spans="1:14" ht="27" x14ac:dyDescent="0.3">
      <c r="A634" s="123">
        <v>49</v>
      </c>
      <c r="B634" s="665"/>
      <c r="C634" s="92" t="s">
        <v>2618</v>
      </c>
      <c r="D634" s="125" t="s">
        <v>306</v>
      </c>
      <c r="E634" s="125" t="s">
        <v>322</v>
      </c>
      <c r="F634" s="125" t="s">
        <v>307</v>
      </c>
      <c r="G634" s="198" t="s">
        <v>2612</v>
      </c>
      <c r="H634" s="125" t="s">
        <v>37</v>
      </c>
      <c r="I634" s="198" t="s">
        <v>2615</v>
      </c>
      <c r="J634" s="125" t="s">
        <v>94</v>
      </c>
      <c r="K634" s="188" t="s">
        <v>2597</v>
      </c>
      <c r="L634" s="246"/>
      <c r="M634" s="212">
        <v>750000</v>
      </c>
      <c r="N634" s="207" t="s">
        <v>247</v>
      </c>
    </row>
    <row r="635" spans="1:14" ht="27" x14ac:dyDescent="0.3">
      <c r="A635" s="123">
        <v>49</v>
      </c>
      <c r="B635" s="663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6" t="s">
        <v>2616</v>
      </c>
      <c r="J635" s="13" t="s">
        <v>90</v>
      </c>
      <c r="K635" s="209" t="s">
        <v>647</v>
      </c>
      <c r="L635" s="343" t="s">
        <v>15</v>
      </c>
      <c r="M635" s="342">
        <v>1000000</v>
      </c>
      <c r="N635" s="8" t="s">
        <v>2147</v>
      </c>
    </row>
    <row r="636" spans="1:14" x14ac:dyDescent="0.3">
      <c r="A636" s="123">
        <v>49</v>
      </c>
      <c r="B636" s="664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10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665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10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663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94" t="s">
        <v>641</v>
      </c>
      <c r="L638" s="125"/>
      <c r="M638" s="96">
        <v>500000</v>
      </c>
      <c r="N638" s="207" t="s">
        <v>2631</v>
      </c>
    </row>
    <row r="639" spans="1:14" ht="27" x14ac:dyDescent="0.3">
      <c r="A639" s="123">
        <v>50</v>
      </c>
      <c r="B639" s="665"/>
      <c r="C639" s="92" t="s">
        <v>2626</v>
      </c>
      <c r="D639" s="125" t="s">
        <v>306</v>
      </c>
      <c r="E639" s="125" t="s">
        <v>322</v>
      </c>
      <c r="F639" s="125" t="s">
        <v>307</v>
      </c>
      <c r="G639" s="198" t="s">
        <v>2624</v>
      </c>
      <c r="H639" s="125" t="s">
        <v>18</v>
      </c>
      <c r="I639" s="198" t="s">
        <v>2625</v>
      </c>
      <c r="J639" s="125" t="s">
        <v>168</v>
      </c>
      <c r="K639" s="4" t="s">
        <v>2564</v>
      </c>
      <c r="L639" s="125"/>
      <c r="M639" s="96">
        <v>1250000</v>
      </c>
      <c r="N639" s="207" t="s">
        <v>121</v>
      </c>
    </row>
    <row r="640" spans="1:14" ht="81" x14ac:dyDescent="0.3">
      <c r="A640" s="123">
        <v>50</v>
      </c>
      <c r="B640" s="663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6" t="s">
        <v>2630</v>
      </c>
      <c r="J640" s="13"/>
      <c r="K640" s="353" t="s">
        <v>2634</v>
      </c>
      <c r="L640" s="354" t="s">
        <v>15</v>
      </c>
      <c r="M640" s="355">
        <v>1500000</v>
      </c>
      <c r="N640" s="8" t="s">
        <v>2635</v>
      </c>
    </row>
    <row r="641" spans="1:14" ht="27" x14ac:dyDescent="0.3">
      <c r="A641" s="123">
        <v>50</v>
      </c>
      <c r="B641" s="66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8" t="s">
        <v>2636</v>
      </c>
      <c r="J641" s="13"/>
      <c r="K641" s="338" t="s">
        <v>999</v>
      </c>
      <c r="L641" s="337" t="s">
        <v>15</v>
      </c>
      <c r="M641" s="347">
        <v>250000</v>
      </c>
      <c r="N641" s="8" t="s">
        <v>1983</v>
      </c>
    </row>
    <row r="642" spans="1:14" ht="27" x14ac:dyDescent="0.3">
      <c r="A642" s="123">
        <v>50</v>
      </c>
      <c r="B642" s="665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8" t="s">
        <v>2632</v>
      </c>
      <c r="J642" s="31"/>
      <c r="K642" s="358" t="s">
        <v>641</v>
      </c>
      <c r="L642" s="359" t="s">
        <v>15</v>
      </c>
      <c r="M642" s="360">
        <v>500000</v>
      </c>
      <c r="N642" s="8" t="s">
        <v>2633</v>
      </c>
    </row>
    <row r="643" spans="1:14" ht="27" x14ac:dyDescent="0.3">
      <c r="A643" s="123">
        <v>51</v>
      </c>
      <c r="B643" s="663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8" t="s">
        <v>2561</v>
      </c>
      <c r="H643" s="125" t="s">
        <v>148</v>
      </c>
      <c r="I643" s="198" t="s">
        <v>2643</v>
      </c>
      <c r="J643" s="125" t="s">
        <v>168</v>
      </c>
      <c r="K643" s="4" t="s">
        <v>1659</v>
      </c>
      <c r="L643" s="125"/>
      <c r="M643" s="96">
        <v>500000</v>
      </c>
      <c r="N643" s="207" t="s">
        <v>2654</v>
      </c>
    </row>
    <row r="644" spans="1:14" ht="27" x14ac:dyDescent="0.3">
      <c r="A644" s="123">
        <v>51</v>
      </c>
      <c r="B644" s="664"/>
      <c r="C644" s="92" t="s">
        <v>2644</v>
      </c>
      <c r="D644" s="125" t="s">
        <v>306</v>
      </c>
      <c r="E644" s="125" t="s">
        <v>322</v>
      </c>
      <c r="F644" s="125" t="s">
        <v>307</v>
      </c>
      <c r="G644" s="198" t="s">
        <v>2624</v>
      </c>
      <c r="H644" s="125" t="s">
        <v>361</v>
      </c>
      <c r="I644" s="198" t="s">
        <v>378</v>
      </c>
      <c r="J644" s="125" t="s">
        <v>168</v>
      </c>
      <c r="K644" s="4" t="s">
        <v>1873</v>
      </c>
      <c r="L644" s="125"/>
      <c r="M644" s="96">
        <v>750000</v>
      </c>
      <c r="N644" s="207" t="s">
        <v>121</v>
      </c>
    </row>
    <row r="645" spans="1:14" ht="27" x14ac:dyDescent="0.3">
      <c r="A645" s="123">
        <v>51</v>
      </c>
      <c r="B645" s="66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9" t="s">
        <v>999</v>
      </c>
      <c r="L645" s="350" t="s">
        <v>15</v>
      </c>
      <c r="M645" s="351">
        <v>300000</v>
      </c>
      <c r="N645" s="8" t="s">
        <v>2646</v>
      </c>
    </row>
    <row r="646" spans="1:14" x14ac:dyDescent="0.3">
      <c r="A646" s="123">
        <v>51</v>
      </c>
      <c r="B646" s="664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8" t="s">
        <v>2645</v>
      </c>
      <c r="J646" s="13" t="s">
        <v>90</v>
      </c>
      <c r="K646" s="349" t="s">
        <v>999</v>
      </c>
      <c r="L646" s="350" t="s">
        <v>15</v>
      </c>
      <c r="M646" s="351">
        <v>300000</v>
      </c>
      <c r="N646" s="8" t="s">
        <v>2652</v>
      </c>
    </row>
    <row r="647" spans="1:14" ht="27" x14ac:dyDescent="0.3">
      <c r="A647" s="123">
        <v>51</v>
      </c>
      <c r="B647" s="66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8" t="s">
        <v>2651</v>
      </c>
      <c r="J647" s="13"/>
      <c r="K647" s="337" t="s">
        <v>686</v>
      </c>
      <c r="L647" s="348" t="s">
        <v>15</v>
      </c>
      <c r="M647" s="347">
        <v>250000</v>
      </c>
      <c r="N647" s="8" t="s">
        <v>2646</v>
      </c>
    </row>
    <row r="648" spans="1:14" ht="27" x14ac:dyDescent="0.3">
      <c r="A648" s="123">
        <v>51</v>
      </c>
      <c r="B648" s="664"/>
      <c r="C648" s="352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8" t="s">
        <v>2647</v>
      </c>
      <c r="J648" s="31"/>
      <c r="K648" s="337" t="s">
        <v>686</v>
      </c>
      <c r="L648" s="348" t="s">
        <v>15</v>
      </c>
      <c r="M648" s="347">
        <v>250000</v>
      </c>
      <c r="N648" s="8" t="s">
        <v>2648</v>
      </c>
    </row>
    <row r="649" spans="1:14" x14ac:dyDescent="0.3">
      <c r="A649" s="123">
        <v>51</v>
      </c>
      <c r="B649" s="664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8" t="s">
        <v>2649</v>
      </c>
      <c r="J649" s="31" t="s">
        <v>202</v>
      </c>
      <c r="K649" s="324" t="s">
        <v>2650</v>
      </c>
      <c r="L649" s="341" t="s">
        <v>15</v>
      </c>
      <c r="M649" s="342">
        <v>600000</v>
      </c>
      <c r="N649" s="8" t="s">
        <v>2653</v>
      </c>
    </row>
    <row r="650" spans="1:14" ht="27" x14ac:dyDescent="0.3">
      <c r="A650" s="123">
        <v>52</v>
      </c>
      <c r="B650" s="664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8" t="s">
        <v>1972</v>
      </c>
      <c r="H650" s="125" t="s">
        <v>143</v>
      </c>
      <c r="I650" s="198" t="s">
        <v>378</v>
      </c>
      <c r="J650" s="125" t="s">
        <v>168</v>
      </c>
      <c r="K650" s="4" t="s">
        <v>1659</v>
      </c>
      <c r="L650" s="125"/>
      <c r="M650" s="96">
        <v>500000</v>
      </c>
      <c r="N650" s="207" t="s">
        <v>121</v>
      </c>
    </row>
    <row r="651" spans="1:14" ht="27" x14ac:dyDescent="0.3">
      <c r="A651" s="123">
        <v>52</v>
      </c>
      <c r="B651" s="664"/>
      <c r="C651" s="92" t="s">
        <v>2656</v>
      </c>
      <c r="D651" s="125" t="s">
        <v>306</v>
      </c>
      <c r="E651" s="125" t="s">
        <v>322</v>
      </c>
      <c r="F651" s="125" t="s">
        <v>307</v>
      </c>
      <c r="G651" s="198" t="s">
        <v>2657</v>
      </c>
      <c r="H651" s="125" t="s">
        <v>102</v>
      </c>
      <c r="I651" s="198" t="s">
        <v>378</v>
      </c>
      <c r="J651" s="125" t="s">
        <v>168</v>
      </c>
      <c r="K651" s="4" t="s">
        <v>1659</v>
      </c>
      <c r="L651" s="125"/>
      <c r="M651" s="96">
        <v>500000</v>
      </c>
      <c r="N651" s="207" t="s">
        <v>121</v>
      </c>
    </row>
    <row r="652" spans="1:14" ht="27" x14ac:dyDescent="0.3">
      <c r="A652" s="123">
        <v>52</v>
      </c>
      <c r="B652" s="664"/>
      <c r="C652" s="92" t="s">
        <v>2661</v>
      </c>
      <c r="D652" s="125" t="s">
        <v>306</v>
      </c>
      <c r="E652" s="125" t="s">
        <v>322</v>
      </c>
      <c r="F652" s="125" t="s">
        <v>307</v>
      </c>
      <c r="G652" s="198" t="s">
        <v>2658</v>
      </c>
      <c r="H652" s="125" t="s">
        <v>102</v>
      </c>
      <c r="I652" s="198" t="s">
        <v>2325</v>
      </c>
      <c r="J652" s="125" t="s">
        <v>94</v>
      </c>
      <c r="K652" s="344" t="s">
        <v>1749</v>
      </c>
      <c r="L652" s="345"/>
      <c r="M652" s="346">
        <v>1000000</v>
      </c>
      <c r="N652" s="207" t="s">
        <v>247</v>
      </c>
    </row>
    <row r="653" spans="1:14" ht="27" x14ac:dyDescent="0.3">
      <c r="A653" s="123">
        <v>52</v>
      </c>
      <c r="B653" s="329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8" t="s">
        <v>686</v>
      </c>
      <c r="L653" s="337" t="s">
        <v>15</v>
      </c>
      <c r="M653" s="347">
        <v>250000</v>
      </c>
      <c r="N653" s="125" t="s">
        <v>1882</v>
      </c>
    </row>
    <row r="654" spans="1:14" x14ac:dyDescent="0.3">
      <c r="A654" s="123">
        <v>1</v>
      </c>
      <c r="B654" s="664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8" t="s">
        <v>1972</v>
      </c>
      <c r="H654" s="125" t="s">
        <v>376</v>
      </c>
      <c r="I654" s="198" t="s">
        <v>2665</v>
      </c>
      <c r="J654" s="125" t="s">
        <v>90</v>
      </c>
      <c r="K654" s="356" t="s">
        <v>487</v>
      </c>
      <c r="L654" s="357"/>
      <c r="M654" s="355">
        <v>500000</v>
      </c>
      <c r="N654" s="207" t="s">
        <v>2666</v>
      </c>
    </row>
    <row r="655" spans="1:14" ht="27" x14ac:dyDescent="0.3">
      <c r="A655" s="123">
        <v>1</v>
      </c>
      <c r="B655" s="664"/>
      <c r="C655" s="92" t="s">
        <v>2663</v>
      </c>
      <c r="D655" s="125" t="s">
        <v>306</v>
      </c>
      <c r="E655" s="125" t="s">
        <v>322</v>
      </c>
      <c r="F655" s="125" t="s">
        <v>307</v>
      </c>
      <c r="G655" s="198" t="s">
        <v>2657</v>
      </c>
      <c r="H655" s="125" t="s">
        <v>102</v>
      </c>
      <c r="I655" s="198" t="s">
        <v>378</v>
      </c>
      <c r="J655" s="125" t="s">
        <v>168</v>
      </c>
      <c r="K655" s="4" t="s">
        <v>2664</v>
      </c>
      <c r="L655" s="125"/>
      <c r="M655" s="96">
        <v>1000000</v>
      </c>
      <c r="N655" s="207" t="s">
        <v>121</v>
      </c>
    </row>
    <row r="656" spans="1:14" x14ac:dyDescent="0.3">
      <c r="A656" s="123">
        <v>1</v>
      </c>
      <c r="B656" s="664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8" t="s">
        <v>2662</v>
      </c>
      <c r="J656" s="31"/>
      <c r="K656" s="338" t="s">
        <v>641</v>
      </c>
      <c r="L656" s="348" t="s">
        <v>15</v>
      </c>
      <c r="M656" s="347">
        <v>500000</v>
      </c>
      <c r="N656" s="125" t="s">
        <v>128</v>
      </c>
    </row>
    <row r="657" spans="1:14" x14ac:dyDescent="0.3">
      <c r="A657" s="123">
        <v>1</v>
      </c>
      <c r="B657" s="66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8" t="s">
        <v>641</v>
      </c>
      <c r="L657" s="337" t="s">
        <v>15</v>
      </c>
      <c r="M657" s="347">
        <v>500000</v>
      </c>
      <c r="N657" s="125" t="s">
        <v>1882</v>
      </c>
    </row>
    <row r="658" spans="1:14" x14ac:dyDescent="0.3">
      <c r="A658" s="123">
        <v>2</v>
      </c>
      <c r="B658" s="664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8" t="s">
        <v>2658</v>
      </c>
      <c r="H658" s="125" t="s">
        <v>23</v>
      </c>
      <c r="I658" s="198" t="s">
        <v>2670</v>
      </c>
      <c r="J658" s="125" t="s">
        <v>168</v>
      </c>
      <c r="K658" s="4" t="s">
        <v>1837</v>
      </c>
      <c r="L658" s="125"/>
      <c r="M658" s="96">
        <v>250000</v>
      </c>
      <c r="N658" s="207" t="s">
        <v>121</v>
      </c>
    </row>
    <row r="659" spans="1:14" x14ac:dyDescent="0.3">
      <c r="A659" s="123">
        <v>2</v>
      </c>
      <c r="B659" s="664"/>
      <c r="C659" s="92" t="s">
        <v>2671</v>
      </c>
      <c r="D659" s="125" t="s">
        <v>306</v>
      </c>
      <c r="E659" s="125" t="s">
        <v>322</v>
      </c>
      <c r="F659" s="125" t="s">
        <v>307</v>
      </c>
      <c r="G659" s="198" t="s">
        <v>1972</v>
      </c>
      <c r="H659" s="125" t="s">
        <v>143</v>
      </c>
      <c r="I659" s="198" t="s">
        <v>614</v>
      </c>
      <c r="J659" s="125" t="s">
        <v>168</v>
      </c>
      <c r="K659" s="4" t="s">
        <v>1837</v>
      </c>
      <c r="L659" s="125"/>
      <c r="M659" s="96">
        <v>250000</v>
      </c>
      <c r="N659" s="207" t="s">
        <v>121</v>
      </c>
    </row>
    <row r="660" spans="1:14" ht="27" x14ac:dyDescent="0.3">
      <c r="A660" s="123">
        <v>2</v>
      </c>
      <c r="B660" s="664"/>
      <c r="C660" s="92" t="s">
        <v>2672</v>
      </c>
      <c r="D660" s="125" t="s">
        <v>306</v>
      </c>
      <c r="E660" s="125" t="s">
        <v>322</v>
      </c>
      <c r="F660" s="125" t="s">
        <v>307</v>
      </c>
      <c r="G660" s="198" t="s">
        <v>2561</v>
      </c>
      <c r="H660" s="125" t="s">
        <v>148</v>
      </c>
      <c r="I660" s="198" t="s">
        <v>2678</v>
      </c>
      <c r="J660" s="125" t="s">
        <v>168</v>
      </c>
      <c r="K660" s="4" t="s">
        <v>1873</v>
      </c>
      <c r="L660" s="125"/>
      <c r="M660" s="96">
        <v>750000</v>
      </c>
      <c r="N660" s="207" t="s">
        <v>121</v>
      </c>
    </row>
    <row r="661" spans="1:14" ht="27" x14ac:dyDescent="0.3">
      <c r="A661" s="123">
        <v>2</v>
      </c>
      <c r="B661" s="664"/>
      <c r="C661" s="92" t="s">
        <v>2679</v>
      </c>
      <c r="D661" s="125" t="s">
        <v>306</v>
      </c>
      <c r="E661" s="125" t="s">
        <v>322</v>
      </c>
      <c r="F661" s="125" t="s">
        <v>307</v>
      </c>
      <c r="G661" s="198" t="s">
        <v>2658</v>
      </c>
      <c r="H661" s="125" t="s">
        <v>23</v>
      </c>
      <c r="I661" s="198" t="s">
        <v>2677</v>
      </c>
      <c r="J661" s="125" t="s">
        <v>94</v>
      </c>
      <c r="K661" s="344" t="s">
        <v>1749</v>
      </c>
      <c r="L661" s="345"/>
      <c r="M661" s="346">
        <v>1000000</v>
      </c>
      <c r="N661" s="207" t="s">
        <v>657</v>
      </c>
    </row>
    <row r="662" spans="1:14" x14ac:dyDescent="0.3">
      <c r="A662" s="123">
        <v>2</v>
      </c>
      <c r="B662" s="229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8" t="s">
        <v>2668</v>
      </c>
      <c r="J662" s="31"/>
      <c r="K662" s="338" t="s">
        <v>2152</v>
      </c>
      <c r="L662" s="348" t="s">
        <v>15</v>
      </c>
      <c r="M662" s="347">
        <v>500000</v>
      </c>
      <c r="N662" s="125" t="s">
        <v>2680</v>
      </c>
    </row>
    <row r="663" spans="1:14" ht="27" x14ac:dyDescent="0.3">
      <c r="A663" s="123">
        <v>3</v>
      </c>
      <c r="B663" s="664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8" t="s">
        <v>2624</v>
      </c>
      <c r="H663" s="125" t="s">
        <v>18</v>
      </c>
      <c r="I663" s="198" t="s">
        <v>2683</v>
      </c>
      <c r="J663" s="125" t="s">
        <v>168</v>
      </c>
      <c r="K663" s="4" t="s">
        <v>1659</v>
      </c>
      <c r="L663" s="125"/>
      <c r="M663" s="96">
        <v>500000</v>
      </c>
      <c r="N663" s="207" t="s">
        <v>121</v>
      </c>
    </row>
    <row r="664" spans="1:14" ht="27" x14ac:dyDescent="0.3">
      <c r="A664" s="123">
        <v>3</v>
      </c>
      <c r="B664" s="664"/>
      <c r="C664" s="92" t="s">
        <v>2684</v>
      </c>
      <c r="D664" s="125" t="s">
        <v>306</v>
      </c>
      <c r="E664" s="125" t="s">
        <v>322</v>
      </c>
      <c r="F664" s="125" t="s">
        <v>307</v>
      </c>
      <c r="G664" s="198">
        <v>593</v>
      </c>
      <c r="H664" s="125" t="s">
        <v>264</v>
      </c>
      <c r="I664" s="198" t="s">
        <v>1966</v>
      </c>
      <c r="J664" s="125" t="s">
        <v>168</v>
      </c>
      <c r="K664" s="4" t="s">
        <v>1873</v>
      </c>
      <c r="L664" s="125"/>
      <c r="M664" s="96">
        <v>750000</v>
      </c>
      <c r="N664" s="207" t="s">
        <v>121</v>
      </c>
    </row>
    <row r="665" spans="1:14" x14ac:dyDescent="0.3">
      <c r="A665" s="123">
        <v>3</v>
      </c>
      <c r="B665" s="664"/>
      <c r="C665" s="92">
        <v>45673</v>
      </c>
      <c r="D665" s="125" t="s">
        <v>306</v>
      </c>
      <c r="E665" s="125" t="s">
        <v>322</v>
      </c>
      <c r="F665" s="125" t="s">
        <v>307</v>
      </c>
      <c r="G665" s="198" t="s">
        <v>2561</v>
      </c>
      <c r="H665" s="125" t="s">
        <v>148</v>
      </c>
      <c r="I665" s="198" t="s">
        <v>2685</v>
      </c>
      <c r="J665" s="125" t="s">
        <v>168</v>
      </c>
      <c r="K665" s="340" t="s">
        <v>118</v>
      </c>
      <c r="L665" s="125"/>
      <c r="M665" s="96">
        <v>500000</v>
      </c>
      <c r="N665" s="207" t="s">
        <v>121</v>
      </c>
    </row>
    <row r="666" spans="1:14" ht="27" x14ac:dyDescent="0.3">
      <c r="A666" s="123">
        <v>3</v>
      </c>
      <c r="B666" s="664"/>
      <c r="C666" s="92" t="s">
        <v>2686</v>
      </c>
      <c r="D666" s="125" t="s">
        <v>306</v>
      </c>
      <c r="E666" s="125" t="s">
        <v>322</v>
      </c>
      <c r="F666" s="125" t="s">
        <v>307</v>
      </c>
      <c r="G666" s="198" t="s">
        <v>2687</v>
      </c>
      <c r="H666" s="125" t="s">
        <v>148</v>
      </c>
      <c r="I666" s="198" t="s">
        <v>2688</v>
      </c>
      <c r="J666" s="125" t="s">
        <v>168</v>
      </c>
      <c r="K666" s="340" t="s">
        <v>1401</v>
      </c>
      <c r="L666" s="125"/>
      <c r="M666" s="96">
        <v>1500000</v>
      </c>
      <c r="N666" s="207" t="s">
        <v>121</v>
      </c>
    </row>
    <row r="667" spans="1:14" ht="67.5" x14ac:dyDescent="0.3">
      <c r="A667" s="238">
        <v>3</v>
      </c>
      <c r="B667" s="229" t="s">
        <v>2699</v>
      </c>
      <c r="C667" s="122">
        <v>45666</v>
      </c>
      <c r="D667" s="10" t="s">
        <v>21</v>
      </c>
      <c r="E667" s="10" t="s">
        <v>14</v>
      </c>
      <c r="F667" s="339" t="s">
        <v>107</v>
      </c>
      <c r="G667" s="7" t="s">
        <v>1972</v>
      </c>
      <c r="H667" s="4" t="s">
        <v>142</v>
      </c>
      <c r="I667" s="198" t="s">
        <v>2681</v>
      </c>
      <c r="J667" s="31"/>
      <c r="K667" s="338" t="s">
        <v>2152</v>
      </c>
      <c r="L667" s="348" t="s">
        <v>15</v>
      </c>
      <c r="M667" s="347">
        <v>500000</v>
      </c>
      <c r="N667" s="125" t="s">
        <v>2689</v>
      </c>
    </row>
    <row r="668" spans="1:14" ht="27" x14ac:dyDescent="0.3">
      <c r="A668" s="123">
        <v>4</v>
      </c>
      <c r="B668" s="663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8" t="s">
        <v>2690</v>
      </c>
      <c r="H668" s="125" t="s">
        <v>18</v>
      </c>
      <c r="I668" s="198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664"/>
      <c r="C669" s="92" t="s">
        <v>2692</v>
      </c>
      <c r="D669" s="125" t="s">
        <v>306</v>
      </c>
      <c r="E669" s="125" t="s">
        <v>322</v>
      </c>
      <c r="F669" s="125" t="s">
        <v>307</v>
      </c>
      <c r="G669" s="198" t="s">
        <v>2624</v>
      </c>
      <c r="H669" s="125" t="s">
        <v>264</v>
      </c>
      <c r="I669" s="198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664"/>
      <c r="C670" s="92" t="s">
        <v>2691</v>
      </c>
      <c r="D670" s="125" t="s">
        <v>306</v>
      </c>
      <c r="E670" s="125" t="s">
        <v>322</v>
      </c>
      <c r="F670" s="125" t="s">
        <v>307</v>
      </c>
      <c r="G670" s="198" t="s">
        <v>2624</v>
      </c>
      <c r="H670" s="125" t="s">
        <v>18</v>
      </c>
      <c r="I670" s="198" t="s">
        <v>2325</v>
      </c>
      <c r="J670" s="125" t="s">
        <v>94</v>
      </c>
      <c r="K670" s="344" t="s">
        <v>1572</v>
      </c>
      <c r="L670" s="345"/>
      <c r="M670" s="346">
        <v>1500000</v>
      </c>
      <c r="N670" s="125" t="s">
        <v>657</v>
      </c>
    </row>
    <row r="671" spans="1:14" ht="27" x14ac:dyDescent="0.3">
      <c r="A671" s="123">
        <v>4</v>
      </c>
      <c r="B671" s="665"/>
      <c r="C671" s="92" t="s">
        <v>2692</v>
      </c>
      <c r="D671" s="125" t="s">
        <v>306</v>
      </c>
      <c r="E671" s="125" t="s">
        <v>322</v>
      </c>
      <c r="F671" s="125" t="s">
        <v>307</v>
      </c>
      <c r="G671" s="198" t="s">
        <v>2657</v>
      </c>
      <c r="H671" s="125" t="s">
        <v>102</v>
      </c>
      <c r="I671" s="198" t="s">
        <v>2325</v>
      </c>
      <c r="J671" s="125" t="s">
        <v>94</v>
      </c>
      <c r="K671" s="344" t="s">
        <v>1749</v>
      </c>
      <c r="L671" s="345"/>
      <c r="M671" s="346">
        <v>1000000</v>
      </c>
      <c r="N671" s="125" t="s">
        <v>657</v>
      </c>
    </row>
    <row r="672" spans="1:14" ht="27.75" thickBot="1" x14ac:dyDescent="0.35">
      <c r="A672" s="238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9" t="s">
        <v>1897</v>
      </c>
      <c r="G672" s="7" t="s">
        <v>1349</v>
      </c>
      <c r="H672" s="10" t="s">
        <v>83</v>
      </c>
      <c r="I672" s="160" t="s">
        <v>1314</v>
      </c>
      <c r="J672" s="339"/>
      <c r="K672" s="339" t="s">
        <v>641</v>
      </c>
      <c r="L672" s="336" t="s">
        <v>15</v>
      </c>
      <c r="M672" s="515">
        <v>500000</v>
      </c>
      <c r="N672" s="336" t="s">
        <v>128</v>
      </c>
    </row>
    <row r="673" spans="1:14" ht="27.75" thickTop="1" x14ac:dyDescent="0.3">
      <c r="A673" s="363">
        <v>6</v>
      </c>
      <c r="B673" s="697" t="s">
        <v>2720</v>
      </c>
      <c r="C673" s="364" t="s">
        <v>2701</v>
      </c>
      <c r="D673" s="365" t="s">
        <v>306</v>
      </c>
      <c r="E673" s="365" t="s">
        <v>322</v>
      </c>
      <c r="F673" s="365" t="s">
        <v>307</v>
      </c>
      <c r="G673" s="366" t="s">
        <v>2690</v>
      </c>
      <c r="H673" s="365" t="s">
        <v>18</v>
      </c>
      <c r="I673" s="366" t="s">
        <v>2683</v>
      </c>
      <c r="J673" s="365" t="s">
        <v>168</v>
      </c>
      <c r="K673" s="367" t="s">
        <v>1963</v>
      </c>
      <c r="L673" s="365"/>
      <c r="M673" s="368">
        <v>500000</v>
      </c>
      <c r="N673" s="369" t="s">
        <v>121</v>
      </c>
    </row>
    <row r="674" spans="1:14" ht="27" x14ac:dyDescent="0.3">
      <c r="A674" s="123">
        <v>6</v>
      </c>
      <c r="B674" s="664"/>
      <c r="C674" s="92" t="s">
        <v>2702</v>
      </c>
      <c r="D674" s="125" t="s">
        <v>306</v>
      </c>
      <c r="E674" s="125" t="s">
        <v>322</v>
      </c>
      <c r="F674" s="125" t="s">
        <v>307</v>
      </c>
      <c r="G674" s="198" t="s">
        <v>2624</v>
      </c>
      <c r="H674" s="125" t="s">
        <v>1064</v>
      </c>
      <c r="I674" s="198" t="s">
        <v>1966</v>
      </c>
      <c r="J674" s="125" t="s">
        <v>168</v>
      </c>
      <c r="K674" s="188" t="s">
        <v>1873</v>
      </c>
      <c r="L674" s="125"/>
      <c r="M674" s="96">
        <v>750000</v>
      </c>
      <c r="N674" s="207" t="s">
        <v>121</v>
      </c>
    </row>
    <row r="675" spans="1:14" ht="27" x14ac:dyDescent="0.3">
      <c r="A675" s="123">
        <v>6</v>
      </c>
      <c r="B675" s="665"/>
      <c r="C675" s="92" t="s">
        <v>2703</v>
      </c>
      <c r="D675" s="125" t="s">
        <v>306</v>
      </c>
      <c r="E675" s="125" t="s">
        <v>322</v>
      </c>
      <c r="F675" s="125" t="s">
        <v>307</v>
      </c>
      <c r="G675" s="198">
        <v>593</v>
      </c>
      <c r="H675" s="125" t="s">
        <v>1064</v>
      </c>
      <c r="I675" s="198" t="s">
        <v>2325</v>
      </c>
      <c r="J675" s="125" t="s">
        <v>94</v>
      </c>
      <c r="K675" s="227" t="s">
        <v>1749</v>
      </c>
      <c r="L675" s="125"/>
      <c r="M675" s="96">
        <v>1000000</v>
      </c>
      <c r="N675" s="207" t="s">
        <v>657</v>
      </c>
    </row>
    <row r="676" spans="1:14" x14ac:dyDescent="0.3">
      <c r="A676" s="123">
        <v>6</v>
      </c>
      <c r="B676" s="663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8" t="s">
        <v>1314</v>
      </c>
      <c r="J676" s="31" t="s">
        <v>90</v>
      </c>
      <c r="K676" s="371" t="s">
        <v>999</v>
      </c>
      <c r="L676" s="125" t="s">
        <v>15</v>
      </c>
      <c r="M676" s="96">
        <v>300000</v>
      </c>
      <c r="N676" s="336" t="s">
        <v>1655</v>
      </c>
    </row>
    <row r="677" spans="1:14" x14ac:dyDescent="0.3">
      <c r="A677" s="123">
        <v>6</v>
      </c>
      <c r="B677" s="66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8" t="s">
        <v>238</v>
      </c>
      <c r="J677" s="298"/>
      <c r="K677" s="370" t="s">
        <v>641</v>
      </c>
      <c r="L677" s="125" t="s">
        <v>15</v>
      </c>
      <c r="M677" s="96">
        <v>500000</v>
      </c>
      <c r="N677" s="336" t="s">
        <v>1655</v>
      </c>
    </row>
    <row r="678" spans="1:14" ht="27" x14ac:dyDescent="0.3">
      <c r="A678" s="123">
        <v>7</v>
      </c>
      <c r="B678" s="663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8" t="s">
        <v>2690</v>
      </c>
      <c r="H678" s="125" t="s">
        <v>18</v>
      </c>
      <c r="I678" s="198" t="s">
        <v>2710</v>
      </c>
      <c r="J678" s="125" t="s">
        <v>1952</v>
      </c>
      <c r="K678" s="188" t="s">
        <v>1659</v>
      </c>
      <c r="L678" s="125"/>
      <c r="M678" s="96">
        <v>500000</v>
      </c>
      <c r="N678" s="207" t="s">
        <v>121</v>
      </c>
    </row>
    <row r="679" spans="1:14" ht="27" x14ac:dyDescent="0.3">
      <c r="A679" s="123">
        <v>7</v>
      </c>
      <c r="B679" s="664"/>
      <c r="C679" s="92" t="s">
        <v>2712</v>
      </c>
      <c r="D679" s="125" t="s">
        <v>306</v>
      </c>
      <c r="E679" s="125" t="s">
        <v>322</v>
      </c>
      <c r="F679" s="125" t="s">
        <v>307</v>
      </c>
      <c r="G679" s="198" t="s">
        <v>2624</v>
      </c>
      <c r="H679" s="125" t="s">
        <v>264</v>
      </c>
      <c r="I679" s="198" t="s">
        <v>1966</v>
      </c>
      <c r="J679" s="125" t="s">
        <v>168</v>
      </c>
      <c r="K679" s="188" t="s">
        <v>1873</v>
      </c>
      <c r="L679" s="125"/>
      <c r="M679" s="96">
        <v>750000</v>
      </c>
      <c r="N679" s="207" t="s">
        <v>121</v>
      </c>
    </row>
    <row r="680" spans="1:14" x14ac:dyDescent="0.3">
      <c r="A680" s="123">
        <v>7</v>
      </c>
      <c r="B680" s="664"/>
      <c r="C680" s="92">
        <v>45698</v>
      </c>
      <c r="D680" s="125" t="s">
        <v>306</v>
      </c>
      <c r="E680" s="125" t="s">
        <v>322</v>
      </c>
      <c r="F680" s="125" t="s">
        <v>2713</v>
      </c>
      <c r="G680" s="198">
        <v>222003</v>
      </c>
      <c r="H680" s="125" t="s">
        <v>23</v>
      </c>
      <c r="I680" s="198" t="s">
        <v>2714</v>
      </c>
      <c r="J680" s="125" t="s">
        <v>2707</v>
      </c>
      <c r="K680" s="295" t="s">
        <v>111</v>
      </c>
      <c r="L680" s="125"/>
      <c r="M680" s="96">
        <v>250000</v>
      </c>
      <c r="N680" s="207" t="s">
        <v>2709</v>
      </c>
    </row>
    <row r="681" spans="1:14" ht="27" x14ac:dyDescent="0.3">
      <c r="A681" s="123">
        <v>7</v>
      </c>
      <c r="B681" s="664"/>
      <c r="C681" s="92" t="s">
        <v>2711</v>
      </c>
      <c r="D681" s="125" t="s">
        <v>306</v>
      </c>
      <c r="E681" s="125" t="s">
        <v>322</v>
      </c>
      <c r="F681" s="125" t="s">
        <v>307</v>
      </c>
      <c r="G681" s="198" t="s">
        <v>2624</v>
      </c>
      <c r="H681" s="125" t="s">
        <v>361</v>
      </c>
      <c r="I681" s="198" t="s">
        <v>2528</v>
      </c>
      <c r="J681" s="125" t="s">
        <v>94</v>
      </c>
      <c r="K681" s="227" t="s">
        <v>1749</v>
      </c>
      <c r="L681" s="125"/>
      <c r="M681" s="96">
        <v>1000000</v>
      </c>
      <c r="N681" s="207" t="s">
        <v>247</v>
      </c>
    </row>
    <row r="682" spans="1:14" x14ac:dyDescent="0.3">
      <c r="A682" s="123">
        <v>7</v>
      </c>
      <c r="B682" s="665"/>
      <c r="C682" s="92">
        <v>45703</v>
      </c>
      <c r="D682" s="125" t="s">
        <v>306</v>
      </c>
      <c r="E682" s="125" t="s">
        <v>322</v>
      </c>
      <c r="F682" s="125" t="s">
        <v>307</v>
      </c>
      <c r="G682" s="198" t="s">
        <v>2690</v>
      </c>
      <c r="H682" s="125" t="s">
        <v>18</v>
      </c>
      <c r="I682" s="198" t="s">
        <v>2528</v>
      </c>
      <c r="J682" s="125" t="s">
        <v>94</v>
      </c>
      <c r="K682" s="227" t="s">
        <v>1588</v>
      </c>
      <c r="L682" s="125"/>
      <c r="M682" s="96">
        <v>500000</v>
      </c>
      <c r="N682" s="207" t="s">
        <v>247</v>
      </c>
    </row>
    <row r="683" spans="1:14" x14ac:dyDescent="0.3">
      <c r="A683" s="123">
        <v>7</v>
      </c>
      <c r="B683" s="66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8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6" t="s">
        <v>2706</v>
      </c>
    </row>
    <row r="684" spans="1:14" x14ac:dyDescent="0.3">
      <c r="A684" s="123">
        <v>7</v>
      </c>
      <c r="B684" s="665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8" t="s">
        <v>2708</v>
      </c>
      <c r="J684" s="31" t="s">
        <v>90</v>
      </c>
      <c r="K684" s="198" t="s">
        <v>60</v>
      </c>
      <c r="L684" s="125" t="s">
        <v>15</v>
      </c>
      <c r="M684" s="96">
        <v>300000</v>
      </c>
      <c r="N684" s="336" t="s">
        <v>128</v>
      </c>
    </row>
    <row r="685" spans="1:14" x14ac:dyDescent="0.3">
      <c r="A685" s="123">
        <v>8</v>
      </c>
      <c r="B685" s="663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61" t="s">
        <v>2725</v>
      </c>
      <c r="L685" s="129"/>
      <c r="M685" s="536" t="s">
        <v>672</v>
      </c>
      <c r="N685" s="129" t="s">
        <v>2726</v>
      </c>
    </row>
    <row r="686" spans="1:14" x14ac:dyDescent="0.3">
      <c r="A686" s="123">
        <v>8</v>
      </c>
      <c r="B686" s="664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61" t="s">
        <v>2725</v>
      </c>
      <c r="L686" s="129"/>
      <c r="M686" s="536" t="s">
        <v>672</v>
      </c>
      <c r="N686" s="129" t="s">
        <v>665</v>
      </c>
    </row>
    <row r="687" spans="1:14" x14ac:dyDescent="0.3">
      <c r="A687" s="123">
        <v>8</v>
      </c>
      <c r="B687" s="664"/>
      <c r="C687" s="148" t="s">
        <v>2730</v>
      </c>
      <c r="D687" s="650" t="s">
        <v>306</v>
      </c>
      <c r="E687" s="650" t="s">
        <v>322</v>
      </c>
      <c r="F687" s="650" t="s">
        <v>307</v>
      </c>
      <c r="G687" s="652" t="s">
        <v>2723</v>
      </c>
      <c r="H687" s="650" t="s">
        <v>1047</v>
      </c>
      <c r="I687" s="652" t="s">
        <v>704</v>
      </c>
      <c r="J687" s="650" t="s">
        <v>664</v>
      </c>
      <c r="K687" s="693" t="s">
        <v>1767</v>
      </c>
      <c r="L687" s="650"/>
      <c r="M687" s="660" t="s">
        <v>458</v>
      </c>
      <c r="N687" s="650" t="s">
        <v>665</v>
      </c>
    </row>
    <row r="688" spans="1:14" x14ac:dyDescent="0.3">
      <c r="A688" s="123">
        <v>8</v>
      </c>
      <c r="B688" s="664"/>
      <c r="C688" s="148" t="s">
        <v>2731</v>
      </c>
      <c r="D688" s="651"/>
      <c r="E688" s="651"/>
      <c r="F688" s="651"/>
      <c r="G688" s="653"/>
      <c r="H688" s="651"/>
      <c r="I688" s="653"/>
      <c r="J688" s="651"/>
      <c r="K688" s="694"/>
      <c r="L688" s="651"/>
      <c r="M688" s="661"/>
      <c r="N688" s="651"/>
    </row>
    <row r="689" spans="1:14" x14ac:dyDescent="0.3">
      <c r="A689" s="123">
        <v>8</v>
      </c>
      <c r="B689" s="664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61" t="s">
        <v>2725</v>
      </c>
      <c r="L689" s="129"/>
      <c r="M689" s="536" t="s">
        <v>672</v>
      </c>
      <c r="N689" s="129" t="s">
        <v>665</v>
      </c>
    </row>
    <row r="690" spans="1:14" ht="16.5" customHeight="1" x14ac:dyDescent="0.3">
      <c r="A690" s="123">
        <v>8</v>
      </c>
      <c r="B690" s="664"/>
      <c r="C690" s="148" t="s">
        <v>2734</v>
      </c>
      <c r="D690" s="650" t="s">
        <v>306</v>
      </c>
      <c r="E690" s="650" t="s">
        <v>322</v>
      </c>
      <c r="F690" s="650" t="s">
        <v>307</v>
      </c>
      <c r="G690" s="652" t="s">
        <v>2735</v>
      </c>
      <c r="H690" s="650" t="s">
        <v>640</v>
      </c>
      <c r="I690" s="652" t="s">
        <v>668</v>
      </c>
      <c r="J690" s="650" t="s">
        <v>349</v>
      </c>
      <c r="K690" s="695" t="s">
        <v>2736</v>
      </c>
      <c r="L690" s="650"/>
      <c r="M690" s="660" t="s">
        <v>2773</v>
      </c>
      <c r="N690" s="650" t="s">
        <v>425</v>
      </c>
    </row>
    <row r="691" spans="1:14" x14ac:dyDescent="0.3">
      <c r="A691" s="123">
        <v>8</v>
      </c>
      <c r="B691" s="665"/>
      <c r="C691" s="148" t="s">
        <v>2727</v>
      </c>
      <c r="D691" s="651"/>
      <c r="E691" s="651"/>
      <c r="F691" s="651"/>
      <c r="G691" s="653"/>
      <c r="H691" s="651"/>
      <c r="I691" s="653"/>
      <c r="J691" s="651"/>
      <c r="K691" s="696"/>
      <c r="L691" s="651"/>
      <c r="M691" s="661"/>
      <c r="N691" s="651"/>
    </row>
    <row r="692" spans="1:14" x14ac:dyDescent="0.3">
      <c r="A692" s="123">
        <v>8</v>
      </c>
      <c r="B692" s="663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72" t="s">
        <v>1813</v>
      </c>
      <c r="L692" s="129" t="s">
        <v>309</v>
      </c>
      <c r="M692" s="536" t="s">
        <v>672</v>
      </c>
      <c r="N692" s="156" t="s">
        <v>2741</v>
      </c>
    </row>
    <row r="693" spans="1:14" ht="16.5" customHeight="1" x14ac:dyDescent="0.3">
      <c r="A693" s="123">
        <v>8</v>
      </c>
      <c r="B693" s="664"/>
      <c r="C693" s="650" t="s">
        <v>2772</v>
      </c>
      <c r="D693" s="650" t="s">
        <v>311</v>
      </c>
      <c r="E693" s="650" t="s">
        <v>675</v>
      </c>
      <c r="F693" s="149" t="s">
        <v>1810</v>
      </c>
      <c r="G693" s="652" t="s">
        <v>689</v>
      </c>
      <c r="H693" s="652" t="s">
        <v>662</v>
      </c>
      <c r="I693" s="652" t="s">
        <v>2743</v>
      </c>
      <c r="J693" s="652"/>
      <c r="K693" s="652" t="s">
        <v>698</v>
      </c>
      <c r="L693" s="650" t="s">
        <v>309</v>
      </c>
      <c r="M693" s="660" t="s">
        <v>672</v>
      </c>
      <c r="N693" s="650" t="s">
        <v>2744</v>
      </c>
    </row>
    <row r="694" spans="1:14" x14ac:dyDescent="0.3">
      <c r="A694" s="123">
        <v>8</v>
      </c>
      <c r="B694" s="665"/>
      <c r="C694" s="651"/>
      <c r="D694" s="651"/>
      <c r="E694" s="651"/>
      <c r="F694" s="149" t="s">
        <v>2742</v>
      </c>
      <c r="G694" s="653"/>
      <c r="H694" s="653"/>
      <c r="I694" s="653"/>
      <c r="J694" s="653"/>
      <c r="K694" s="653"/>
      <c r="L694" s="651"/>
      <c r="M694" s="661"/>
      <c r="N694" s="671"/>
    </row>
    <row r="695" spans="1:14" x14ac:dyDescent="0.3">
      <c r="A695" s="123">
        <v>9</v>
      </c>
      <c r="B695" s="663" t="s">
        <v>2786</v>
      </c>
      <c r="C695" s="250" t="s">
        <v>2745</v>
      </c>
      <c r="D695" s="250" t="s">
        <v>306</v>
      </c>
      <c r="E695" s="250" t="s">
        <v>322</v>
      </c>
      <c r="F695" s="250" t="s">
        <v>307</v>
      </c>
      <c r="G695" s="282" t="s">
        <v>2723</v>
      </c>
      <c r="H695" s="250" t="s">
        <v>1047</v>
      </c>
      <c r="I695" s="249" t="s">
        <v>2746</v>
      </c>
      <c r="J695" s="248" t="s">
        <v>664</v>
      </c>
      <c r="K695" s="362" t="s">
        <v>2725</v>
      </c>
      <c r="L695" s="248"/>
      <c r="M695" s="541">
        <v>250000</v>
      </c>
      <c r="N695" s="248" t="s">
        <v>665</v>
      </c>
    </row>
    <row r="696" spans="1:14" x14ac:dyDescent="0.3">
      <c r="A696" s="123">
        <v>9</v>
      </c>
      <c r="B696" s="664"/>
      <c r="C696" s="250" t="s">
        <v>2747</v>
      </c>
      <c r="D696" s="250" t="s">
        <v>306</v>
      </c>
      <c r="E696" s="250" t="s">
        <v>322</v>
      </c>
      <c r="F696" s="250" t="s">
        <v>307</v>
      </c>
      <c r="G696" s="282">
        <v>3307</v>
      </c>
      <c r="H696" s="250" t="s">
        <v>1153</v>
      </c>
      <c r="I696" s="249" t="s">
        <v>2748</v>
      </c>
      <c r="J696" s="248" t="s">
        <v>664</v>
      </c>
      <c r="K696" s="362" t="s">
        <v>2725</v>
      </c>
      <c r="L696" s="248"/>
      <c r="M696" s="541">
        <v>250000</v>
      </c>
      <c r="N696" s="248" t="s">
        <v>665</v>
      </c>
    </row>
    <row r="697" spans="1:14" x14ac:dyDescent="0.3">
      <c r="A697" s="123">
        <v>9</v>
      </c>
      <c r="B697" s="664"/>
      <c r="C697" s="250" t="s">
        <v>2749</v>
      </c>
      <c r="D697" s="685" t="s">
        <v>306</v>
      </c>
      <c r="E697" s="685" t="s">
        <v>322</v>
      </c>
      <c r="F697" s="685" t="s">
        <v>307</v>
      </c>
      <c r="G697" s="687" t="s">
        <v>2750</v>
      </c>
      <c r="H697" s="685" t="s">
        <v>405</v>
      </c>
      <c r="I697" s="687" t="s">
        <v>2751</v>
      </c>
      <c r="J697" s="685" t="s">
        <v>664</v>
      </c>
      <c r="K697" s="691" t="s">
        <v>1761</v>
      </c>
      <c r="L697" s="685"/>
      <c r="M697" s="683">
        <v>750000</v>
      </c>
      <c r="N697" s="685" t="s">
        <v>665</v>
      </c>
    </row>
    <row r="698" spans="1:14" x14ac:dyDescent="0.3">
      <c r="A698" s="123">
        <v>9</v>
      </c>
      <c r="B698" s="664"/>
      <c r="C698" s="250" t="s">
        <v>2752</v>
      </c>
      <c r="D698" s="686"/>
      <c r="E698" s="686"/>
      <c r="F698" s="686"/>
      <c r="G698" s="688"/>
      <c r="H698" s="686"/>
      <c r="I698" s="688"/>
      <c r="J698" s="686"/>
      <c r="K698" s="692"/>
      <c r="L698" s="686"/>
      <c r="M698" s="684"/>
      <c r="N698" s="686"/>
    </row>
    <row r="699" spans="1:14" x14ac:dyDescent="0.3">
      <c r="A699" s="123">
        <v>9</v>
      </c>
      <c r="B699" s="664"/>
      <c r="C699" s="250" t="s">
        <v>2749</v>
      </c>
      <c r="D699" s="685" t="s">
        <v>306</v>
      </c>
      <c r="E699" s="685" t="s">
        <v>322</v>
      </c>
      <c r="F699" s="685" t="s">
        <v>307</v>
      </c>
      <c r="G699" s="687" t="s">
        <v>2753</v>
      </c>
      <c r="H699" s="685" t="s">
        <v>662</v>
      </c>
      <c r="I699" s="687" t="s">
        <v>668</v>
      </c>
      <c r="J699" s="685" t="s">
        <v>349</v>
      </c>
      <c r="K699" s="689" t="s">
        <v>2736</v>
      </c>
      <c r="L699" s="685"/>
      <c r="M699" s="683">
        <v>1000000</v>
      </c>
      <c r="N699" s="685" t="s">
        <v>425</v>
      </c>
    </row>
    <row r="700" spans="1:14" x14ac:dyDescent="0.3">
      <c r="A700" s="123">
        <v>9</v>
      </c>
      <c r="B700" s="664"/>
      <c r="C700" s="250" t="s">
        <v>2754</v>
      </c>
      <c r="D700" s="686"/>
      <c r="E700" s="686"/>
      <c r="F700" s="686"/>
      <c r="G700" s="688"/>
      <c r="H700" s="686"/>
      <c r="I700" s="688"/>
      <c r="J700" s="686"/>
      <c r="K700" s="690"/>
      <c r="L700" s="686"/>
      <c r="M700" s="684"/>
      <c r="N700" s="686"/>
    </row>
    <row r="701" spans="1:14" x14ac:dyDescent="0.3">
      <c r="A701" s="123">
        <v>9</v>
      </c>
      <c r="B701" s="665"/>
      <c r="C701" s="250" t="s">
        <v>2752</v>
      </c>
      <c r="D701" s="250" t="s">
        <v>306</v>
      </c>
      <c r="E701" s="250" t="s">
        <v>322</v>
      </c>
      <c r="F701" s="250" t="s">
        <v>307</v>
      </c>
      <c r="G701" s="282" t="s">
        <v>2723</v>
      </c>
      <c r="H701" s="250" t="s">
        <v>1047</v>
      </c>
      <c r="I701" s="249" t="s">
        <v>2755</v>
      </c>
      <c r="J701" s="248" t="s">
        <v>664</v>
      </c>
      <c r="K701" s="248" t="s">
        <v>692</v>
      </c>
      <c r="L701" s="248"/>
      <c r="M701" s="541">
        <v>500000</v>
      </c>
      <c r="N701" s="248" t="s">
        <v>665</v>
      </c>
    </row>
    <row r="702" spans="1:14" x14ac:dyDescent="0.3">
      <c r="A702" s="123">
        <v>10</v>
      </c>
      <c r="B702" s="663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8" t="s">
        <v>2561</v>
      </c>
      <c r="H702" s="125" t="s">
        <v>148</v>
      </c>
      <c r="I702" s="198" t="s">
        <v>2761</v>
      </c>
      <c r="J702" s="125" t="s">
        <v>168</v>
      </c>
      <c r="K702" s="4" t="s">
        <v>1837</v>
      </c>
      <c r="L702" s="125"/>
      <c r="M702" s="96">
        <v>250000</v>
      </c>
      <c r="N702" s="207" t="s">
        <v>121</v>
      </c>
    </row>
    <row r="703" spans="1:14" ht="27" x14ac:dyDescent="0.3">
      <c r="A703" s="123">
        <v>10</v>
      </c>
      <c r="B703" s="664"/>
      <c r="C703" s="92" t="s">
        <v>2756</v>
      </c>
      <c r="D703" s="125" t="s">
        <v>306</v>
      </c>
      <c r="E703" s="125" t="s">
        <v>322</v>
      </c>
      <c r="F703" s="125" t="s">
        <v>307</v>
      </c>
      <c r="G703" s="198" t="s">
        <v>2690</v>
      </c>
      <c r="H703" s="125" t="s">
        <v>361</v>
      </c>
      <c r="I703" s="198" t="s">
        <v>2762</v>
      </c>
      <c r="J703" s="125" t="s">
        <v>168</v>
      </c>
      <c r="K703" s="4" t="s">
        <v>1873</v>
      </c>
      <c r="L703" s="125"/>
      <c r="M703" s="96">
        <v>750000</v>
      </c>
      <c r="N703" s="207" t="s">
        <v>121</v>
      </c>
    </row>
    <row r="704" spans="1:14" ht="27" x14ac:dyDescent="0.3">
      <c r="A704" s="123">
        <v>10</v>
      </c>
      <c r="B704" s="665"/>
      <c r="C704" s="92" t="s">
        <v>2756</v>
      </c>
      <c r="D704" s="125" t="s">
        <v>306</v>
      </c>
      <c r="E704" s="125" t="s">
        <v>322</v>
      </c>
      <c r="F704" s="125" t="s">
        <v>307</v>
      </c>
      <c r="G704" s="198" t="s">
        <v>2757</v>
      </c>
      <c r="H704" s="125" t="s">
        <v>264</v>
      </c>
      <c r="I704" s="198" t="s">
        <v>2528</v>
      </c>
      <c r="J704" s="125" t="s">
        <v>94</v>
      </c>
      <c r="K704" s="164" t="s">
        <v>1572</v>
      </c>
      <c r="L704" s="125"/>
      <c r="M704" s="96">
        <v>1500000</v>
      </c>
      <c r="N704" s="207" t="s">
        <v>2758</v>
      </c>
    </row>
    <row r="705" spans="1:14" ht="27" x14ac:dyDescent="0.3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8" t="s">
        <v>2759</v>
      </c>
      <c r="J705" s="198"/>
      <c r="K705" s="198" t="s">
        <v>686</v>
      </c>
      <c r="L705" s="125" t="s">
        <v>15</v>
      </c>
      <c r="M705" s="96">
        <v>250000</v>
      </c>
      <c r="N705" s="336" t="s">
        <v>2760</v>
      </c>
    </row>
    <row r="706" spans="1:14" ht="27" x14ac:dyDescent="0.3">
      <c r="A706" s="123">
        <v>11</v>
      </c>
      <c r="B706" s="663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8">
        <v>3307</v>
      </c>
      <c r="H706" s="125" t="s">
        <v>811</v>
      </c>
      <c r="I706" s="198" t="s">
        <v>2771</v>
      </c>
      <c r="J706" s="125" t="s">
        <v>168</v>
      </c>
      <c r="K706" s="4" t="s">
        <v>2766</v>
      </c>
      <c r="L706" s="125"/>
      <c r="M706" s="96">
        <v>500000</v>
      </c>
      <c r="N706" s="207" t="s">
        <v>121</v>
      </c>
    </row>
    <row r="707" spans="1:14" ht="27" x14ac:dyDescent="0.3">
      <c r="A707" s="123">
        <v>11</v>
      </c>
      <c r="B707" s="664"/>
      <c r="C707" s="92" t="s">
        <v>2765</v>
      </c>
      <c r="D707" s="125" t="s">
        <v>306</v>
      </c>
      <c r="E707" s="125" t="s">
        <v>322</v>
      </c>
      <c r="F707" s="125" t="s">
        <v>307</v>
      </c>
      <c r="G707" s="198" t="s">
        <v>2561</v>
      </c>
      <c r="H707" s="125" t="s">
        <v>148</v>
      </c>
      <c r="I707" s="198" t="s">
        <v>2761</v>
      </c>
      <c r="J707" s="125" t="s">
        <v>168</v>
      </c>
      <c r="K707" s="4" t="s">
        <v>2766</v>
      </c>
      <c r="L707" s="125"/>
      <c r="M707" s="96">
        <v>500000</v>
      </c>
      <c r="N707" s="207" t="s">
        <v>121</v>
      </c>
    </row>
    <row r="708" spans="1:14" ht="27" x14ac:dyDescent="0.3">
      <c r="A708" s="123">
        <v>11</v>
      </c>
      <c r="B708" s="665"/>
      <c r="C708" s="92" t="s">
        <v>2767</v>
      </c>
      <c r="D708" s="125" t="s">
        <v>306</v>
      </c>
      <c r="E708" s="125" t="s">
        <v>322</v>
      </c>
      <c r="F708" s="125" t="s">
        <v>307</v>
      </c>
      <c r="G708" s="198">
        <v>3307</v>
      </c>
      <c r="H708" s="125" t="s">
        <v>811</v>
      </c>
      <c r="I708" s="198" t="s">
        <v>2768</v>
      </c>
      <c r="J708" s="125" t="s">
        <v>94</v>
      </c>
      <c r="K708" s="164" t="s">
        <v>2813</v>
      </c>
      <c r="L708" s="125"/>
      <c r="M708" s="96">
        <v>2750000</v>
      </c>
      <c r="N708" s="207" t="s">
        <v>2758</v>
      </c>
    </row>
    <row r="709" spans="1:14" ht="27" x14ac:dyDescent="0.3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8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6" t="s">
        <v>2770</v>
      </c>
    </row>
    <row r="710" spans="1:14" ht="27" x14ac:dyDescent="0.3">
      <c r="A710" s="123">
        <v>12</v>
      </c>
      <c r="B710" s="663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8" t="s">
        <v>2690</v>
      </c>
      <c r="H710" s="125" t="s">
        <v>264</v>
      </c>
      <c r="I710" s="198" t="s">
        <v>2775</v>
      </c>
      <c r="J710" s="125" t="s">
        <v>168</v>
      </c>
      <c r="K710" s="4" t="s">
        <v>2766</v>
      </c>
      <c r="L710" s="125"/>
      <c r="M710" s="96">
        <v>500000</v>
      </c>
      <c r="N710" s="207" t="s">
        <v>121</v>
      </c>
    </row>
    <row r="711" spans="1:14" ht="27" x14ac:dyDescent="0.3">
      <c r="A711" s="123">
        <v>12</v>
      </c>
      <c r="B711" s="664"/>
      <c r="C711" s="92" t="s">
        <v>2778</v>
      </c>
      <c r="D711" s="125" t="s">
        <v>306</v>
      </c>
      <c r="E711" s="125" t="s">
        <v>322</v>
      </c>
      <c r="F711" s="125" t="s">
        <v>307</v>
      </c>
      <c r="G711" s="198" t="s">
        <v>2690</v>
      </c>
      <c r="H711" s="125" t="s">
        <v>264</v>
      </c>
      <c r="I711" s="198" t="s">
        <v>378</v>
      </c>
      <c r="J711" s="125" t="s">
        <v>168</v>
      </c>
      <c r="K711" s="4" t="s">
        <v>2777</v>
      </c>
      <c r="L711" s="125"/>
      <c r="M711" s="96">
        <v>750000</v>
      </c>
      <c r="N711" s="207" t="s">
        <v>121</v>
      </c>
    </row>
    <row r="712" spans="1:14" ht="27" x14ac:dyDescent="0.3">
      <c r="A712" s="123">
        <v>12</v>
      </c>
      <c r="B712" s="664"/>
      <c r="C712" s="92" t="s">
        <v>2779</v>
      </c>
      <c r="D712" s="125" t="s">
        <v>306</v>
      </c>
      <c r="E712" s="125" t="s">
        <v>322</v>
      </c>
      <c r="F712" s="125" t="s">
        <v>307</v>
      </c>
      <c r="G712" s="198" t="s">
        <v>2717</v>
      </c>
      <c r="H712" s="125" t="s">
        <v>23</v>
      </c>
      <c r="I712" s="198" t="s">
        <v>2528</v>
      </c>
      <c r="J712" s="125" t="s">
        <v>94</v>
      </c>
      <c r="K712" s="164" t="s">
        <v>1572</v>
      </c>
      <c r="L712" s="125"/>
      <c r="M712" s="96">
        <v>1500000</v>
      </c>
      <c r="N712" s="207" t="s">
        <v>2758</v>
      </c>
    </row>
    <row r="713" spans="1:14" ht="27" x14ac:dyDescent="0.3">
      <c r="A713" s="123">
        <v>12</v>
      </c>
      <c r="B713" s="665"/>
      <c r="C713" s="92" t="s">
        <v>2776</v>
      </c>
      <c r="D713" s="125" t="s">
        <v>306</v>
      </c>
      <c r="E713" s="125" t="s">
        <v>322</v>
      </c>
      <c r="F713" s="125" t="s">
        <v>307</v>
      </c>
      <c r="G713" s="198" t="s">
        <v>2690</v>
      </c>
      <c r="H713" s="125" t="s">
        <v>361</v>
      </c>
      <c r="I713" s="198" t="s">
        <v>2528</v>
      </c>
      <c r="J713" s="125" t="s">
        <v>94</v>
      </c>
      <c r="K713" s="164" t="s">
        <v>1588</v>
      </c>
      <c r="L713" s="125"/>
      <c r="M713" s="96">
        <v>500000</v>
      </c>
      <c r="N713" s="207" t="s">
        <v>2758</v>
      </c>
    </row>
    <row r="714" spans="1:14" x14ac:dyDescent="0.3">
      <c r="A714" s="123">
        <v>13</v>
      </c>
      <c r="B714" s="663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8" t="s">
        <v>2690</v>
      </c>
      <c r="H714" s="125" t="s">
        <v>264</v>
      </c>
      <c r="I714" s="198" t="s">
        <v>614</v>
      </c>
      <c r="J714" s="125" t="s">
        <v>168</v>
      </c>
      <c r="K714" s="4" t="s">
        <v>2782</v>
      </c>
      <c r="L714" s="125"/>
      <c r="M714" s="96">
        <v>250000</v>
      </c>
      <c r="N714" s="207" t="s">
        <v>121</v>
      </c>
    </row>
    <row r="715" spans="1:14" ht="27" x14ac:dyDescent="0.3">
      <c r="A715" s="123">
        <v>13</v>
      </c>
      <c r="B715" s="665"/>
      <c r="C715" s="92" t="s">
        <v>2784</v>
      </c>
      <c r="D715" s="125" t="s">
        <v>306</v>
      </c>
      <c r="E715" s="125" t="s">
        <v>322</v>
      </c>
      <c r="F715" s="125" t="s">
        <v>307</v>
      </c>
      <c r="G715" s="198" t="s">
        <v>2561</v>
      </c>
      <c r="H715" s="125" t="s">
        <v>148</v>
      </c>
      <c r="I715" s="198" t="s">
        <v>2783</v>
      </c>
      <c r="J715" s="125" t="s">
        <v>168</v>
      </c>
      <c r="K715" s="4" t="s">
        <v>2777</v>
      </c>
      <c r="L715" s="125"/>
      <c r="M715" s="96">
        <v>750000</v>
      </c>
      <c r="N715" s="207" t="s">
        <v>121</v>
      </c>
    </row>
    <row r="716" spans="1:14" ht="27" x14ac:dyDescent="0.3">
      <c r="A716" s="123">
        <v>13</v>
      </c>
      <c r="B716" s="663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8" t="s">
        <v>2780</v>
      </c>
      <c r="J716" s="198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 x14ac:dyDescent="0.3">
      <c r="A717" s="123">
        <v>13</v>
      </c>
      <c r="B717" s="665"/>
      <c r="C717" s="92">
        <v>45743</v>
      </c>
      <c r="D717" s="4" t="s">
        <v>21</v>
      </c>
      <c r="E717" s="4" t="s">
        <v>17</v>
      </c>
      <c r="F717" s="198" t="s">
        <v>1899</v>
      </c>
      <c r="G717" s="31">
        <v>7060</v>
      </c>
      <c r="H717" s="16" t="s">
        <v>2792</v>
      </c>
      <c r="I717" s="198" t="s">
        <v>2785</v>
      </c>
      <c r="J717" s="198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 x14ac:dyDescent="0.3">
      <c r="A718" s="123">
        <v>14</v>
      </c>
      <c r="B718" s="663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8" t="s">
        <v>2561</v>
      </c>
      <c r="H718" s="125" t="s">
        <v>148</v>
      </c>
      <c r="I718" s="198" t="s">
        <v>2797</v>
      </c>
      <c r="J718" s="125" t="s">
        <v>168</v>
      </c>
      <c r="K718" s="188" t="s">
        <v>2796</v>
      </c>
      <c r="L718" s="125"/>
      <c r="M718" s="96">
        <v>500000</v>
      </c>
      <c r="N718" s="207" t="s">
        <v>121</v>
      </c>
    </row>
    <row r="719" spans="1:14" ht="27" x14ac:dyDescent="0.3">
      <c r="A719" s="123">
        <v>14</v>
      </c>
      <c r="B719" s="664"/>
      <c r="C719" s="92" t="s">
        <v>2800</v>
      </c>
      <c r="D719" s="125" t="s">
        <v>306</v>
      </c>
      <c r="E719" s="125" t="s">
        <v>322</v>
      </c>
      <c r="F719" s="125" t="s">
        <v>307</v>
      </c>
      <c r="G719" s="198" t="s">
        <v>2561</v>
      </c>
      <c r="H719" s="125" t="s">
        <v>148</v>
      </c>
      <c r="I719" s="198" t="s">
        <v>2798</v>
      </c>
      <c r="J719" s="125" t="s">
        <v>168</v>
      </c>
      <c r="K719" s="188" t="s">
        <v>2777</v>
      </c>
      <c r="L719" s="125"/>
      <c r="M719" s="96">
        <v>750000</v>
      </c>
      <c r="N719" s="207" t="s">
        <v>121</v>
      </c>
    </row>
    <row r="720" spans="1:14" ht="27" x14ac:dyDescent="0.3">
      <c r="A720" s="123">
        <v>14</v>
      </c>
      <c r="B720" s="664"/>
      <c r="C720" s="92" t="s">
        <v>2803</v>
      </c>
      <c r="D720" s="125" t="s">
        <v>306</v>
      </c>
      <c r="E720" s="125" t="s">
        <v>322</v>
      </c>
      <c r="F720" s="125" t="s">
        <v>307</v>
      </c>
      <c r="G720" s="198" t="s">
        <v>2717</v>
      </c>
      <c r="H720" s="125" t="s">
        <v>23</v>
      </c>
      <c r="I720" s="198" t="s">
        <v>592</v>
      </c>
      <c r="J720" s="125" t="s">
        <v>2799</v>
      </c>
      <c r="K720" s="279" t="s">
        <v>641</v>
      </c>
      <c r="L720" s="125"/>
      <c r="M720" s="96">
        <v>500000</v>
      </c>
      <c r="N720" s="207" t="s">
        <v>2804</v>
      </c>
    </row>
    <row r="721" spans="1:14" ht="27" x14ac:dyDescent="0.3">
      <c r="A721" s="123">
        <v>14</v>
      </c>
      <c r="B721" s="664"/>
      <c r="C721" s="92" t="s">
        <v>2800</v>
      </c>
      <c r="D721" s="125" t="s">
        <v>306</v>
      </c>
      <c r="E721" s="125" t="s">
        <v>322</v>
      </c>
      <c r="F721" s="125" t="s">
        <v>307</v>
      </c>
      <c r="G721" s="198" t="s">
        <v>2880</v>
      </c>
      <c r="H721" s="125" t="s">
        <v>264</v>
      </c>
      <c r="I721" s="198" t="s">
        <v>592</v>
      </c>
      <c r="J721" s="125" t="s">
        <v>2799</v>
      </c>
      <c r="K721" s="279" t="s">
        <v>2810</v>
      </c>
      <c r="L721" s="125"/>
      <c r="M721" s="96">
        <v>750000</v>
      </c>
      <c r="N721" s="207" t="s">
        <v>2804</v>
      </c>
    </row>
    <row r="722" spans="1:14" ht="27" x14ac:dyDescent="0.3">
      <c r="A722" s="123">
        <v>14</v>
      </c>
      <c r="B722" s="665"/>
      <c r="C722" s="92" t="s">
        <v>2800</v>
      </c>
      <c r="D722" s="125" t="s">
        <v>306</v>
      </c>
      <c r="E722" s="125" t="s">
        <v>322</v>
      </c>
      <c r="F722" s="125" t="s">
        <v>307</v>
      </c>
      <c r="G722" s="198" t="s">
        <v>2624</v>
      </c>
      <c r="H722" s="125" t="s">
        <v>264</v>
      </c>
      <c r="I722" s="198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663" t="s">
        <v>21</v>
      </c>
      <c r="C723" s="92">
        <v>45743</v>
      </c>
      <c r="D723" s="4" t="s">
        <v>21</v>
      </c>
      <c r="E723" s="4" t="s">
        <v>14</v>
      </c>
      <c r="F723" s="198" t="s">
        <v>211</v>
      </c>
      <c r="G723" s="31" t="s">
        <v>2052</v>
      </c>
      <c r="H723" s="16" t="s">
        <v>18</v>
      </c>
      <c r="I723" s="198" t="s">
        <v>2805</v>
      </c>
      <c r="J723" s="198"/>
      <c r="K723" s="245" t="s">
        <v>641</v>
      </c>
      <c r="L723" s="125" t="s">
        <v>15</v>
      </c>
      <c r="M723" s="96">
        <v>500000</v>
      </c>
      <c r="N723" s="8" t="s">
        <v>2802</v>
      </c>
    </row>
    <row r="724" spans="1:14" ht="27" x14ac:dyDescent="0.3">
      <c r="A724" s="123">
        <v>14</v>
      </c>
      <c r="B724" s="664"/>
      <c r="C724" s="92">
        <v>45744</v>
      </c>
      <c r="D724" s="4" t="s">
        <v>21</v>
      </c>
      <c r="E724" s="4" t="s">
        <v>14</v>
      </c>
      <c r="F724" s="198" t="s">
        <v>211</v>
      </c>
      <c r="G724" s="31" t="s">
        <v>2052</v>
      </c>
      <c r="H724" s="16" t="s">
        <v>18</v>
      </c>
      <c r="I724" s="198" t="s">
        <v>2811</v>
      </c>
      <c r="J724" s="198"/>
      <c r="K724" s="245" t="s">
        <v>641</v>
      </c>
      <c r="L724" s="125" t="s">
        <v>15</v>
      </c>
      <c r="M724" s="96">
        <v>500000</v>
      </c>
      <c r="N724" s="8" t="s">
        <v>2808</v>
      </c>
    </row>
    <row r="725" spans="1:14" ht="40.5" x14ac:dyDescent="0.3">
      <c r="A725" s="123">
        <v>14</v>
      </c>
      <c r="B725" s="664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8" t="s">
        <v>2809</v>
      </c>
      <c r="J725" s="198" t="s">
        <v>2794</v>
      </c>
      <c r="K725" s="245" t="s">
        <v>783</v>
      </c>
      <c r="L725" s="125" t="s">
        <v>15</v>
      </c>
      <c r="M725" s="96">
        <v>1500000</v>
      </c>
      <c r="N725" s="8" t="s">
        <v>2812</v>
      </c>
    </row>
    <row r="726" spans="1:14" x14ac:dyDescent="0.3">
      <c r="A726" s="123">
        <v>14</v>
      </c>
      <c r="B726" s="66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8" t="s">
        <v>2807</v>
      </c>
      <c r="J726" s="31" t="s">
        <v>90</v>
      </c>
      <c r="K726" s="378" t="s">
        <v>2795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663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8" t="s">
        <v>2821</v>
      </c>
      <c r="H727" s="125" t="s">
        <v>23</v>
      </c>
      <c r="I727" s="198" t="s">
        <v>614</v>
      </c>
      <c r="J727" s="125" t="s">
        <v>168</v>
      </c>
      <c r="K727" s="188" t="s">
        <v>2766</v>
      </c>
      <c r="L727" s="125"/>
      <c r="M727" s="96">
        <v>500000</v>
      </c>
      <c r="N727" s="207" t="s">
        <v>121</v>
      </c>
    </row>
    <row r="728" spans="1:14" ht="27" x14ac:dyDescent="0.3">
      <c r="A728" s="123">
        <v>15</v>
      </c>
      <c r="B728" s="664"/>
      <c r="C728" s="92" t="s">
        <v>2823</v>
      </c>
      <c r="D728" s="125" t="s">
        <v>306</v>
      </c>
      <c r="E728" s="125" t="s">
        <v>322</v>
      </c>
      <c r="F728" s="125" t="s">
        <v>307</v>
      </c>
      <c r="G728" s="198" t="s">
        <v>2561</v>
      </c>
      <c r="H728" s="125" t="s">
        <v>148</v>
      </c>
      <c r="I728" s="198" t="s">
        <v>2824</v>
      </c>
      <c r="J728" s="125" t="s">
        <v>168</v>
      </c>
      <c r="K728" s="188" t="s">
        <v>2777</v>
      </c>
      <c r="L728" s="125"/>
      <c r="M728" s="96">
        <v>750000</v>
      </c>
      <c r="N728" s="207" t="s">
        <v>121</v>
      </c>
    </row>
    <row r="729" spans="1:14" ht="27" x14ac:dyDescent="0.3">
      <c r="A729" s="123">
        <v>15</v>
      </c>
      <c r="B729" s="664"/>
      <c r="C729" s="375" t="s">
        <v>2828</v>
      </c>
      <c r="D729" s="316" t="s">
        <v>306</v>
      </c>
      <c r="E729" s="316" t="s">
        <v>322</v>
      </c>
      <c r="F729" s="316" t="s">
        <v>307</v>
      </c>
      <c r="G729" s="317" t="s">
        <v>2561</v>
      </c>
      <c r="H729" s="316" t="s">
        <v>148</v>
      </c>
      <c r="I729" s="317" t="s">
        <v>2824</v>
      </c>
      <c r="J729" s="316" t="s">
        <v>168</v>
      </c>
      <c r="K729" s="59" t="s">
        <v>2829</v>
      </c>
      <c r="L729" s="316"/>
      <c r="M729" s="376">
        <v>2000000</v>
      </c>
      <c r="N729" s="207" t="s">
        <v>121</v>
      </c>
    </row>
    <row r="730" spans="1:14" ht="27" x14ac:dyDescent="0.3">
      <c r="A730" s="123">
        <v>15</v>
      </c>
      <c r="B730" s="664"/>
      <c r="C730" s="92" t="s">
        <v>2881</v>
      </c>
      <c r="D730" s="125" t="s">
        <v>306</v>
      </c>
      <c r="E730" s="125" t="s">
        <v>322</v>
      </c>
      <c r="F730" s="125" t="s">
        <v>307</v>
      </c>
      <c r="G730" s="198">
        <v>593</v>
      </c>
      <c r="H730" s="125" t="s">
        <v>264</v>
      </c>
      <c r="I730" s="198" t="s">
        <v>592</v>
      </c>
      <c r="J730" s="125" t="s">
        <v>1259</v>
      </c>
      <c r="K730" s="279" t="s">
        <v>845</v>
      </c>
      <c r="L730" s="125"/>
      <c r="M730" s="96">
        <v>750000</v>
      </c>
      <c r="N730" s="207" t="s">
        <v>2827</v>
      </c>
    </row>
    <row r="731" spans="1:14" ht="27" x14ac:dyDescent="0.3">
      <c r="A731" s="123">
        <v>15</v>
      </c>
      <c r="B731" s="664"/>
      <c r="C731" s="203">
        <v>45757</v>
      </c>
      <c r="D731" s="125" t="s">
        <v>306</v>
      </c>
      <c r="E731" s="125" t="s">
        <v>322</v>
      </c>
      <c r="F731" s="125" t="s">
        <v>307</v>
      </c>
      <c r="G731" s="198" t="s">
        <v>2690</v>
      </c>
      <c r="H731" s="125" t="s">
        <v>264</v>
      </c>
      <c r="I731" s="198" t="s">
        <v>592</v>
      </c>
      <c r="J731" s="125" t="s">
        <v>1259</v>
      </c>
      <c r="K731" s="279" t="s">
        <v>641</v>
      </c>
      <c r="L731" s="125"/>
      <c r="M731" s="96">
        <v>500000</v>
      </c>
      <c r="N731" s="207" t="s">
        <v>2827</v>
      </c>
    </row>
    <row r="732" spans="1:14" x14ac:dyDescent="0.3">
      <c r="A732" s="123">
        <v>15</v>
      </c>
      <c r="B732" s="664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8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 x14ac:dyDescent="0.3">
      <c r="A733" s="123">
        <v>15</v>
      </c>
      <c r="B733" s="664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8" t="s">
        <v>2816</v>
      </c>
      <c r="J733" s="31" t="s">
        <v>90</v>
      </c>
      <c r="K733" s="378" t="s">
        <v>2872</v>
      </c>
      <c r="L733" s="125" t="s">
        <v>15</v>
      </c>
      <c r="M733" s="96">
        <v>750000</v>
      </c>
      <c r="N733" s="681" t="s">
        <v>2825</v>
      </c>
    </row>
    <row r="734" spans="1:14" ht="27" x14ac:dyDescent="0.3">
      <c r="A734" s="123">
        <v>15</v>
      </c>
      <c r="B734" s="664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8" t="s">
        <v>2826</v>
      </c>
      <c r="J734" s="31" t="s">
        <v>90</v>
      </c>
      <c r="K734" s="378" t="s">
        <v>2818</v>
      </c>
      <c r="L734" s="125" t="s">
        <v>15</v>
      </c>
      <c r="M734" s="96">
        <v>750000</v>
      </c>
      <c r="N734" s="682"/>
    </row>
    <row r="735" spans="1:14" x14ac:dyDescent="0.3">
      <c r="A735" s="123">
        <v>15</v>
      </c>
      <c r="B735" s="664"/>
      <c r="C735" s="203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73" t="s">
        <v>302</v>
      </c>
      <c r="J735" s="198" t="s">
        <v>2817</v>
      </c>
      <c r="K735" s="198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664"/>
      <c r="C736" s="203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8" t="s">
        <v>2820</v>
      </c>
      <c r="J736" s="31" t="s">
        <v>90</v>
      </c>
      <c r="K736" s="323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66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8" t="s">
        <v>2821</v>
      </c>
      <c r="H737" s="125" t="s">
        <v>1391</v>
      </c>
      <c r="I737" s="198" t="s">
        <v>1857</v>
      </c>
      <c r="J737" s="125" t="s">
        <v>168</v>
      </c>
      <c r="K737" s="188" t="s">
        <v>2782</v>
      </c>
      <c r="L737" s="125"/>
      <c r="M737" s="96">
        <v>250000</v>
      </c>
      <c r="N737" s="207" t="s">
        <v>121</v>
      </c>
    </row>
    <row r="738" spans="1:14" x14ac:dyDescent="0.3">
      <c r="A738" s="123">
        <v>16</v>
      </c>
      <c r="B738" s="664"/>
      <c r="C738" s="92">
        <v>45762</v>
      </c>
      <c r="D738" s="125" t="s">
        <v>306</v>
      </c>
      <c r="E738" s="125" t="s">
        <v>322</v>
      </c>
      <c r="F738" s="125" t="s">
        <v>307</v>
      </c>
      <c r="G738" s="198" t="s">
        <v>2838</v>
      </c>
      <c r="H738" s="125" t="s">
        <v>23</v>
      </c>
      <c r="I738" s="198" t="s">
        <v>1857</v>
      </c>
      <c r="J738" s="125" t="s">
        <v>168</v>
      </c>
      <c r="K738" s="188" t="s">
        <v>2782</v>
      </c>
      <c r="L738" s="125"/>
      <c r="M738" s="96">
        <v>250000</v>
      </c>
      <c r="N738" s="207" t="s">
        <v>121</v>
      </c>
    </row>
    <row r="739" spans="1:14" x14ac:dyDescent="0.3">
      <c r="A739" s="123">
        <v>16</v>
      </c>
      <c r="B739" s="664"/>
      <c r="C739" s="92">
        <v>45762</v>
      </c>
      <c r="D739" s="125" t="s">
        <v>306</v>
      </c>
      <c r="E739" s="125" t="s">
        <v>322</v>
      </c>
      <c r="F739" s="125" t="s">
        <v>307</v>
      </c>
      <c r="G739" s="198">
        <v>222003</v>
      </c>
      <c r="H739" s="125" t="s">
        <v>23</v>
      </c>
      <c r="I739" s="198" t="s">
        <v>2839</v>
      </c>
      <c r="J739" s="125" t="s">
        <v>168</v>
      </c>
      <c r="K739" s="188" t="s">
        <v>2777</v>
      </c>
      <c r="L739" s="125"/>
      <c r="M739" s="96">
        <v>750000</v>
      </c>
      <c r="N739" s="207" t="s">
        <v>121</v>
      </c>
    </row>
    <row r="740" spans="1:14" ht="27" x14ac:dyDescent="0.3">
      <c r="A740" s="123">
        <v>16</v>
      </c>
      <c r="B740" s="664"/>
      <c r="C740" s="92" t="s">
        <v>2834</v>
      </c>
      <c r="D740" s="125" t="s">
        <v>306</v>
      </c>
      <c r="E740" s="125" t="s">
        <v>322</v>
      </c>
      <c r="F740" s="125" t="s">
        <v>307</v>
      </c>
      <c r="G740" s="198">
        <v>222003</v>
      </c>
      <c r="H740" s="125" t="s">
        <v>102</v>
      </c>
      <c r="I740" s="198" t="s">
        <v>592</v>
      </c>
      <c r="J740" s="125" t="s">
        <v>1259</v>
      </c>
      <c r="K740" s="279" t="s">
        <v>845</v>
      </c>
      <c r="L740" s="125"/>
      <c r="M740" s="96">
        <v>750000</v>
      </c>
      <c r="N740" s="207" t="s">
        <v>2840</v>
      </c>
    </row>
    <row r="741" spans="1:14" ht="27" x14ac:dyDescent="0.3">
      <c r="A741" s="123">
        <v>16</v>
      </c>
      <c r="B741" s="664"/>
      <c r="C741" s="92" t="s">
        <v>2835</v>
      </c>
      <c r="D741" s="125" t="s">
        <v>306</v>
      </c>
      <c r="E741" s="125" t="s">
        <v>322</v>
      </c>
      <c r="F741" s="125" t="s">
        <v>307</v>
      </c>
      <c r="G741" s="198" t="s">
        <v>2821</v>
      </c>
      <c r="H741" s="125" t="s">
        <v>1391</v>
      </c>
      <c r="I741" s="198" t="s">
        <v>592</v>
      </c>
      <c r="J741" s="125" t="s">
        <v>1259</v>
      </c>
      <c r="K741" s="383" t="s">
        <v>2882</v>
      </c>
      <c r="L741" s="125"/>
      <c r="M741" s="96">
        <v>500000</v>
      </c>
      <c r="N741" s="207" t="s">
        <v>2841</v>
      </c>
    </row>
    <row r="742" spans="1:14" ht="27" x14ac:dyDescent="0.3">
      <c r="A742" s="123">
        <v>16</v>
      </c>
      <c r="B742" s="664"/>
      <c r="C742" s="92" t="s">
        <v>2836</v>
      </c>
      <c r="D742" s="125" t="s">
        <v>306</v>
      </c>
      <c r="E742" s="125" t="s">
        <v>322</v>
      </c>
      <c r="F742" s="125" t="s">
        <v>307</v>
      </c>
      <c r="G742" s="198">
        <v>222003</v>
      </c>
      <c r="H742" s="125" t="s">
        <v>102</v>
      </c>
      <c r="I742" s="198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664"/>
      <c r="C743" s="92" t="s">
        <v>2837</v>
      </c>
      <c r="D743" s="125" t="s">
        <v>306</v>
      </c>
      <c r="E743" s="125" t="s">
        <v>322</v>
      </c>
      <c r="F743" s="125" t="s">
        <v>307</v>
      </c>
      <c r="G743" s="198" t="s">
        <v>2821</v>
      </c>
      <c r="H743" s="125" t="s">
        <v>1391</v>
      </c>
      <c r="I743" s="198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664" t="s">
        <v>2871</v>
      </c>
      <c r="C744" s="203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8" t="s">
        <v>2793</v>
      </c>
      <c r="J744" s="31" t="s">
        <v>90</v>
      </c>
      <c r="K744" s="323" t="s">
        <v>641</v>
      </c>
      <c r="L744" s="125" t="s">
        <v>15</v>
      </c>
      <c r="M744" s="96">
        <v>500000</v>
      </c>
      <c r="N744" s="374" t="s">
        <v>128</v>
      </c>
    </row>
    <row r="745" spans="1:14" ht="40.5" x14ac:dyDescent="0.3">
      <c r="A745" s="238">
        <v>16</v>
      </c>
      <c r="B745" s="665"/>
      <c r="C745" s="203">
        <v>45763</v>
      </c>
      <c r="D745" s="10" t="s">
        <v>21</v>
      </c>
      <c r="E745" s="10" t="s">
        <v>14</v>
      </c>
      <c r="F745" s="339" t="s">
        <v>107</v>
      </c>
      <c r="G745" s="339" t="s">
        <v>1975</v>
      </c>
      <c r="H745" s="7" t="s">
        <v>145</v>
      </c>
      <c r="I745" s="160" t="s">
        <v>213</v>
      </c>
      <c r="J745" s="160" t="s">
        <v>2833</v>
      </c>
      <c r="K745" s="160" t="s">
        <v>68</v>
      </c>
      <c r="L745" s="336" t="s">
        <v>15</v>
      </c>
      <c r="M745" s="515">
        <v>300000</v>
      </c>
      <c r="N745" s="374" t="s">
        <v>128</v>
      </c>
    </row>
    <row r="746" spans="1:14" ht="27" x14ac:dyDescent="0.3">
      <c r="A746" s="123">
        <v>17</v>
      </c>
      <c r="B746" s="663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8" t="s">
        <v>2561</v>
      </c>
      <c r="H746" s="125" t="s">
        <v>148</v>
      </c>
      <c r="I746" s="198" t="s">
        <v>2853</v>
      </c>
      <c r="J746" s="125" t="s">
        <v>168</v>
      </c>
      <c r="K746" s="188" t="s">
        <v>2777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664"/>
      <c r="C747" s="92" t="s">
        <v>2852</v>
      </c>
      <c r="D747" s="125" t="s">
        <v>306</v>
      </c>
      <c r="E747" s="125" t="s">
        <v>322</v>
      </c>
      <c r="F747" s="125" t="s">
        <v>307</v>
      </c>
      <c r="G747" s="198" t="s">
        <v>2561</v>
      </c>
      <c r="H747" s="125" t="s">
        <v>148</v>
      </c>
      <c r="I747" s="198" t="s">
        <v>2854</v>
      </c>
      <c r="J747" s="125" t="s">
        <v>168</v>
      </c>
      <c r="K747" s="188" t="s">
        <v>2766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664"/>
      <c r="C748" s="92" t="s">
        <v>2851</v>
      </c>
      <c r="D748" s="125" t="s">
        <v>306</v>
      </c>
      <c r="E748" s="125" t="s">
        <v>322</v>
      </c>
      <c r="F748" s="125" t="s">
        <v>307</v>
      </c>
      <c r="G748" s="198" t="s">
        <v>2838</v>
      </c>
      <c r="H748" s="125" t="s">
        <v>23</v>
      </c>
      <c r="I748" s="198" t="s">
        <v>592</v>
      </c>
      <c r="J748" s="125" t="s">
        <v>1259</v>
      </c>
      <c r="K748" s="279" t="s">
        <v>845</v>
      </c>
      <c r="L748" s="125"/>
      <c r="M748" s="96">
        <v>750000</v>
      </c>
      <c r="N748" s="125" t="s">
        <v>2840</v>
      </c>
    </row>
    <row r="749" spans="1:14" ht="27" x14ac:dyDescent="0.3">
      <c r="A749" s="123">
        <v>17</v>
      </c>
      <c r="B749" s="664"/>
      <c r="C749" s="92" t="s">
        <v>2852</v>
      </c>
      <c r="D749" s="125" t="s">
        <v>306</v>
      </c>
      <c r="E749" s="125" t="s">
        <v>322</v>
      </c>
      <c r="F749" s="125" t="s">
        <v>307</v>
      </c>
      <c r="G749" s="198">
        <v>222003</v>
      </c>
      <c r="H749" s="125" t="s">
        <v>23</v>
      </c>
      <c r="I749" s="198" t="s">
        <v>592</v>
      </c>
      <c r="J749" s="125" t="s">
        <v>1259</v>
      </c>
      <c r="K749" s="279" t="s">
        <v>641</v>
      </c>
      <c r="L749" s="125"/>
      <c r="M749" s="96">
        <v>500000</v>
      </c>
      <c r="N749" s="125" t="s">
        <v>2841</v>
      </c>
    </row>
    <row r="750" spans="1:14" ht="27" x14ac:dyDescent="0.3">
      <c r="A750" s="123">
        <v>17</v>
      </c>
      <c r="B750" s="665"/>
      <c r="C750" s="92" t="s">
        <v>2847</v>
      </c>
      <c r="D750" s="125" t="s">
        <v>306</v>
      </c>
      <c r="E750" s="125" t="s">
        <v>322</v>
      </c>
      <c r="F750" s="125" t="s">
        <v>307</v>
      </c>
      <c r="G750" s="198" t="s">
        <v>2838</v>
      </c>
      <c r="H750" s="125" t="s">
        <v>23</v>
      </c>
      <c r="I750" s="198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663" t="s">
        <v>21</v>
      </c>
      <c r="C751" s="377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8" t="s">
        <v>2855</v>
      </c>
      <c r="J751" s="31"/>
      <c r="K751" s="378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66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8" t="s">
        <v>2845</v>
      </c>
      <c r="J752" s="31" t="s">
        <v>90</v>
      </c>
      <c r="K752" s="378" t="s">
        <v>41</v>
      </c>
      <c r="L752" s="125" t="s">
        <v>15</v>
      </c>
      <c r="M752" s="96">
        <v>250000</v>
      </c>
      <c r="N752" s="8" t="s">
        <v>1797</v>
      </c>
    </row>
    <row r="753" spans="1:17" ht="27" x14ac:dyDescent="0.3">
      <c r="A753" s="123">
        <v>17</v>
      </c>
      <c r="B753" s="664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8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66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8" t="s">
        <v>2850</v>
      </c>
      <c r="J754" s="198" t="s">
        <v>2781</v>
      </c>
      <c r="K754" s="198" t="s">
        <v>2842</v>
      </c>
      <c r="L754" s="125" t="s">
        <v>15</v>
      </c>
      <c r="M754" s="96">
        <v>500000</v>
      </c>
      <c r="N754" s="8" t="s">
        <v>2856</v>
      </c>
    </row>
    <row r="755" spans="1:17" ht="27" x14ac:dyDescent="0.3">
      <c r="A755" s="123">
        <v>17</v>
      </c>
      <c r="B755" s="66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8" t="s">
        <v>2846</v>
      </c>
      <c r="J755" s="198" t="s">
        <v>90</v>
      </c>
      <c r="K755" s="198" t="s">
        <v>60</v>
      </c>
      <c r="L755" s="125" t="s">
        <v>15</v>
      </c>
      <c r="M755" s="96">
        <v>300000</v>
      </c>
      <c r="N755" s="8" t="s">
        <v>1797</v>
      </c>
    </row>
    <row r="756" spans="1:17" ht="27" x14ac:dyDescent="0.3">
      <c r="A756" s="123">
        <v>18</v>
      </c>
      <c r="B756" s="663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8" t="s">
        <v>2561</v>
      </c>
      <c r="H756" s="125" t="s">
        <v>509</v>
      </c>
      <c r="I756" s="198" t="s">
        <v>2859</v>
      </c>
      <c r="J756" s="125" t="s">
        <v>168</v>
      </c>
      <c r="K756" s="188" t="s">
        <v>2863</v>
      </c>
      <c r="L756" s="125"/>
      <c r="M756" s="96">
        <v>500000</v>
      </c>
      <c r="N756" s="207" t="s">
        <v>121</v>
      </c>
    </row>
    <row r="757" spans="1:17" ht="27" x14ac:dyDescent="0.3">
      <c r="A757" s="123">
        <v>18</v>
      </c>
      <c r="B757" s="664"/>
      <c r="C757" s="92" t="s">
        <v>2861</v>
      </c>
      <c r="D757" s="125" t="s">
        <v>306</v>
      </c>
      <c r="E757" s="125" t="s">
        <v>322</v>
      </c>
      <c r="F757" s="125" t="s">
        <v>307</v>
      </c>
      <c r="G757" s="198" t="s">
        <v>2561</v>
      </c>
      <c r="H757" s="125" t="s">
        <v>509</v>
      </c>
      <c r="I757" s="198" t="s">
        <v>2865</v>
      </c>
      <c r="J757" s="125" t="s">
        <v>168</v>
      </c>
      <c r="K757" s="340" t="s">
        <v>2863</v>
      </c>
      <c r="L757" s="125"/>
      <c r="M757" s="96">
        <v>500000</v>
      </c>
      <c r="N757" s="207" t="s">
        <v>121</v>
      </c>
    </row>
    <row r="758" spans="1:17" ht="27" x14ac:dyDescent="0.3">
      <c r="A758" s="123">
        <v>18</v>
      </c>
      <c r="B758" s="664"/>
      <c r="C758" s="92" t="s">
        <v>2860</v>
      </c>
      <c r="D758" s="125" t="s">
        <v>306</v>
      </c>
      <c r="E758" s="125" t="s">
        <v>322</v>
      </c>
      <c r="F758" s="125" t="s">
        <v>307</v>
      </c>
      <c r="G758" s="198">
        <v>222003</v>
      </c>
      <c r="H758" s="125" t="s">
        <v>2862</v>
      </c>
      <c r="I758" s="198" t="s">
        <v>592</v>
      </c>
      <c r="J758" s="125" t="s">
        <v>1259</v>
      </c>
      <c r="K758" s="383" t="s">
        <v>2883</v>
      </c>
      <c r="L758" s="125"/>
      <c r="M758" s="96">
        <v>500000</v>
      </c>
      <c r="N758" s="207" t="s">
        <v>2840</v>
      </c>
    </row>
    <row r="759" spans="1:17" ht="27" x14ac:dyDescent="0.3">
      <c r="A759" s="123">
        <v>18</v>
      </c>
      <c r="B759" s="665"/>
      <c r="C759" s="92" t="s">
        <v>2867</v>
      </c>
      <c r="D759" s="125" t="s">
        <v>306</v>
      </c>
      <c r="E759" s="125" t="s">
        <v>322</v>
      </c>
      <c r="F759" s="125" t="s">
        <v>307</v>
      </c>
      <c r="G759" s="198">
        <v>222003</v>
      </c>
      <c r="H759" s="125" t="s">
        <v>2862</v>
      </c>
      <c r="I759" s="198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8" t="s">
        <v>2868</v>
      </c>
      <c r="J760" s="198"/>
      <c r="K760" s="385" t="s">
        <v>487</v>
      </c>
      <c r="L760" s="125"/>
      <c r="M760" s="96">
        <v>500000</v>
      </c>
      <c r="N760" s="336" t="s">
        <v>1207</v>
      </c>
    </row>
    <row r="761" spans="1:17" ht="27" x14ac:dyDescent="0.3">
      <c r="A761" s="123">
        <v>19</v>
      </c>
      <c r="B761" s="663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8" t="s">
        <v>2561</v>
      </c>
      <c r="H761" s="125" t="s">
        <v>148</v>
      </c>
      <c r="I761" s="198" t="s">
        <v>2865</v>
      </c>
      <c r="J761" s="125" t="s">
        <v>168</v>
      </c>
      <c r="K761" s="340" t="s">
        <v>2875</v>
      </c>
      <c r="L761" s="125"/>
      <c r="M761" s="96">
        <v>750000</v>
      </c>
      <c r="N761" s="207" t="s">
        <v>121</v>
      </c>
    </row>
    <row r="762" spans="1:17" ht="27" x14ac:dyDescent="0.3">
      <c r="A762" s="123">
        <v>19</v>
      </c>
      <c r="B762" s="664"/>
      <c r="C762" s="92">
        <v>45779</v>
      </c>
      <c r="D762" s="125" t="s">
        <v>306</v>
      </c>
      <c r="E762" s="125" t="s">
        <v>322</v>
      </c>
      <c r="F762" s="125" t="s">
        <v>307</v>
      </c>
      <c r="G762" s="198">
        <v>593</v>
      </c>
      <c r="H762" s="125" t="s">
        <v>264</v>
      </c>
      <c r="I762" s="198" t="s">
        <v>2873</v>
      </c>
      <c r="J762" s="125" t="s">
        <v>1354</v>
      </c>
      <c r="K762" s="226" t="s">
        <v>686</v>
      </c>
      <c r="L762" s="389"/>
      <c r="M762" s="96">
        <v>250000</v>
      </c>
      <c r="N762" s="207" t="s">
        <v>2840</v>
      </c>
    </row>
    <row r="763" spans="1:17" ht="27" x14ac:dyDescent="0.3">
      <c r="A763" s="123">
        <v>19</v>
      </c>
      <c r="B763" s="664"/>
      <c r="C763" s="92" t="s">
        <v>2874</v>
      </c>
      <c r="D763" s="125" t="s">
        <v>306</v>
      </c>
      <c r="E763" s="125" t="s">
        <v>322</v>
      </c>
      <c r="F763" s="125" t="s">
        <v>307</v>
      </c>
      <c r="G763" s="198">
        <v>222003</v>
      </c>
      <c r="H763" s="125" t="s">
        <v>23</v>
      </c>
      <c r="I763" s="198" t="s">
        <v>1105</v>
      </c>
      <c r="J763" s="125" t="s">
        <v>1354</v>
      </c>
      <c r="K763" s="226" t="s">
        <v>641</v>
      </c>
      <c r="L763" s="389"/>
      <c r="M763" s="96">
        <v>500000</v>
      </c>
      <c r="N763" s="207" t="s">
        <v>2840</v>
      </c>
    </row>
    <row r="764" spans="1:17" ht="27" x14ac:dyDescent="0.3">
      <c r="A764" s="123">
        <v>20</v>
      </c>
      <c r="B764" s="664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8" t="s">
        <v>2894</v>
      </c>
      <c r="H764" s="125" t="s">
        <v>83</v>
      </c>
      <c r="I764" s="198" t="s">
        <v>2887</v>
      </c>
      <c r="J764" s="125" t="s">
        <v>168</v>
      </c>
      <c r="K764" s="340" t="s">
        <v>2875</v>
      </c>
      <c r="L764" s="125"/>
      <c r="M764" s="96">
        <v>750000</v>
      </c>
      <c r="N764" s="207" t="s">
        <v>121</v>
      </c>
    </row>
    <row r="765" spans="1:17" ht="27" x14ac:dyDescent="0.3">
      <c r="A765" s="123">
        <v>20</v>
      </c>
      <c r="B765" s="664"/>
      <c r="C765" s="92" t="s">
        <v>2885</v>
      </c>
      <c r="D765" s="125" t="s">
        <v>306</v>
      </c>
      <c r="E765" s="125" t="s">
        <v>322</v>
      </c>
      <c r="F765" s="125" t="s">
        <v>307</v>
      </c>
      <c r="G765" s="198" t="s">
        <v>2886</v>
      </c>
      <c r="H765" s="125" t="s">
        <v>34</v>
      </c>
      <c r="I765" s="198" t="s">
        <v>2887</v>
      </c>
      <c r="J765" s="125" t="s">
        <v>168</v>
      </c>
      <c r="K765" s="340" t="s">
        <v>2863</v>
      </c>
      <c r="L765" s="125"/>
      <c r="M765" s="96">
        <v>500000</v>
      </c>
      <c r="N765" s="207" t="s">
        <v>121</v>
      </c>
    </row>
    <row r="766" spans="1:17" ht="27" x14ac:dyDescent="0.3">
      <c r="A766" s="123">
        <v>20</v>
      </c>
      <c r="B766" s="664"/>
      <c r="C766" s="92" t="s">
        <v>2888</v>
      </c>
      <c r="D766" s="125" t="s">
        <v>306</v>
      </c>
      <c r="E766" s="125" t="s">
        <v>322</v>
      </c>
      <c r="F766" s="125" t="s">
        <v>307</v>
      </c>
      <c r="G766" s="198">
        <v>222003</v>
      </c>
      <c r="H766" s="125" t="s">
        <v>23</v>
      </c>
      <c r="I766" s="198" t="s">
        <v>592</v>
      </c>
      <c r="J766" s="125" t="s">
        <v>1259</v>
      </c>
      <c r="K766" s="226" t="s">
        <v>133</v>
      </c>
      <c r="L766" s="389"/>
      <c r="M766" s="347">
        <v>500000</v>
      </c>
      <c r="N766" s="207" t="s">
        <v>2840</v>
      </c>
      <c r="P766">
        <v>1</v>
      </c>
      <c r="Q766" s="390"/>
    </row>
    <row r="767" spans="1:17" ht="27" x14ac:dyDescent="0.3">
      <c r="A767" s="123">
        <v>20</v>
      </c>
      <c r="B767" s="664"/>
      <c r="C767" s="92" t="s">
        <v>2889</v>
      </c>
      <c r="D767" s="125" t="s">
        <v>306</v>
      </c>
      <c r="E767" s="125" t="s">
        <v>322</v>
      </c>
      <c r="F767" s="125" t="s">
        <v>307</v>
      </c>
      <c r="G767" s="198" t="s">
        <v>2561</v>
      </c>
      <c r="H767" s="125" t="s">
        <v>148</v>
      </c>
      <c r="I767" s="198" t="s">
        <v>2890</v>
      </c>
      <c r="J767" s="125" t="s">
        <v>1259</v>
      </c>
      <c r="K767" s="226" t="s">
        <v>204</v>
      </c>
      <c r="L767" s="389"/>
      <c r="M767" s="347">
        <v>750000</v>
      </c>
      <c r="N767" s="207" t="s">
        <v>2840</v>
      </c>
      <c r="P767">
        <v>2</v>
      </c>
    </row>
    <row r="768" spans="1:17" x14ac:dyDescent="0.3">
      <c r="A768" s="123">
        <v>20</v>
      </c>
      <c r="B768" s="664" t="s">
        <v>2947</v>
      </c>
      <c r="C768" s="203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8" t="s">
        <v>2866</v>
      </c>
      <c r="J768" s="31" t="s">
        <v>2878</v>
      </c>
      <c r="K768" s="385" t="s">
        <v>41</v>
      </c>
      <c r="L768" s="125" t="s">
        <v>15</v>
      </c>
      <c r="M768" s="96">
        <v>250000</v>
      </c>
      <c r="N768" s="336" t="s">
        <v>128</v>
      </c>
    </row>
    <row r="769" spans="1:17" x14ac:dyDescent="0.3">
      <c r="A769" s="123">
        <v>20</v>
      </c>
      <c r="B769" s="664"/>
      <c r="C769" s="203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8" t="s">
        <v>2891</v>
      </c>
      <c r="J769" s="31" t="s">
        <v>2879</v>
      </c>
      <c r="K769" s="388" t="s">
        <v>686</v>
      </c>
      <c r="L769" s="125" t="s">
        <v>15</v>
      </c>
      <c r="M769" s="96">
        <v>250000</v>
      </c>
      <c r="N769" s="336" t="s">
        <v>128</v>
      </c>
    </row>
    <row r="770" spans="1:17" ht="27" x14ac:dyDescent="0.3">
      <c r="A770" s="238">
        <v>20</v>
      </c>
      <c r="B770" s="665"/>
      <c r="C770" s="203" t="s">
        <v>2885</v>
      </c>
      <c r="D770" s="10" t="s">
        <v>21</v>
      </c>
      <c r="E770" s="10" t="s">
        <v>14</v>
      </c>
      <c r="F770" s="339" t="s">
        <v>2843</v>
      </c>
      <c r="G770" s="339" t="s">
        <v>1953</v>
      </c>
      <c r="H770" s="7" t="s">
        <v>2844</v>
      </c>
      <c r="I770" s="160" t="s">
        <v>2892</v>
      </c>
      <c r="J770" s="339"/>
      <c r="K770" s="386" t="s">
        <v>440</v>
      </c>
      <c r="L770" s="336"/>
      <c r="M770" s="515">
        <v>1000000</v>
      </c>
      <c r="N770" s="336" t="s">
        <v>2893</v>
      </c>
    </row>
    <row r="771" spans="1:17" ht="27" x14ac:dyDescent="0.3">
      <c r="A771" s="123">
        <v>21</v>
      </c>
      <c r="B771" s="663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8" t="s">
        <v>2903</v>
      </c>
      <c r="H771" s="125" t="s">
        <v>143</v>
      </c>
      <c r="I771" s="198" t="s">
        <v>2887</v>
      </c>
      <c r="J771" s="125" t="s">
        <v>168</v>
      </c>
      <c r="K771" s="340" t="s">
        <v>2875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664"/>
      <c r="C772" s="92" t="s">
        <v>2902</v>
      </c>
      <c r="D772" s="125" t="s">
        <v>306</v>
      </c>
      <c r="E772" s="125" t="s">
        <v>322</v>
      </c>
      <c r="F772" s="125" t="s">
        <v>307</v>
      </c>
      <c r="G772" s="198">
        <v>1566</v>
      </c>
      <c r="H772" s="125" t="s">
        <v>482</v>
      </c>
      <c r="I772" s="198" t="s">
        <v>1966</v>
      </c>
      <c r="J772" s="125" t="s">
        <v>168</v>
      </c>
      <c r="K772" s="340" t="s">
        <v>2863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665"/>
      <c r="C773" s="92" t="s">
        <v>2901</v>
      </c>
      <c r="D773" s="125" t="s">
        <v>306</v>
      </c>
      <c r="E773" s="125" t="s">
        <v>322</v>
      </c>
      <c r="F773" s="125" t="s">
        <v>307</v>
      </c>
      <c r="G773" s="198" t="s">
        <v>2561</v>
      </c>
      <c r="H773" s="125" t="s">
        <v>148</v>
      </c>
      <c r="I773" s="198" t="s">
        <v>2890</v>
      </c>
      <c r="J773" s="125" t="s">
        <v>1259</v>
      </c>
      <c r="K773" s="226" t="s">
        <v>2899</v>
      </c>
      <c r="L773" s="389"/>
      <c r="M773" s="347">
        <v>1250000</v>
      </c>
      <c r="N773" s="125" t="s">
        <v>2840</v>
      </c>
      <c r="P773">
        <v>3</v>
      </c>
      <c r="Q773">
        <v>4</v>
      </c>
    </row>
    <row r="774" spans="1:17" x14ac:dyDescent="0.3">
      <c r="A774" s="391">
        <v>21</v>
      </c>
      <c r="B774" s="663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8" t="s">
        <v>2897</v>
      </c>
      <c r="J774" s="31" t="s">
        <v>90</v>
      </c>
      <c r="K774" s="385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91">
        <v>21</v>
      </c>
      <c r="B775" s="664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8" t="s">
        <v>2898</v>
      </c>
      <c r="J775" s="31"/>
      <c r="K775" s="387" t="s">
        <v>487</v>
      </c>
      <c r="L775" s="125" t="s">
        <v>15</v>
      </c>
      <c r="M775" s="96">
        <v>500000</v>
      </c>
      <c r="N775" s="125" t="s">
        <v>2904</v>
      </c>
    </row>
    <row r="776" spans="1:17" x14ac:dyDescent="0.3">
      <c r="A776" s="123">
        <v>21</v>
      </c>
      <c r="B776" s="66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8" t="s">
        <v>2896</v>
      </c>
      <c r="J776" s="31" t="s">
        <v>90</v>
      </c>
      <c r="K776" s="198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663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8">
        <v>1566</v>
      </c>
      <c r="H777" s="125" t="s">
        <v>482</v>
      </c>
      <c r="I777" s="198" t="s">
        <v>1966</v>
      </c>
      <c r="J777" s="125" t="s">
        <v>168</v>
      </c>
      <c r="K777" s="340" t="s">
        <v>2875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664"/>
      <c r="C778" s="92" t="s">
        <v>2908</v>
      </c>
      <c r="D778" s="125" t="s">
        <v>306</v>
      </c>
      <c r="E778" s="125" t="s">
        <v>322</v>
      </c>
      <c r="F778" s="125" t="s">
        <v>307</v>
      </c>
      <c r="G778" s="198" t="s">
        <v>2717</v>
      </c>
      <c r="H778" s="125" t="s">
        <v>23</v>
      </c>
      <c r="I778" s="198" t="s">
        <v>2909</v>
      </c>
      <c r="J778" s="125" t="s">
        <v>168</v>
      </c>
      <c r="K778" s="340" t="s">
        <v>2863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664"/>
      <c r="C779" s="92" t="s">
        <v>2910</v>
      </c>
      <c r="D779" s="125" t="s">
        <v>306</v>
      </c>
      <c r="E779" s="125" t="s">
        <v>322</v>
      </c>
      <c r="F779" s="125" t="s">
        <v>307</v>
      </c>
      <c r="G779" s="198" t="s">
        <v>2913</v>
      </c>
      <c r="H779" s="125" t="s">
        <v>2914</v>
      </c>
      <c r="I779" s="198" t="s">
        <v>2915</v>
      </c>
      <c r="J779" s="125" t="s">
        <v>1259</v>
      </c>
      <c r="K779" s="226" t="s">
        <v>2899</v>
      </c>
      <c r="L779" s="246"/>
      <c r="M779" s="96">
        <v>1250000</v>
      </c>
      <c r="N779" s="125" t="s">
        <v>2840</v>
      </c>
    </row>
    <row r="780" spans="1:17" ht="27" x14ac:dyDescent="0.3">
      <c r="A780" s="123">
        <v>22</v>
      </c>
      <c r="B780" s="665"/>
      <c r="C780" s="92" t="s">
        <v>2912</v>
      </c>
      <c r="D780" s="125" t="s">
        <v>306</v>
      </c>
      <c r="E780" s="125" t="s">
        <v>322</v>
      </c>
      <c r="F780" s="125" t="s">
        <v>307</v>
      </c>
      <c r="G780" s="198" t="s">
        <v>2911</v>
      </c>
      <c r="H780" s="125" t="s">
        <v>23</v>
      </c>
      <c r="I780" s="198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8" t="s">
        <v>2906</v>
      </c>
      <c r="J781" s="31"/>
      <c r="K781" s="198" t="s">
        <v>686</v>
      </c>
      <c r="L781" s="125" t="s">
        <v>15</v>
      </c>
      <c r="M781" s="96">
        <v>250000</v>
      </c>
      <c r="N781" s="125" t="s">
        <v>2916</v>
      </c>
    </row>
    <row r="782" spans="1:17" x14ac:dyDescent="0.3">
      <c r="A782" s="123">
        <v>23</v>
      </c>
      <c r="B782" s="663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8">
        <v>1566</v>
      </c>
      <c r="H782" s="125" t="s">
        <v>482</v>
      </c>
      <c r="I782" s="198" t="s">
        <v>1966</v>
      </c>
      <c r="J782" s="125" t="s">
        <v>168</v>
      </c>
      <c r="K782" s="184" t="s">
        <v>3047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664"/>
      <c r="C783" s="92" t="s">
        <v>2923</v>
      </c>
      <c r="D783" s="125" t="s">
        <v>306</v>
      </c>
      <c r="E783" s="125" t="s">
        <v>322</v>
      </c>
      <c r="F783" s="125" t="s">
        <v>307</v>
      </c>
      <c r="G783" s="198" t="s">
        <v>2903</v>
      </c>
      <c r="H783" s="125" t="s">
        <v>143</v>
      </c>
      <c r="I783" s="198" t="s">
        <v>2926</v>
      </c>
      <c r="J783" s="125" t="s">
        <v>168</v>
      </c>
      <c r="K783" s="184" t="s">
        <v>2863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664"/>
      <c r="C784" s="92" t="s">
        <v>2928</v>
      </c>
      <c r="D784" s="125" t="s">
        <v>306</v>
      </c>
      <c r="E784" s="125" t="s">
        <v>322</v>
      </c>
      <c r="F784" s="125" t="s">
        <v>307</v>
      </c>
      <c r="G784" s="198" t="s">
        <v>2919</v>
      </c>
      <c r="H784" s="125" t="s">
        <v>2918</v>
      </c>
      <c r="I784" s="198" t="s">
        <v>2927</v>
      </c>
      <c r="J784" s="125" t="s">
        <v>1259</v>
      </c>
      <c r="K784" s="4" t="s">
        <v>204</v>
      </c>
      <c r="L784" s="246"/>
      <c r="M784" s="96">
        <v>750000</v>
      </c>
      <c r="N784" s="125" t="s">
        <v>2840</v>
      </c>
    </row>
    <row r="785" spans="1:14" x14ac:dyDescent="0.3">
      <c r="A785" s="123">
        <v>23</v>
      </c>
      <c r="B785" s="66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8" t="s">
        <v>2922</v>
      </c>
      <c r="J785" s="198"/>
      <c r="K785" s="198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663" t="s">
        <v>311</v>
      </c>
      <c r="C786" s="127">
        <v>45808</v>
      </c>
      <c r="D786" s="4" t="s">
        <v>29</v>
      </c>
      <c r="E786" s="4" t="s">
        <v>17</v>
      </c>
      <c r="F786" s="198" t="s">
        <v>2895</v>
      </c>
      <c r="G786" s="31">
        <v>3011</v>
      </c>
      <c r="H786" s="16" t="s">
        <v>23</v>
      </c>
      <c r="I786" s="198" t="s">
        <v>2917</v>
      </c>
      <c r="J786" s="198" t="s">
        <v>202</v>
      </c>
      <c r="K786" s="394" t="s">
        <v>41</v>
      </c>
      <c r="L786" s="125" t="s">
        <v>15</v>
      </c>
      <c r="M786" s="96">
        <v>250000</v>
      </c>
      <c r="N786" s="125" t="s">
        <v>2929</v>
      </c>
    </row>
    <row r="787" spans="1:14" ht="40.5" x14ac:dyDescent="0.3">
      <c r="A787" s="123">
        <v>23</v>
      </c>
      <c r="B787" s="665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21" t="s">
        <v>2931</v>
      </c>
      <c r="J787" s="31" t="s">
        <v>2794</v>
      </c>
      <c r="K787" s="338" t="s">
        <v>2718</v>
      </c>
      <c r="L787" s="125" t="s">
        <v>15</v>
      </c>
      <c r="M787" s="96">
        <v>1100000</v>
      </c>
      <c r="N787" s="125" t="s">
        <v>2932</v>
      </c>
    </row>
    <row r="788" spans="1:14" x14ac:dyDescent="0.3">
      <c r="A788" s="123">
        <v>24</v>
      </c>
      <c r="B788" s="66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8">
        <v>222003</v>
      </c>
      <c r="H788" s="125" t="s">
        <v>23</v>
      </c>
      <c r="I788" s="198" t="s">
        <v>2936</v>
      </c>
      <c r="J788" s="125" t="s">
        <v>168</v>
      </c>
      <c r="K788" s="184" t="s">
        <v>2925</v>
      </c>
      <c r="L788" s="125"/>
      <c r="M788" s="96">
        <v>250000</v>
      </c>
      <c r="N788" s="207" t="s">
        <v>121</v>
      </c>
    </row>
    <row r="789" spans="1:14" ht="47.25" customHeight="1" x14ac:dyDescent="0.3">
      <c r="A789" s="123">
        <v>24</v>
      </c>
      <c r="B789" s="664"/>
      <c r="C789" s="92" t="s">
        <v>2935</v>
      </c>
      <c r="D789" s="125" t="s">
        <v>306</v>
      </c>
      <c r="E789" s="125" t="s">
        <v>322</v>
      </c>
      <c r="F789" s="125" t="s">
        <v>307</v>
      </c>
      <c r="G789" s="198" t="s">
        <v>2894</v>
      </c>
      <c r="H789" s="125" t="s">
        <v>83</v>
      </c>
      <c r="I789" s="198" t="s">
        <v>2926</v>
      </c>
      <c r="J789" s="125" t="s">
        <v>168</v>
      </c>
      <c r="K789" s="184" t="s">
        <v>2863</v>
      </c>
      <c r="L789" s="125"/>
      <c r="M789" s="96">
        <v>500000</v>
      </c>
      <c r="N789" s="207" t="s">
        <v>121</v>
      </c>
    </row>
    <row r="790" spans="1:14" ht="27" x14ac:dyDescent="0.3">
      <c r="A790" s="123">
        <v>24</v>
      </c>
      <c r="B790" s="664"/>
      <c r="C790" s="92" t="s">
        <v>2937</v>
      </c>
      <c r="D790" s="125" t="s">
        <v>306</v>
      </c>
      <c r="E790" s="125" t="s">
        <v>322</v>
      </c>
      <c r="F790" s="125" t="s">
        <v>307</v>
      </c>
      <c r="G790" s="198">
        <v>1566</v>
      </c>
      <c r="H790" s="125" t="s">
        <v>482</v>
      </c>
      <c r="I790" s="198" t="s">
        <v>378</v>
      </c>
      <c r="J790" s="125" t="s">
        <v>168</v>
      </c>
      <c r="K790" s="184" t="s">
        <v>2863</v>
      </c>
      <c r="L790" s="125"/>
      <c r="M790" s="96">
        <v>500000</v>
      </c>
      <c r="N790" s="207" t="s">
        <v>121</v>
      </c>
    </row>
    <row r="791" spans="1:14" ht="27" x14ac:dyDescent="0.3">
      <c r="A791" s="123">
        <v>24</v>
      </c>
      <c r="B791" s="665"/>
      <c r="C791" s="92" t="s">
        <v>2938</v>
      </c>
      <c r="D791" s="125" t="s">
        <v>306</v>
      </c>
      <c r="E791" s="125" t="s">
        <v>322</v>
      </c>
      <c r="F791" s="125" t="s">
        <v>307</v>
      </c>
      <c r="G791" s="298" t="s">
        <v>2939</v>
      </c>
      <c r="H791" s="125" t="s">
        <v>2940</v>
      </c>
      <c r="I791" s="198" t="s">
        <v>2941</v>
      </c>
      <c r="J791" s="125" t="s">
        <v>1259</v>
      </c>
      <c r="K791" s="4" t="s">
        <v>246</v>
      </c>
      <c r="L791" s="246"/>
      <c r="M791" s="96">
        <v>1000000</v>
      </c>
      <c r="N791" s="207" t="s">
        <v>2840</v>
      </c>
    </row>
    <row r="792" spans="1:14" x14ac:dyDescent="0.3">
      <c r="A792" s="123">
        <v>24</v>
      </c>
      <c r="B792" s="663" t="s">
        <v>311</v>
      </c>
      <c r="C792" s="203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8" t="s">
        <v>2933</v>
      </c>
      <c r="J792" s="31"/>
      <c r="K792" s="338" t="s">
        <v>487</v>
      </c>
      <c r="L792" s="125" t="s">
        <v>15</v>
      </c>
      <c r="M792" s="96">
        <v>500000</v>
      </c>
      <c r="N792" s="336" t="s">
        <v>978</v>
      </c>
    </row>
    <row r="793" spans="1:14" ht="27" x14ac:dyDescent="0.3">
      <c r="A793" s="123">
        <v>24</v>
      </c>
      <c r="B793" s="665"/>
      <c r="C793" s="203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8" t="s">
        <v>2934</v>
      </c>
      <c r="J793" s="31" t="s">
        <v>2819</v>
      </c>
      <c r="K793" s="338" t="s">
        <v>41</v>
      </c>
      <c r="L793" s="125" t="s">
        <v>15</v>
      </c>
      <c r="M793" s="96">
        <v>250000</v>
      </c>
      <c r="N793" s="336" t="s">
        <v>1882</v>
      </c>
    </row>
    <row r="794" spans="1:14" ht="27" x14ac:dyDescent="0.3">
      <c r="A794" s="123">
        <v>25</v>
      </c>
      <c r="B794" s="676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8" t="s">
        <v>2894</v>
      </c>
      <c r="H794" s="125" t="s">
        <v>83</v>
      </c>
      <c r="I794" s="198" t="s">
        <v>2960</v>
      </c>
      <c r="J794" s="125" t="s">
        <v>168</v>
      </c>
      <c r="K794" s="184" t="s">
        <v>2875</v>
      </c>
      <c r="L794" s="125"/>
      <c r="M794" s="96">
        <v>750000</v>
      </c>
      <c r="N794" s="207" t="s">
        <v>121</v>
      </c>
    </row>
    <row r="795" spans="1:14" ht="27" x14ac:dyDescent="0.3">
      <c r="A795" s="123">
        <v>25</v>
      </c>
      <c r="B795" s="677"/>
      <c r="C795" s="92" t="s">
        <v>2954</v>
      </c>
      <c r="D795" s="125" t="s">
        <v>306</v>
      </c>
      <c r="E795" s="125" t="s">
        <v>322</v>
      </c>
      <c r="F795" s="125" t="s">
        <v>307</v>
      </c>
      <c r="G795" s="198" t="s">
        <v>2955</v>
      </c>
      <c r="H795" s="125" t="s">
        <v>34</v>
      </c>
      <c r="I795" s="198" t="s">
        <v>378</v>
      </c>
      <c r="J795" s="125" t="s">
        <v>168</v>
      </c>
      <c r="K795" s="184" t="s">
        <v>2863</v>
      </c>
      <c r="L795" s="125"/>
      <c r="M795" s="96">
        <v>500000</v>
      </c>
      <c r="N795" s="207" t="s">
        <v>121</v>
      </c>
    </row>
    <row r="796" spans="1:14" ht="27" x14ac:dyDescent="0.3">
      <c r="A796" s="123">
        <v>25</v>
      </c>
      <c r="B796" s="678"/>
      <c r="C796" s="92" t="s">
        <v>2956</v>
      </c>
      <c r="D796" s="125" t="s">
        <v>306</v>
      </c>
      <c r="E796" s="125" t="s">
        <v>322</v>
      </c>
      <c r="F796" s="125" t="s">
        <v>307</v>
      </c>
      <c r="G796" s="198" t="s">
        <v>2561</v>
      </c>
      <c r="H796" s="125" t="s">
        <v>2952</v>
      </c>
      <c r="I796" s="198" t="s">
        <v>2951</v>
      </c>
      <c r="J796" s="125" t="s">
        <v>1259</v>
      </c>
      <c r="K796" s="4" t="s">
        <v>2957</v>
      </c>
      <c r="L796" s="246"/>
      <c r="M796" s="96">
        <v>1000000</v>
      </c>
      <c r="N796" s="207" t="s">
        <v>2840</v>
      </c>
    </row>
    <row r="797" spans="1:14" ht="40.5" x14ac:dyDescent="0.3">
      <c r="A797" s="123">
        <v>25</v>
      </c>
      <c r="B797" s="55" t="s">
        <v>311</v>
      </c>
      <c r="C797" s="203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8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6" t="s">
        <v>2958</v>
      </c>
    </row>
    <row r="798" spans="1:14" x14ac:dyDescent="0.3">
      <c r="A798" s="123">
        <v>26</v>
      </c>
      <c r="B798" s="663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8" t="s">
        <v>2920</v>
      </c>
      <c r="H798" s="125" t="s">
        <v>2969</v>
      </c>
      <c r="I798" s="198" t="s">
        <v>2970</v>
      </c>
      <c r="J798" s="125" t="s">
        <v>168</v>
      </c>
      <c r="K798" s="31" t="s">
        <v>686</v>
      </c>
      <c r="L798" s="125"/>
      <c r="M798" s="96">
        <v>250000</v>
      </c>
      <c r="N798" s="207" t="s">
        <v>121</v>
      </c>
    </row>
    <row r="799" spans="1:14" ht="27" x14ac:dyDescent="0.3">
      <c r="A799" s="123">
        <v>26</v>
      </c>
      <c r="B799" s="664"/>
      <c r="C799" s="92" t="s">
        <v>2964</v>
      </c>
      <c r="D799" s="125" t="s">
        <v>306</v>
      </c>
      <c r="E799" s="125" t="s">
        <v>322</v>
      </c>
      <c r="F799" s="125" t="s">
        <v>307</v>
      </c>
      <c r="G799" s="198" t="s">
        <v>2963</v>
      </c>
      <c r="H799" s="125" t="s">
        <v>1899</v>
      </c>
      <c r="I799" s="198" t="s">
        <v>378</v>
      </c>
      <c r="J799" s="125" t="s">
        <v>168</v>
      </c>
      <c r="K799" s="4" t="s">
        <v>2875</v>
      </c>
      <c r="L799" s="125"/>
      <c r="M799" s="96">
        <v>750000</v>
      </c>
      <c r="N799" s="207" t="s">
        <v>121</v>
      </c>
    </row>
    <row r="800" spans="1:14" ht="27" x14ac:dyDescent="0.3">
      <c r="A800" s="123">
        <v>26</v>
      </c>
      <c r="B800" s="664"/>
      <c r="C800" s="92" t="s">
        <v>2965</v>
      </c>
      <c r="D800" s="125" t="s">
        <v>306</v>
      </c>
      <c r="E800" s="125" t="s">
        <v>322</v>
      </c>
      <c r="F800" s="125" t="s">
        <v>307</v>
      </c>
      <c r="G800" s="198">
        <v>1566</v>
      </c>
      <c r="H800" s="125" t="s">
        <v>482</v>
      </c>
      <c r="I800" s="198" t="s">
        <v>2966</v>
      </c>
      <c r="J800" s="125" t="s">
        <v>168</v>
      </c>
      <c r="K800" s="4" t="s">
        <v>2863</v>
      </c>
      <c r="L800" s="125"/>
      <c r="M800" s="96">
        <v>500000</v>
      </c>
      <c r="N800" s="207" t="s">
        <v>121</v>
      </c>
    </row>
    <row r="801" spans="1:14" ht="27" x14ac:dyDescent="0.3">
      <c r="A801" s="123">
        <v>26</v>
      </c>
      <c r="B801" s="664"/>
      <c r="C801" s="92" t="s">
        <v>2968</v>
      </c>
      <c r="D801" s="125" t="s">
        <v>306</v>
      </c>
      <c r="E801" s="125" t="s">
        <v>322</v>
      </c>
      <c r="F801" s="125" t="s">
        <v>307</v>
      </c>
      <c r="G801" s="198" t="s">
        <v>2920</v>
      </c>
      <c r="H801" s="125" t="s">
        <v>2969</v>
      </c>
      <c r="I801" s="198" t="s">
        <v>2971</v>
      </c>
      <c r="J801" s="125" t="s">
        <v>168</v>
      </c>
      <c r="K801" s="4" t="s">
        <v>204</v>
      </c>
      <c r="L801" s="125"/>
      <c r="M801" s="96">
        <v>750000</v>
      </c>
      <c r="N801" s="207" t="s">
        <v>121</v>
      </c>
    </row>
    <row r="802" spans="1:14" ht="27" x14ac:dyDescent="0.3">
      <c r="A802" s="123">
        <v>26</v>
      </c>
      <c r="B802" s="665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8" t="s">
        <v>2894</v>
      </c>
      <c r="H802" s="125" t="s">
        <v>2967</v>
      </c>
      <c r="I802" s="198" t="s">
        <v>2977</v>
      </c>
      <c r="J802" s="125" t="s">
        <v>1259</v>
      </c>
      <c r="K802" s="4" t="s">
        <v>204</v>
      </c>
      <c r="L802" s="125"/>
      <c r="M802" s="96">
        <v>750000</v>
      </c>
      <c r="N802" s="207" t="s">
        <v>2840</v>
      </c>
    </row>
    <row r="803" spans="1:14" ht="27" x14ac:dyDescent="0.3">
      <c r="A803" s="123">
        <v>26</v>
      </c>
      <c r="B803" s="663" t="s">
        <v>3043</v>
      </c>
      <c r="C803" s="377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8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6" t="s">
        <v>128</v>
      </c>
    </row>
    <row r="804" spans="1:14" x14ac:dyDescent="0.3">
      <c r="A804" s="123">
        <v>26</v>
      </c>
      <c r="B804" s="664"/>
      <c r="C804" s="377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8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6" t="s">
        <v>2973</v>
      </c>
    </row>
    <row r="805" spans="1:14" x14ac:dyDescent="0.3">
      <c r="A805" s="123">
        <v>26</v>
      </c>
      <c r="B805" s="664"/>
      <c r="C805" s="377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8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6" t="s">
        <v>2972</v>
      </c>
    </row>
    <row r="806" spans="1:14" x14ac:dyDescent="0.3">
      <c r="A806" s="123">
        <v>26</v>
      </c>
      <c r="B806" s="665"/>
      <c r="C806" s="377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8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6" t="s">
        <v>128</v>
      </c>
    </row>
    <row r="807" spans="1:14" ht="45" x14ac:dyDescent="0.3">
      <c r="A807" s="123">
        <v>27</v>
      </c>
      <c r="B807" s="663" t="s">
        <v>3042</v>
      </c>
      <c r="C807" s="263" t="s">
        <v>2999</v>
      </c>
      <c r="D807" s="125" t="s">
        <v>306</v>
      </c>
      <c r="E807" s="125" t="s">
        <v>322</v>
      </c>
      <c r="F807" s="125" t="s">
        <v>307</v>
      </c>
      <c r="G807" s="198" t="s">
        <v>2982</v>
      </c>
      <c r="H807" s="125" t="s">
        <v>1391</v>
      </c>
      <c r="I807" s="198" t="s">
        <v>2985</v>
      </c>
      <c r="J807" s="125" t="s">
        <v>168</v>
      </c>
      <c r="K807" s="184" t="s">
        <v>2984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664"/>
      <c r="C808" s="92">
        <v>45840</v>
      </c>
      <c r="D808" s="125" t="s">
        <v>306</v>
      </c>
      <c r="E808" s="125" t="s">
        <v>322</v>
      </c>
      <c r="F808" s="125" t="s">
        <v>307</v>
      </c>
      <c r="G808" s="198" t="s">
        <v>2894</v>
      </c>
      <c r="H808" s="125" t="s">
        <v>83</v>
      </c>
      <c r="I808" s="198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665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8" t="s">
        <v>2986</v>
      </c>
      <c r="H809" s="125" t="s">
        <v>2987</v>
      </c>
      <c r="I809" s="198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 x14ac:dyDescent="0.3">
      <c r="A810" s="123">
        <v>27</v>
      </c>
      <c r="B810" s="663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8" t="s">
        <v>3001</v>
      </c>
      <c r="J810" s="31"/>
      <c r="K810" s="338" t="s">
        <v>487</v>
      </c>
      <c r="L810" s="125" t="s">
        <v>15</v>
      </c>
      <c r="M810" s="96">
        <v>500000</v>
      </c>
      <c r="N810" s="125" t="s">
        <v>3003</v>
      </c>
    </row>
    <row r="811" spans="1:14" ht="27" x14ac:dyDescent="0.3">
      <c r="A811" s="123">
        <v>27</v>
      </c>
      <c r="B811" s="66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8" t="s">
        <v>3002</v>
      </c>
      <c r="J811" s="31"/>
      <c r="K811" s="338" t="s">
        <v>487</v>
      </c>
      <c r="L811" s="125" t="s">
        <v>15</v>
      </c>
      <c r="M811" s="96">
        <v>500000</v>
      </c>
      <c r="N811" s="125" t="s">
        <v>3003</v>
      </c>
    </row>
    <row r="812" spans="1:14" ht="27" x14ac:dyDescent="0.3">
      <c r="A812" s="123">
        <v>27</v>
      </c>
      <c r="B812" s="66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8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 x14ac:dyDescent="0.3">
      <c r="A813" s="123">
        <v>27</v>
      </c>
      <c r="B813" s="665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8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663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8" t="s">
        <v>2894</v>
      </c>
      <c r="H814" s="125" t="s">
        <v>83</v>
      </c>
      <c r="I814" s="198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 x14ac:dyDescent="0.3">
      <c r="A815" s="123">
        <v>27</v>
      </c>
      <c r="B815" s="664"/>
      <c r="C815" s="92">
        <v>45836</v>
      </c>
      <c r="D815" s="125" t="s">
        <v>306</v>
      </c>
      <c r="E815" s="125" t="s">
        <v>322</v>
      </c>
      <c r="F815" s="125" t="s">
        <v>2975</v>
      </c>
      <c r="G815" s="198" t="s">
        <v>2988</v>
      </c>
      <c r="H815" s="125" t="s">
        <v>2989</v>
      </c>
      <c r="I815" s="198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 x14ac:dyDescent="0.3">
      <c r="A816" s="123">
        <v>27</v>
      </c>
      <c r="B816" s="664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8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 x14ac:dyDescent="0.3">
      <c r="A817" s="123">
        <v>27</v>
      </c>
      <c r="B817" s="664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8" t="s">
        <v>2994</v>
      </c>
      <c r="J817" s="31"/>
      <c r="K817" s="338" t="s">
        <v>256</v>
      </c>
      <c r="L817" s="125" t="s">
        <v>15</v>
      </c>
      <c r="M817" s="96">
        <v>550000</v>
      </c>
      <c r="N817" s="125" t="s">
        <v>3003</v>
      </c>
    </row>
    <row r="818" spans="1:14" x14ac:dyDescent="0.3">
      <c r="A818" s="123">
        <v>27</v>
      </c>
      <c r="B818" s="664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8" t="s">
        <v>2993</v>
      </c>
      <c r="J818" s="31"/>
      <c r="K818" s="338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665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8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400">
        <v>28</v>
      </c>
      <c r="B820" s="663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8" t="s">
        <v>2920</v>
      </c>
      <c r="H820" s="125" t="s">
        <v>2921</v>
      </c>
      <c r="I820" s="198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 x14ac:dyDescent="0.3">
      <c r="A821" s="123">
        <v>28</v>
      </c>
      <c r="B821" s="664"/>
      <c r="C821" s="92">
        <v>45843</v>
      </c>
      <c r="D821" s="125" t="s">
        <v>306</v>
      </c>
      <c r="E821" s="125" t="s">
        <v>322</v>
      </c>
      <c r="F821" s="125" t="s">
        <v>307</v>
      </c>
      <c r="G821" s="198" t="s">
        <v>2894</v>
      </c>
      <c r="H821" s="125" t="s">
        <v>83</v>
      </c>
      <c r="I821" s="198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 x14ac:dyDescent="0.3">
      <c r="A822" s="123">
        <v>28</v>
      </c>
      <c r="B822" s="664"/>
      <c r="C822" s="92">
        <v>45845</v>
      </c>
      <c r="D822" s="125" t="s">
        <v>306</v>
      </c>
      <c r="E822" s="125" t="s">
        <v>322</v>
      </c>
      <c r="F822" s="125" t="s">
        <v>307</v>
      </c>
      <c r="G822" s="198" t="s">
        <v>2920</v>
      </c>
      <c r="H822" s="125" t="s">
        <v>2921</v>
      </c>
      <c r="I822" s="198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 x14ac:dyDescent="0.3">
      <c r="A823" s="123">
        <v>28</v>
      </c>
      <c r="B823" s="664"/>
      <c r="C823" s="92">
        <v>45846</v>
      </c>
      <c r="D823" s="125" t="s">
        <v>306</v>
      </c>
      <c r="E823" s="125" t="s">
        <v>322</v>
      </c>
      <c r="F823" s="125" t="s">
        <v>307</v>
      </c>
      <c r="G823" s="198" t="s">
        <v>2894</v>
      </c>
      <c r="H823" s="125" t="s">
        <v>3025</v>
      </c>
      <c r="I823" s="198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 x14ac:dyDescent="0.3">
      <c r="A824" s="123">
        <v>28</v>
      </c>
      <c r="B824" s="664"/>
      <c r="C824" s="263" t="s">
        <v>3021</v>
      </c>
      <c r="D824" s="125" t="s">
        <v>306</v>
      </c>
      <c r="E824" s="125" t="s">
        <v>322</v>
      </c>
      <c r="F824" s="125" t="s">
        <v>307</v>
      </c>
      <c r="G824" s="198" t="s">
        <v>2982</v>
      </c>
      <c r="H824" s="125" t="s">
        <v>1391</v>
      </c>
      <c r="I824" s="198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 x14ac:dyDescent="0.3">
      <c r="A825" s="123">
        <v>28</v>
      </c>
      <c r="B825" s="664"/>
      <c r="C825" s="263" t="s">
        <v>3034</v>
      </c>
      <c r="D825" s="125" t="s">
        <v>306</v>
      </c>
      <c r="E825" s="125" t="s">
        <v>322</v>
      </c>
      <c r="F825" s="125" t="s">
        <v>307</v>
      </c>
      <c r="G825" s="198">
        <v>1566</v>
      </c>
      <c r="H825" s="125" t="s">
        <v>482</v>
      </c>
      <c r="I825" s="198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664"/>
      <c r="C826" s="263" t="s">
        <v>3035</v>
      </c>
      <c r="D826" s="125" t="s">
        <v>306</v>
      </c>
      <c r="E826" s="125" t="s">
        <v>322</v>
      </c>
      <c r="F826" s="125" t="s">
        <v>307</v>
      </c>
      <c r="G826" s="198" t="s">
        <v>3023</v>
      </c>
      <c r="H826" s="125" t="s">
        <v>264</v>
      </c>
      <c r="I826" s="198" t="s">
        <v>3024</v>
      </c>
      <c r="J826" s="125" t="s">
        <v>168</v>
      </c>
      <c r="K826" s="4" t="s">
        <v>3036</v>
      </c>
      <c r="L826" s="125"/>
      <c r="M826" s="397">
        <v>1000000</v>
      </c>
      <c r="N826" s="125" t="s">
        <v>3053</v>
      </c>
    </row>
    <row r="827" spans="1:14" ht="27" x14ac:dyDescent="0.3">
      <c r="A827" s="123">
        <v>28</v>
      </c>
      <c r="B827" s="664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8" t="s">
        <v>3031</v>
      </c>
      <c r="H827" s="125" t="s">
        <v>3032</v>
      </c>
      <c r="I827" s="198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 x14ac:dyDescent="0.3">
      <c r="A828" s="123">
        <v>28</v>
      </c>
      <c r="B828" s="665"/>
      <c r="C828" s="92">
        <v>45849</v>
      </c>
      <c r="D828" s="125" t="s">
        <v>306</v>
      </c>
      <c r="E828" s="125" t="s">
        <v>322</v>
      </c>
      <c r="F828" s="125" t="s">
        <v>1068</v>
      </c>
      <c r="G828" s="198" t="s">
        <v>2894</v>
      </c>
      <c r="H828" s="125" t="s">
        <v>83</v>
      </c>
      <c r="I828" s="198" t="s">
        <v>3050</v>
      </c>
      <c r="J828" s="125" t="s">
        <v>1074</v>
      </c>
      <c r="K828" s="4" t="s">
        <v>3049</v>
      </c>
      <c r="L828" s="125"/>
      <c r="M828" s="397">
        <v>250000</v>
      </c>
      <c r="N828" s="125" t="s">
        <v>3051</v>
      </c>
    </row>
    <row r="829" spans="1:14" x14ac:dyDescent="0.3">
      <c r="A829" s="123">
        <v>28</v>
      </c>
      <c r="B829" s="663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8" t="s">
        <v>3041</v>
      </c>
      <c r="J829" s="31"/>
      <c r="K829" s="31" t="s">
        <v>41</v>
      </c>
      <c r="L829" s="125" t="s">
        <v>15</v>
      </c>
      <c r="M829" s="397">
        <v>250000</v>
      </c>
      <c r="N829" s="125" t="s">
        <v>3052</v>
      </c>
    </row>
    <row r="830" spans="1:14" ht="27" x14ac:dyDescent="0.3">
      <c r="A830" s="123">
        <v>28</v>
      </c>
      <c r="B830" s="664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8" t="s">
        <v>3013</v>
      </c>
      <c r="J830" s="31" t="s">
        <v>202</v>
      </c>
      <c r="K830" s="31" t="s">
        <v>3039</v>
      </c>
      <c r="L830" s="125" t="s">
        <v>15</v>
      </c>
      <c r="M830" s="397">
        <v>1500000</v>
      </c>
      <c r="N830" s="125" t="s">
        <v>3052</v>
      </c>
    </row>
    <row r="831" spans="1:14" x14ac:dyDescent="0.3">
      <c r="A831" s="123">
        <v>28</v>
      </c>
      <c r="B831" s="664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8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 x14ac:dyDescent="0.3">
      <c r="A832" s="123">
        <v>28</v>
      </c>
      <c r="B832" s="664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8" t="s">
        <v>3040</v>
      </c>
      <c r="J832" s="31"/>
      <c r="K832" s="31" t="s">
        <v>3009</v>
      </c>
      <c r="L832" s="125" t="s">
        <v>15</v>
      </c>
      <c r="M832" s="397">
        <v>550000</v>
      </c>
      <c r="N832" s="125" t="s">
        <v>3052</v>
      </c>
    </row>
    <row r="833" spans="1:14" x14ac:dyDescent="0.3">
      <c r="A833" s="123">
        <v>28</v>
      </c>
      <c r="B833" s="66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8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 x14ac:dyDescent="0.3">
      <c r="A834" s="123">
        <v>28</v>
      </c>
      <c r="B834" s="66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8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663" t="s">
        <v>3101</v>
      </c>
      <c r="C835" s="148" t="s">
        <v>3083</v>
      </c>
      <c r="D835" s="650" t="s">
        <v>306</v>
      </c>
      <c r="E835" s="650" t="s">
        <v>322</v>
      </c>
      <c r="F835" s="650" t="s">
        <v>307</v>
      </c>
      <c r="G835" s="652" t="s">
        <v>3055</v>
      </c>
      <c r="H835" s="650" t="s">
        <v>1997</v>
      </c>
      <c r="I835" s="652" t="s">
        <v>3056</v>
      </c>
      <c r="J835" s="650" t="s">
        <v>664</v>
      </c>
      <c r="K835" s="148" t="s">
        <v>3085</v>
      </c>
      <c r="L835" s="650"/>
      <c r="M835" s="673" t="s">
        <v>3086</v>
      </c>
      <c r="N835" s="148" t="s">
        <v>3087</v>
      </c>
    </row>
    <row r="836" spans="1:14" x14ac:dyDescent="0.3">
      <c r="A836" s="123">
        <v>29</v>
      </c>
      <c r="B836" s="664"/>
      <c r="C836" s="148" t="s">
        <v>3084</v>
      </c>
      <c r="D836" s="671"/>
      <c r="E836" s="671"/>
      <c r="F836" s="671"/>
      <c r="G836" s="672"/>
      <c r="H836" s="671"/>
      <c r="I836" s="672"/>
      <c r="J836" s="671"/>
      <c r="K836" s="148" t="s">
        <v>707</v>
      </c>
      <c r="L836" s="671"/>
      <c r="M836" s="674"/>
      <c r="N836" s="148"/>
    </row>
    <row r="837" spans="1:14" x14ac:dyDescent="0.3">
      <c r="A837" s="123">
        <v>29</v>
      </c>
      <c r="B837" s="664"/>
      <c r="C837" s="148"/>
      <c r="D837" s="651"/>
      <c r="E837" s="651"/>
      <c r="F837" s="651"/>
      <c r="G837" s="653"/>
      <c r="H837" s="651"/>
      <c r="I837" s="653"/>
      <c r="J837" s="651"/>
      <c r="K837" s="148"/>
      <c r="L837" s="651"/>
      <c r="M837" s="675"/>
      <c r="N837" s="148" t="s">
        <v>3088</v>
      </c>
    </row>
    <row r="838" spans="1:14" x14ac:dyDescent="0.3">
      <c r="A838" s="123">
        <v>29</v>
      </c>
      <c r="B838" s="664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43" t="s">
        <v>1814</v>
      </c>
      <c r="N838" s="148" t="s">
        <v>3089</v>
      </c>
    </row>
    <row r="839" spans="1:14" x14ac:dyDescent="0.3">
      <c r="A839" s="123">
        <v>29</v>
      </c>
      <c r="B839" s="665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43" t="s">
        <v>1814</v>
      </c>
      <c r="N839" s="148" t="s">
        <v>3090</v>
      </c>
    </row>
    <row r="840" spans="1:14" x14ac:dyDescent="0.3">
      <c r="A840" s="123">
        <v>29</v>
      </c>
      <c r="B840" s="663" t="s">
        <v>21</v>
      </c>
      <c r="C840" s="111" t="s">
        <v>3091</v>
      </c>
      <c r="D840" s="650" t="s">
        <v>311</v>
      </c>
      <c r="E840" s="650" t="s">
        <v>320</v>
      </c>
      <c r="F840" s="652" t="s">
        <v>2605</v>
      </c>
      <c r="G840" s="652" t="s">
        <v>3063</v>
      </c>
      <c r="H840" s="652" t="s">
        <v>3064</v>
      </c>
      <c r="I840" s="652" t="s">
        <v>3065</v>
      </c>
      <c r="J840" s="652" t="s">
        <v>702</v>
      </c>
      <c r="K840" s="652" t="s">
        <v>3066</v>
      </c>
      <c r="L840" s="650" t="s">
        <v>309</v>
      </c>
      <c r="M840" s="673" t="s">
        <v>1820</v>
      </c>
      <c r="N840" s="650" t="s">
        <v>3092</v>
      </c>
    </row>
    <row r="841" spans="1:14" x14ac:dyDescent="0.3">
      <c r="A841" s="123">
        <v>29</v>
      </c>
      <c r="B841" s="664"/>
      <c r="C841" s="111" t="s">
        <v>3069</v>
      </c>
      <c r="D841" s="651"/>
      <c r="E841" s="651"/>
      <c r="F841" s="653"/>
      <c r="G841" s="653"/>
      <c r="H841" s="653"/>
      <c r="I841" s="653"/>
      <c r="J841" s="653"/>
      <c r="K841" s="653"/>
      <c r="L841" s="651"/>
      <c r="M841" s="675"/>
      <c r="N841" s="651"/>
    </row>
    <row r="842" spans="1:14" x14ac:dyDescent="0.3">
      <c r="A842" s="123">
        <v>29</v>
      </c>
      <c r="B842" s="664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43" t="s">
        <v>1832</v>
      </c>
      <c r="N842" s="148" t="s">
        <v>3092</v>
      </c>
    </row>
    <row r="843" spans="1:14" x14ac:dyDescent="0.3">
      <c r="A843" s="123">
        <v>29</v>
      </c>
      <c r="B843" s="664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43" t="s">
        <v>1535</v>
      </c>
      <c r="N843" s="148" t="s">
        <v>3092</v>
      </c>
    </row>
    <row r="844" spans="1:14" x14ac:dyDescent="0.3">
      <c r="A844" s="123">
        <v>29</v>
      </c>
      <c r="B844" s="664"/>
      <c r="C844" s="111" t="s">
        <v>3083</v>
      </c>
      <c r="D844" s="650" t="s">
        <v>311</v>
      </c>
      <c r="E844" s="650" t="s">
        <v>320</v>
      </c>
      <c r="F844" s="652" t="s">
        <v>3072</v>
      </c>
      <c r="G844" s="652" t="s">
        <v>1923</v>
      </c>
      <c r="H844" s="652" t="s">
        <v>3073</v>
      </c>
      <c r="I844" s="149" t="s">
        <v>3094</v>
      </c>
      <c r="J844" s="652"/>
      <c r="K844" s="652" t="s">
        <v>3074</v>
      </c>
      <c r="L844" s="650" t="s">
        <v>309</v>
      </c>
      <c r="M844" s="679" t="s">
        <v>3096</v>
      </c>
      <c r="N844" s="650" t="s">
        <v>1206</v>
      </c>
    </row>
    <row r="845" spans="1:14" x14ac:dyDescent="0.3">
      <c r="A845" s="123">
        <v>29</v>
      </c>
      <c r="B845" s="664"/>
      <c r="C845" s="111" t="s">
        <v>3093</v>
      </c>
      <c r="D845" s="651"/>
      <c r="E845" s="651"/>
      <c r="F845" s="653"/>
      <c r="G845" s="653"/>
      <c r="H845" s="653"/>
      <c r="I845" s="149" t="s">
        <v>3095</v>
      </c>
      <c r="J845" s="653"/>
      <c r="K845" s="653"/>
      <c r="L845" s="651"/>
      <c r="M845" s="680"/>
      <c r="N845" s="651"/>
    </row>
    <row r="846" spans="1:14" x14ac:dyDescent="0.3">
      <c r="A846" s="123">
        <v>29</v>
      </c>
      <c r="B846" s="664"/>
      <c r="C846" s="111" t="s">
        <v>3083</v>
      </c>
      <c r="D846" s="650" t="s">
        <v>311</v>
      </c>
      <c r="E846" s="650" t="s">
        <v>320</v>
      </c>
      <c r="F846" s="652" t="s">
        <v>2605</v>
      </c>
      <c r="G846" s="652" t="s">
        <v>3063</v>
      </c>
      <c r="H846" s="652" t="s">
        <v>3064</v>
      </c>
      <c r="I846" s="652" t="s">
        <v>3075</v>
      </c>
      <c r="J846" s="652" t="s">
        <v>702</v>
      </c>
      <c r="K846" s="652" t="s">
        <v>1054</v>
      </c>
      <c r="L846" s="650" t="s">
        <v>309</v>
      </c>
      <c r="M846" s="673" t="s">
        <v>3098</v>
      </c>
      <c r="N846" s="650" t="s">
        <v>3099</v>
      </c>
    </row>
    <row r="847" spans="1:14" x14ac:dyDescent="0.3">
      <c r="A847" s="123">
        <v>29</v>
      </c>
      <c r="B847" s="664"/>
      <c r="C847" s="111"/>
      <c r="D847" s="671"/>
      <c r="E847" s="671"/>
      <c r="F847" s="672"/>
      <c r="G847" s="672"/>
      <c r="H847" s="672"/>
      <c r="I847" s="672"/>
      <c r="J847" s="672"/>
      <c r="K847" s="672"/>
      <c r="L847" s="671"/>
      <c r="M847" s="674"/>
      <c r="N847" s="671"/>
    </row>
    <row r="848" spans="1:14" x14ac:dyDescent="0.3">
      <c r="A848" s="123">
        <v>29</v>
      </c>
      <c r="B848" s="664"/>
      <c r="C848" s="111" t="s">
        <v>3097</v>
      </c>
      <c r="D848" s="651"/>
      <c r="E848" s="651"/>
      <c r="F848" s="653"/>
      <c r="G848" s="653"/>
      <c r="H848" s="653"/>
      <c r="I848" s="653"/>
      <c r="J848" s="653"/>
      <c r="K848" s="653"/>
      <c r="L848" s="651"/>
      <c r="M848" s="675"/>
      <c r="N848" s="651"/>
    </row>
    <row r="849" spans="1:14" x14ac:dyDescent="0.3">
      <c r="A849" s="123">
        <v>29</v>
      </c>
      <c r="B849" s="664"/>
      <c r="C849" s="111" t="s">
        <v>3100</v>
      </c>
      <c r="D849" s="650" t="s">
        <v>311</v>
      </c>
      <c r="E849" s="650" t="s">
        <v>320</v>
      </c>
      <c r="F849" s="652" t="s">
        <v>337</v>
      </c>
      <c r="G849" s="652" t="s">
        <v>3076</v>
      </c>
      <c r="H849" s="652" t="s">
        <v>354</v>
      </c>
      <c r="I849" s="652" t="s">
        <v>310</v>
      </c>
      <c r="J849" s="652" t="s">
        <v>638</v>
      </c>
      <c r="K849" s="652" t="s">
        <v>3077</v>
      </c>
      <c r="L849" s="650" t="s">
        <v>309</v>
      </c>
      <c r="M849" s="673" t="s">
        <v>1820</v>
      </c>
      <c r="N849" s="650" t="s">
        <v>3099</v>
      </c>
    </row>
    <row r="850" spans="1:14" x14ac:dyDescent="0.3">
      <c r="A850" s="123">
        <v>29</v>
      </c>
      <c r="B850" s="665"/>
      <c r="C850" s="111" t="s">
        <v>3093</v>
      </c>
      <c r="D850" s="651"/>
      <c r="E850" s="651"/>
      <c r="F850" s="653"/>
      <c r="G850" s="653"/>
      <c r="H850" s="653"/>
      <c r="I850" s="653"/>
      <c r="J850" s="653"/>
      <c r="K850" s="653"/>
      <c r="L850" s="651"/>
      <c r="M850" s="675"/>
      <c r="N850" s="651"/>
    </row>
    <row r="851" spans="1:14" x14ac:dyDescent="0.3">
      <c r="A851" s="123">
        <v>30</v>
      </c>
      <c r="B851" s="666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38" t="s">
        <v>1535</v>
      </c>
      <c r="N851" s="148" t="s">
        <v>665</v>
      </c>
    </row>
    <row r="852" spans="1:14" x14ac:dyDescent="0.3">
      <c r="A852" s="123">
        <v>30</v>
      </c>
      <c r="B852" s="667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38" t="s">
        <v>1814</v>
      </c>
      <c r="N852" s="148" t="s">
        <v>425</v>
      </c>
    </row>
    <row r="853" spans="1:14" x14ac:dyDescent="0.3">
      <c r="A853" s="123">
        <v>30</v>
      </c>
      <c r="B853" s="667"/>
      <c r="C853" s="148" t="s">
        <v>3110</v>
      </c>
      <c r="D853" s="650" t="s">
        <v>306</v>
      </c>
      <c r="E853" s="650" t="s">
        <v>322</v>
      </c>
      <c r="F853" s="650" t="s">
        <v>307</v>
      </c>
      <c r="G853" s="652" t="s">
        <v>3055</v>
      </c>
      <c r="H853" s="650" t="s">
        <v>1997</v>
      </c>
      <c r="I853" s="652" t="s">
        <v>3112</v>
      </c>
      <c r="J853" s="650" t="s">
        <v>664</v>
      </c>
      <c r="K853" s="148" t="s">
        <v>3113</v>
      </c>
      <c r="L853" s="650"/>
      <c r="M853" s="660" t="s">
        <v>3114</v>
      </c>
      <c r="N853" s="650" t="s">
        <v>665</v>
      </c>
    </row>
    <row r="854" spans="1:14" x14ac:dyDescent="0.3">
      <c r="A854" s="123">
        <v>30</v>
      </c>
      <c r="B854" s="667"/>
      <c r="C854" s="148" t="s">
        <v>3111</v>
      </c>
      <c r="D854" s="651"/>
      <c r="E854" s="651"/>
      <c r="F854" s="651"/>
      <c r="G854" s="653"/>
      <c r="H854" s="651"/>
      <c r="I854" s="653"/>
      <c r="J854" s="651"/>
      <c r="K854" s="148" t="s">
        <v>655</v>
      </c>
      <c r="L854" s="651"/>
      <c r="M854" s="661"/>
      <c r="N854" s="651"/>
    </row>
    <row r="855" spans="1:14" x14ac:dyDescent="0.3">
      <c r="A855" s="123">
        <v>30</v>
      </c>
      <c r="B855" s="668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38" t="s">
        <v>1814</v>
      </c>
      <c r="N855" s="148" t="s">
        <v>665</v>
      </c>
    </row>
    <row r="856" spans="1:14" x14ac:dyDescent="0.3">
      <c r="A856" s="123">
        <v>30</v>
      </c>
      <c r="B856" s="663" t="s">
        <v>3120</v>
      </c>
      <c r="C856" s="669" t="s">
        <v>3121</v>
      </c>
      <c r="D856" s="650" t="s">
        <v>311</v>
      </c>
      <c r="E856" s="650" t="s">
        <v>320</v>
      </c>
      <c r="F856" s="652" t="s">
        <v>2605</v>
      </c>
      <c r="G856" s="652" t="s">
        <v>2753</v>
      </c>
      <c r="H856" s="652" t="s">
        <v>347</v>
      </c>
      <c r="I856" s="652" t="s">
        <v>3122</v>
      </c>
      <c r="J856" s="652" t="s">
        <v>638</v>
      </c>
      <c r="K856" s="652" t="s">
        <v>698</v>
      </c>
      <c r="L856" s="650" t="s">
        <v>309</v>
      </c>
      <c r="M856" s="660" t="s">
        <v>1814</v>
      </c>
      <c r="N856" s="148" t="s">
        <v>3123</v>
      </c>
    </row>
    <row r="857" spans="1:14" x14ac:dyDescent="0.3">
      <c r="A857" s="123">
        <v>30</v>
      </c>
      <c r="B857" s="664"/>
      <c r="C857" s="670"/>
      <c r="D857" s="651"/>
      <c r="E857" s="651"/>
      <c r="F857" s="653"/>
      <c r="G857" s="653"/>
      <c r="H857" s="653"/>
      <c r="I857" s="653"/>
      <c r="J857" s="653"/>
      <c r="K857" s="653"/>
      <c r="L857" s="651"/>
      <c r="M857" s="661"/>
      <c r="N857" s="148" t="s">
        <v>3124</v>
      </c>
    </row>
    <row r="858" spans="1:14" ht="16.5" customHeight="1" x14ac:dyDescent="0.3">
      <c r="A858" s="123">
        <v>30</v>
      </c>
      <c r="B858" s="664"/>
      <c r="C858" s="669" t="s">
        <v>3121</v>
      </c>
      <c r="D858" s="650" t="s">
        <v>311</v>
      </c>
      <c r="E858" s="650" t="s">
        <v>320</v>
      </c>
      <c r="F858" s="652" t="s">
        <v>709</v>
      </c>
      <c r="G858" s="149" t="s">
        <v>3125</v>
      </c>
      <c r="H858" s="652" t="s">
        <v>640</v>
      </c>
      <c r="I858" s="652" t="s">
        <v>3126</v>
      </c>
      <c r="J858" s="652"/>
      <c r="K858" s="652" t="s">
        <v>692</v>
      </c>
      <c r="L858" s="650" t="s">
        <v>309</v>
      </c>
      <c r="M858" s="660" t="s">
        <v>1535</v>
      </c>
      <c r="N858" s="650" t="s">
        <v>1776</v>
      </c>
    </row>
    <row r="859" spans="1:14" x14ac:dyDescent="0.3">
      <c r="A859" s="123">
        <v>30</v>
      </c>
      <c r="B859" s="664"/>
      <c r="C859" s="670"/>
      <c r="D859" s="651"/>
      <c r="E859" s="651"/>
      <c r="F859" s="653"/>
      <c r="G859" s="149">
        <v>2651</v>
      </c>
      <c r="H859" s="653"/>
      <c r="I859" s="653"/>
      <c r="J859" s="653"/>
      <c r="K859" s="653"/>
      <c r="L859" s="651"/>
      <c r="M859" s="661"/>
      <c r="N859" s="651"/>
    </row>
    <row r="860" spans="1:14" x14ac:dyDescent="0.3">
      <c r="A860" s="123">
        <v>30</v>
      </c>
      <c r="B860" s="664"/>
      <c r="C860" s="669" t="s">
        <v>3127</v>
      </c>
      <c r="D860" s="650" t="s">
        <v>311</v>
      </c>
      <c r="E860" s="650" t="s">
        <v>320</v>
      </c>
      <c r="F860" s="652" t="s">
        <v>720</v>
      </c>
      <c r="G860" s="652" t="s">
        <v>1760</v>
      </c>
      <c r="H860" s="652" t="s">
        <v>347</v>
      </c>
      <c r="I860" s="149" t="s">
        <v>3128</v>
      </c>
      <c r="J860" s="652"/>
      <c r="K860" s="652" t="s">
        <v>3130</v>
      </c>
      <c r="L860" s="650" t="s">
        <v>309</v>
      </c>
      <c r="M860" s="660" t="s">
        <v>1937</v>
      </c>
      <c r="N860" s="650" t="s">
        <v>1206</v>
      </c>
    </row>
    <row r="861" spans="1:14" x14ac:dyDescent="0.3">
      <c r="A861" s="123">
        <v>30</v>
      </c>
      <c r="B861" s="664"/>
      <c r="C861" s="670"/>
      <c r="D861" s="651"/>
      <c r="E861" s="651"/>
      <c r="F861" s="653"/>
      <c r="G861" s="653"/>
      <c r="H861" s="653"/>
      <c r="I861" s="149" t="s">
        <v>3129</v>
      </c>
      <c r="J861" s="653"/>
      <c r="K861" s="653"/>
      <c r="L861" s="651"/>
      <c r="M861" s="661"/>
      <c r="N861" s="651"/>
    </row>
    <row r="862" spans="1:14" x14ac:dyDescent="0.3">
      <c r="A862" s="123">
        <v>30</v>
      </c>
      <c r="B862" s="664"/>
      <c r="C862" s="111" t="s">
        <v>3131</v>
      </c>
      <c r="D862" s="650" t="s">
        <v>311</v>
      </c>
      <c r="E862" s="650" t="s">
        <v>320</v>
      </c>
      <c r="F862" s="652" t="s">
        <v>690</v>
      </c>
      <c r="G862" s="652" t="s">
        <v>3070</v>
      </c>
      <c r="H862" s="652" t="s">
        <v>354</v>
      </c>
      <c r="I862" s="652" t="s">
        <v>3133</v>
      </c>
      <c r="J862" s="652" t="s">
        <v>638</v>
      </c>
      <c r="K862" s="652" t="s">
        <v>655</v>
      </c>
      <c r="L862" s="650" t="s">
        <v>309</v>
      </c>
      <c r="M862" s="660" t="s">
        <v>1535</v>
      </c>
      <c r="N862" s="650" t="s">
        <v>1206</v>
      </c>
    </row>
    <row r="863" spans="1:14" x14ac:dyDescent="0.3">
      <c r="A863" s="123">
        <v>30</v>
      </c>
      <c r="B863" s="664"/>
      <c r="C863" s="111" t="s">
        <v>3132</v>
      </c>
      <c r="D863" s="651"/>
      <c r="E863" s="651"/>
      <c r="F863" s="653"/>
      <c r="G863" s="653"/>
      <c r="H863" s="653"/>
      <c r="I863" s="653"/>
      <c r="J863" s="653"/>
      <c r="K863" s="653"/>
      <c r="L863" s="651"/>
      <c r="M863" s="661"/>
      <c r="N863" s="651"/>
    </row>
    <row r="864" spans="1:14" x14ac:dyDescent="0.3">
      <c r="A864" s="123">
        <v>30</v>
      </c>
      <c r="B864" s="664"/>
      <c r="C864" s="111" t="s">
        <v>3134</v>
      </c>
      <c r="D864" s="650" t="s">
        <v>311</v>
      </c>
      <c r="E864" s="650" t="s">
        <v>320</v>
      </c>
      <c r="F864" s="652" t="s">
        <v>337</v>
      </c>
      <c r="G864" s="652" t="s">
        <v>3076</v>
      </c>
      <c r="H864" s="652" t="s">
        <v>354</v>
      </c>
      <c r="I864" s="652" t="s">
        <v>3135</v>
      </c>
      <c r="J864" s="652" t="s">
        <v>638</v>
      </c>
      <c r="K864" s="652" t="s">
        <v>713</v>
      </c>
      <c r="L864" s="650" t="s">
        <v>309</v>
      </c>
      <c r="M864" s="660" t="s">
        <v>1814</v>
      </c>
      <c r="N864" s="650" t="s">
        <v>1206</v>
      </c>
    </row>
    <row r="865" spans="1:14" x14ac:dyDescent="0.3">
      <c r="A865" s="123">
        <v>30</v>
      </c>
      <c r="B865" s="664"/>
      <c r="C865" s="111" t="s">
        <v>3111</v>
      </c>
      <c r="D865" s="651"/>
      <c r="E865" s="651"/>
      <c r="F865" s="653"/>
      <c r="G865" s="653"/>
      <c r="H865" s="653"/>
      <c r="I865" s="653"/>
      <c r="J865" s="653"/>
      <c r="K865" s="653"/>
      <c r="L865" s="651"/>
      <c r="M865" s="661"/>
      <c r="N865" s="651"/>
    </row>
    <row r="866" spans="1:14" ht="25.5" x14ac:dyDescent="0.3">
      <c r="A866" s="123">
        <v>30</v>
      </c>
      <c r="B866" s="664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38" t="s">
        <v>1832</v>
      </c>
      <c r="N866" s="148" t="s">
        <v>1206</v>
      </c>
    </row>
    <row r="867" spans="1:14" x14ac:dyDescent="0.3">
      <c r="A867" s="123">
        <v>30</v>
      </c>
      <c r="B867" s="664"/>
      <c r="C867" s="669" t="s">
        <v>3115</v>
      </c>
      <c r="D867" s="650" t="s">
        <v>311</v>
      </c>
      <c r="E867" s="650" t="s">
        <v>675</v>
      </c>
      <c r="F867" s="652" t="s">
        <v>660</v>
      </c>
      <c r="G867" s="652" t="s">
        <v>661</v>
      </c>
      <c r="H867" s="652" t="s">
        <v>662</v>
      </c>
      <c r="I867" s="149" t="s">
        <v>3138</v>
      </c>
      <c r="J867" s="652" t="s">
        <v>638</v>
      </c>
      <c r="K867" s="652" t="s">
        <v>731</v>
      </c>
      <c r="L867" s="650" t="s">
        <v>309</v>
      </c>
      <c r="M867" s="660" t="s">
        <v>1832</v>
      </c>
      <c r="N867" s="650" t="s">
        <v>3140</v>
      </c>
    </row>
    <row r="868" spans="1:14" x14ac:dyDescent="0.3">
      <c r="A868" s="123">
        <v>30</v>
      </c>
      <c r="B868" s="665"/>
      <c r="C868" s="670"/>
      <c r="D868" s="651"/>
      <c r="E868" s="651"/>
      <c r="F868" s="653"/>
      <c r="G868" s="653"/>
      <c r="H868" s="653"/>
      <c r="I868" s="149" t="s">
        <v>3139</v>
      </c>
      <c r="J868" s="653"/>
      <c r="K868" s="653"/>
      <c r="L868" s="651"/>
      <c r="M868" s="661"/>
      <c r="N868" s="651"/>
    </row>
    <row r="869" spans="1:14" x14ac:dyDescent="0.3">
      <c r="A869" s="123">
        <v>31</v>
      </c>
      <c r="B869" s="663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38" t="s">
        <v>3143</v>
      </c>
      <c r="N869" s="148" t="s">
        <v>665</v>
      </c>
    </row>
    <row r="870" spans="1:14" ht="16.5" customHeight="1" x14ac:dyDescent="0.3">
      <c r="A870" s="123">
        <v>31</v>
      </c>
      <c r="B870" s="664"/>
      <c r="C870" s="148" t="s">
        <v>3144</v>
      </c>
      <c r="D870" s="650" t="s">
        <v>306</v>
      </c>
      <c r="E870" s="650" t="s">
        <v>322</v>
      </c>
      <c r="F870" s="650" t="s">
        <v>307</v>
      </c>
      <c r="G870" s="652">
        <v>1566</v>
      </c>
      <c r="H870" s="650" t="s">
        <v>1915</v>
      </c>
      <c r="I870" s="652" t="s">
        <v>3146</v>
      </c>
      <c r="J870" s="650" t="s">
        <v>664</v>
      </c>
      <c r="K870" s="650" t="s">
        <v>3147</v>
      </c>
      <c r="L870" s="650"/>
      <c r="M870" s="660" t="s">
        <v>3148</v>
      </c>
      <c r="N870" s="650" t="s">
        <v>665</v>
      </c>
    </row>
    <row r="871" spans="1:14" x14ac:dyDescent="0.3">
      <c r="A871" s="123">
        <v>31</v>
      </c>
      <c r="B871" s="664"/>
      <c r="C871" s="148" t="s">
        <v>3145</v>
      </c>
      <c r="D871" s="651"/>
      <c r="E871" s="651"/>
      <c r="F871" s="651"/>
      <c r="G871" s="653"/>
      <c r="H871" s="651"/>
      <c r="I871" s="653"/>
      <c r="J871" s="651"/>
      <c r="K871" s="651"/>
      <c r="L871" s="651"/>
      <c r="M871" s="661"/>
      <c r="N871" s="651"/>
    </row>
    <row r="872" spans="1:14" x14ac:dyDescent="0.3">
      <c r="A872" s="123">
        <v>31</v>
      </c>
      <c r="B872" s="664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38" t="s">
        <v>3143</v>
      </c>
      <c r="N872" s="148" t="s">
        <v>665</v>
      </c>
    </row>
    <row r="873" spans="1:14" ht="16.5" customHeight="1" x14ac:dyDescent="0.3">
      <c r="A873" s="123">
        <v>31</v>
      </c>
      <c r="B873" s="664"/>
      <c r="C873" s="401" t="s">
        <v>3144</v>
      </c>
      <c r="D873" s="650" t="s">
        <v>306</v>
      </c>
      <c r="E873" s="650" t="s">
        <v>322</v>
      </c>
      <c r="F873" s="650" t="s">
        <v>307</v>
      </c>
      <c r="G873" s="652" t="s">
        <v>3151</v>
      </c>
      <c r="H873" s="650" t="s">
        <v>3152</v>
      </c>
      <c r="I873" s="652" t="s">
        <v>332</v>
      </c>
      <c r="J873" s="650" t="s">
        <v>1534</v>
      </c>
      <c r="K873" s="650" t="s">
        <v>1157</v>
      </c>
      <c r="L873" s="650"/>
      <c r="M873" s="660" t="s">
        <v>3153</v>
      </c>
      <c r="N873" s="650" t="s">
        <v>425</v>
      </c>
    </row>
    <row r="874" spans="1:14" x14ac:dyDescent="0.3">
      <c r="A874" s="123">
        <v>31</v>
      </c>
      <c r="B874" s="665"/>
      <c r="C874" s="401" t="s">
        <v>3150</v>
      </c>
      <c r="D874" s="651"/>
      <c r="E874" s="651"/>
      <c r="F874" s="651"/>
      <c r="G874" s="653"/>
      <c r="H874" s="651"/>
      <c r="I874" s="653"/>
      <c r="J874" s="651"/>
      <c r="K874" s="651"/>
      <c r="L874" s="651"/>
      <c r="M874" s="661"/>
      <c r="N874" s="651"/>
    </row>
    <row r="875" spans="1:14" x14ac:dyDescent="0.3">
      <c r="A875" s="123">
        <v>31</v>
      </c>
      <c r="B875" s="663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38" t="s">
        <v>3143</v>
      </c>
      <c r="N875" s="148" t="s">
        <v>3155</v>
      </c>
    </row>
    <row r="876" spans="1:14" ht="16.5" customHeight="1" x14ac:dyDescent="0.3">
      <c r="A876" s="123">
        <v>31</v>
      </c>
      <c r="B876" s="664"/>
      <c r="C876" s="650" t="s">
        <v>3132</v>
      </c>
      <c r="D876" s="650" t="s">
        <v>311</v>
      </c>
      <c r="E876" s="650" t="s">
        <v>675</v>
      </c>
      <c r="F876" s="652" t="s">
        <v>660</v>
      </c>
      <c r="G876" s="652" t="s">
        <v>661</v>
      </c>
      <c r="H876" s="652" t="s">
        <v>662</v>
      </c>
      <c r="I876" s="149" t="s">
        <v>3138</v>
      </c>
      <c r="J876" s="652"/>
      <c r="K876" s="652" t="s">
        <v>698</v>
      </c>
      <c r="L876" s="650" t="s">
        <v>309</v>
      </c>
      <c r="M876" s="660" t="s">
        <v>3143</v>
      </c>
      <c r="N876" s="650" t="s">
        <v>3156</v>
      </c>
    </row>
    <row r="877" spans="1:14" x14ac:dyDescent="0.3">
      <c r="A877" s="123">
        <v>31</v>
      </c>
      <c r="B877" s="664"/>
      <c r="C877" s="651"/>
      <c r="D877" s="651"/>
      <c r="E877" s="651"/>
      <c r="F877" s="653"/>
      <c r="G877" s="653"/>
      <c r="H877" s="653"/>
      <c r="I877" s="149" t="s">
        <v>3139</v>
      </c>
      <c r="J877" s="653"/>
      <c r="K877" s="653"/>
      <c r="L877" s="651"/>
      <c r="M877" s="661"/>
      <c r="N877" s="651"/>
    </row>
    <row r="878" spans="1:14" ht="16.5" customHeight="1" x14ac:dyDescent="0.3">
      <c r="A878" s="123">
        <v>31</v>
      </c>
      <c r="B878" s="664"/>
      <c r="C878" s="148" t="s">
        <v>3157</v>
      </c>
      <c r="D878" s="650" t="s">
        <v>311</v>
      </c>
      <c r="E878" s="650" t="s">
        <v>320</v>
      </c>
      <c r="F878" s="652" t="s">
        <v>3072</v>
      </c>
      <c r="G878" s="652" t="s">
        <v>1923</v>
      </c>
      <c r="H878" s="652" t="s">
        <v>3073</v>
      </c>
      <c r="I878" s="652" t="s">
        <v>3158</v>
      </c>
      <c r="J878" s="652"/>
      <c r="K878" s="652" t="s">
        <v>3159</v>
      </c>
      <c r="L878" s="650" t="s">
        <v>309</v>
      </c>
      <c r="M878" s="660" t="s">
        <v>3160</v>
      </c>
      <c r="N878" s="650" t="s">
        <v>3155</v>
      </c>
    </row>
    <row r="879" spans="1:14" x14ac:dyDescent="0.3">
      <c r="A879" s="123">
        <v>31</v>
      </c>
      <c r="B879" s="664"/>
      <c r="C879" s="148" t="s">
        <v>3115</v>
      </c>
      <c r="D879" s="651"/>
      <c r="E879" s="651"/>
      <c r="F879" s="653"/>
      <c r="G879" s="653"/>
      <c r="H879" s="653"/>
      <c r="I879" s="653"/>
      <c r="J879" s="653"/>
      <c r="K879" s="653"/>
      <c r="L879" s="651"/>
      <c r="M879" s="661"/>
      <c r="N879" s="651"/>
    </row>
    <row r="880" spans="1:14" x14ac:dyDescent="0.3">
      <c r="A880" s="123">
        <v>31</v>
      </c>
      <c r="B880" s="664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38" t="s">
        <v>3162</v>
      </c>
      <c r="N880" s="148" t="s">
        <v>3156</v>
      </c>
    </row>
    <row r="881" spans="1:14" x14ac:dyDescent="0.3">
      <c r="A881" s="123">
        <v>31</v>
      </c>
      <c r="B881" s="664"/>
      <c r="C881" s="111" t="s">
        <v>3141</v>
      </c>
      <c r="D881" s="148" t="s">
        <v>311</v>
      </c>
      <c r="E881" s="148" t="s">
        <v>320</v>
      </c>
      <c r="F881" s="402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38" t="s">
        <v>3168</v>
      </c>
      <c r="N881" s="148" t="s">
        <v>1206</v>
      </c>
    </row>
    <row r="882" spans="1:14" x14ac:dyDescent="0.3">
      <c r="A882" s="123">
        <v>31</v>
      </c>
      <c r="B882" s="664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38" t="s">
        <v>3143</v>
      </c>
      <c r="N882" s="148" t="s">
        <v>1206</v>
      </c>
    </row>
    <row r="883" spans="1:14" ht="16.5" customHeight="1" x14ac:dyDescent="0.3">
      <c r="A883" s="123">
        <v>31</v>
      </c>
      <c r="B883" s="664"/>
      <c r="C883" s="111" t="s">
        <v>3170</v>
      </c>
      <c r="D883" s="650" t="s">
        <v>311</v>
      </c>
      <c r="E883" s="650" t="s">
        <v>320</v>
      </c>
      <c r="F883" s="652" t="s">
        <v>337</v>
      </c>
      <c r="G883" s="652" t="s">
        <v>3172</v>
      </c>
      <c r="H883" s="652" t="s">
        <v>3173</v>
      </c>
      <c r="I883" s="652" t="s">
        <v>3174</v>
      </c>
      <c r="J883" s="652" t="s">
        <v>3175</v>
      </c>
      <c r="K883" s="652" t="s">
        <v>3176</v>
      </c>
      <c r="L883" s="650" t="s">
        <v>309</v>
      </c>
      <c r="M883" s="660" t="s">
        <v>3177</v>
      </c>
      <c r="N883" s="650" t="s">
        <v>3140</v>
      </c>
    </row>
    <row r="884" spans="1:14" x14ac:dyDescent="0.3">
      <c r="A884" s="123">
        <v>31</v>
      </c>
      <c r="B884" s="665"/>
      <c r="C884" s="111" t="s">
        <v>3171</v>
      </c>
      <c r="D884" s="651"/>
      <c r="E884" s="651"/>
      <c r="F884" s="653"/>
      <c r="G884" s="653"/>
      <c r="H884" s="653"/>
      <c r="I884" s="653"/>
      <c r="J884" s="653"/>
      <c r="K884" s="653"/>
      <c r="L884" s="651"/>
      <c r="M884" s="661"/>
      <c r="N884" s="651"/>
    </row>
    <row r="885" spans="1:14" ht="27" x14ac:dyDescent="0.3">
      <c r="A885" s="123">
        <v>32</v>
      </c>
      <c r="B885" s="657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7">
        <v>1567</v>
      </c>
      <c r="H885" s="45" t="s">
        <v>3179</v>
      </c>
      <c r="I885" s="267" t="s">
        <v>1096</v>
      </c>
      <c r="J885" s="45" t="s">
        <v>664</v>
      </c>
      <c r="K885" s="45" t="s">
        <v>3180</v>
      </c>
      <c r="L885" s="45"/>
      <c r="M885" s="404">
        <v>500000</v>
      </c>
      <c r="N885" s="45" t="s">
        <v>665</v>
      </c>
    </row>
    <row r="886" spans="1:14" x14ac:dyDescent="0.3">
      <c r="A886" s="123">
        <v>32</v>
      </c>
      <c r="B886" s="658"/>
      <c r="C886" s="45" t="s">
        <v>3181</v>
      </c>
      <c r="D886" s="45" t="s">
        <v>306</v>
      </c>
      <c r="E886" s="45" t="s">
        <v>322</v>
      </c>
      <c r="F886" s="45" t="s">
        <v>307</v>
      </c>
      <c r="G886" s="267" t="s">
        <v>3076</v>
      </c>
      <c r="H886" s="267" t="s">
        <v>354</v>
      </c>
      <c r="I886" s="267" t="s">
        <v>3182</v>
      </c>
      <c r="J886" s="45" t="s">
        <v>664</v>
      </c>
      <c r="K886" s="45" t="s">
        <v>3109</v>
      </c>
      <c r="L886" s="45"/>
      <c r="M886" s="404">
        <v>250000</v>
      </c>
      <c r="N886" s="45" t="s">
        <v>3183</v>
      </c>
    </row>
    <row r="887" spans="1:14" ht="40.5" x14ac:dyDescent="0.3">
      <c r="A887" s="123">
        <v>32</v>
      </c>
      <c r="B887" s="658"/>
      <c r="C887" s="45" t="s">
        <v>3184</v>
      </c>
      <c r="D887" s="45" t="s">
        <v>306</v>
      </c>
      <c r="E887" s="45" t="s">
        <v>322</v>
      </c>
      <c r="F887" s="45" t="s">
        <v>307</v>
      </c>
      <c r="G887" s="267" t="s">
        <v>3102</v>
      </c>
      <c r="H887" s="45" t="s">
        <v>3103</v>
      </c>
      <c r="I887" s="267" t="s">
        <v>3185</v>
      </c>
      <c r="J887" s="45" t="s">
        <v>664</v>
      </c>
      <c r="K887" s="45" t="s">
        <v>3186</v>
      </c>
      <c r="L887" s="45"/>
      <c r="M887" s="404">
        <v>1250000</v>
      </c>
      <c r="N887" s="45" t="s">
        <v>665</v>
      </c>
    </row>
    <row r="888" spans="1:14" ht="27" x14ac:dyDescent="0.3">
      <c r="A888" s="123">
        <v>32</v>
      </c>
      <c r="B888" s="659"/>
      <c r="C888" s="45" t="s">
        <v>3187</v>
      </c>
      <c r="D888" s="45" t="s">
        <v>306</v>
      </c>
      <c r="E888" s="45" t="s">
        <v>322</v>
      </c>
      <c r="F888" s="45" t="s">
        <v>307</v>
      </c>
      <c r="G888" s="267" t="s">
        <v>3055</v>
      </c>
      <c r="H888" s="45" t="s">
        <v>1997</v>
      </c>
      <c r="I888" s="267" t="s">
        <v>3188</v>
      </c>
      <c r="J888" s="45" t="s">
        <v>664</v>
      </c>
      <c r="K888" s="45" t="s">
        <v>3105</v>
      </c>
      <c r="L888" s="45"/>
      <c r="M888" s="404">
        <v>500000</v>
      </c>
      <c r="N888" s="45" t="s">
        <v>425</v>
      </c>
    </row>
    <row r="889" spans="1:14" x14ac:dyDescent="0.3">
      <c r="A889" s="123">
        <v>32</v>
      </c>
      <c r="B889" s="657" t="s">
        <v>3206</v>
      </c>
      <c r="C889" s="45" t="s">
        <v>3189</v>
      </c>
      <c r="D889" s="45" t="s">
        <v>311</v>
      </c>
      <c r="E889" s="45" t="s">
        <v>320</v>
      </c>
      <c r="F889" s="267" t="s">
        <v>2605</v>
      </c>
      <c r="G889" s="267" t="s">
        <v>1415</v>
      </c>
      <c r="H889" s="267" t="s">
        <v>1416</v>
      </c>
      <c r="I889" s="267" t="s">
        <v>3190</v>
      </c>
      <c r="J889" s="267" t="s">
        <v>638</v>
      </c>
      <c r="K889" s="267" t="s">
        <v>3191</v>
      </c>
      <c r="L889" s="45" t="s">
        <v>309</v>
      </c>
      <c r="M889" s="404">
        <v>250000</v>
      </c>
      <c r="N889" s="45" t="s">
        <v>1206</v>
      </c>
    </row>
    <row r="890" spans="1:14" x14ac:dyDescent="0.3">
      <c r="A890" s="123">
        <v>32</v>
      </c>
      <c r="B890" s="658"/>
      <c r="C890" s="403" t="s">
        <v>3192</v>
      </c>
      <c r="D890" s="45" t="s">
        <v>311</v>
      </c>
      <c r="E890" s="45" t="s">
        <v>675</v>
      </c>
      <c r="F890" s="267" t="s">
        <v>720</v>
      </c>
      <c r="G890" s="267" t="s">
        <v>3193</v>
      </c>
      <c r="H890" s="267" t="s">
        <v>347</v>
      </c>
      <c r="I890" s="267" t="s">
        <v>3194</v>
      </c>
      <c r="J890" s="267" t="s">
        <v>638</v>
      </c>
      <c r="K890" s="267" t="s">
        <v>713</v>
      </c>
      <c r="L890" s="45" t="s">
        <v>309</v>
      </c>
      <c r="M890" s="404">
        <v>250000</v>
      </c>
      <c r="N890" s="45" t="s">
        <v>1776</v>
      </c>
    </row>
    <row r="891" spans="1:14" x14ac:dyDescent="0.3">
      <c r="A891" s="123">
        <v>32</v>
      </c>
      <c r="B891" s="658"/>
      <c r="C891" s="403" t="s">
        <v>3192</v>
      </c>
      <c r="D891" s="45" t="s">
        <v>311</v>
      </c>
      <c r="E891" s="45" t="s">
        <v>320</v>
      </c>
      <c r="F891" s="267" t="s">
        <v>690</v>
      </c>
      <c r="G891" s="267" t="s">
        <v>3070</v>
      </c>
      <c r="H891" s="267" t="s">
        <v>3173</v>
      </c>
      <c r="I891" s="267" t="s">
        <v>3195</v>
      </c>
      <c r="J891" s="267" t="s">
        <v>324</v>
      </c>
      <c r="K891" s="267" t="s">
        <v>3196</v>
      </c>
      <c r="L891" s="45" t="s">
        <v>309</v>
      </c>
      <c r="M891" s="404">
        <v>300000</v>
      </c>
      <c r="N891" s="45" t="s">
        <v>1206</v>
      </c>
    </row>
    <row r="892" spans="1:14" x14ac:dyDescent="0.3">
      <c r="A892" s="123">
        <v>32</v>
      </c>
      <c r="B892" s="659"/>
      <c r="C892" s="45" t="s">
        <v>3197</v>
      </c>
      <c r="D892" s="45" t="s">
        <v>311</v>
      </c>
      <c r="E892" s="45" t="s">
        <v>320</v>
      </c>
      <c r="F892" s="267" t="s">
        <v>690</v>
      </c>
      <c r="G892" s="267" t="s">
        <v>3070</v>
      </c>
      <c r="H892" s="267" t="s">
        <v>3173</v>
      </c>
      <c r="I892" s="267" t="s">
        <v>3195</v>
      </c>
      <c r="J892" s="267" t="s">
        <v>324</v>
      </c>
      <c r="K892" s="267" t="s">
        <v>3196</v>
      </c>
      <c r="L892" s="45" t="s">
        <v>309</v>
      </c>
      <c r="M892" s="404">
        <v>300000</v>
      </c>
      <c r="N892" s="45" t="s">
        <v>1206</v>
      </c>
    </row>
    <row r="893" spans="1:14" x14ac:dyDescent="0.3">
      <c r="A893" s="123">
        <v>33</v>
      </c>
      <c r="B893" s="657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7" t="s">
        <v>3055</v>
      </c>
      <c r="H893" s="45" t="s">
        <v>1997</v>
      </c>
      <c r="I893" s="267" t="s">
        <v>3199</v>
      </c>
      <c r="J893" s="45" t="s">
        <v>664</v>
      </c>
      <c r="K893" s="45" t="s">
        <v>3200</v>
      </c>
      <c r="L893" s="45">
        <v>2</v>
      </c>
      <c r="M893" s="404">
        <v>500000</v>
      </c>
      <c r="N893" s="45"/>
    </row>
    <row r="894" spans="1:14" x14ac:dyDescent="0.3">
      <c r="A894" s="123">
        <v>33</v>
      </c>
      <c r="B894" s="658"/>
      <c r="C894" s="45" t="s">
        <v>3201</v>
      </c>
      <c r="D894" s="45" t="s">
        <v>306</v>
      </c>
      <c r="E894" s="45" t="s">
        <v>322</v>
      </c>
      <c r="F894" s="45" t="s">
        <v>307</v>
      </c>
      <c r="G894" s="267" t="s">
        <v>3102</v>
      </c>
      <c r="H894" s="45" t="s">
        <v>3103</v>
      </c>
      <c r="I894" s="267" t="s">
        <v>3202</v>
      </c>
      <c r="J894" s="45" t="s">
        <v>664</v>
      </c>
      <c r="K894" s="45" t="s">
        <v>3200</v>
      </c>
      <c r="L894" s="45">
        <v>6</v>
      </c>
      <c r="M894" s="404">
        <v>1500000</v>
      </c>
      <c r="N894" s="45"/>
    </row>
    <row r="895" spans="1:14" x14ac:dyDescent="0.3">
      <c r="A895" s="123">
        <v>33</v>
      </c>
      <c r="B895" s="659"/>
      <c r="C895" s="45" t="s">
        <v>3203</v>
      </c>
      <c r="D895" s="45" t="s">
        <v>306</v>
      </c>
      <c r="E895" s="45" t="s">
        <v>322</v>
      </c>
      <c r="F895" s="45" t="s">
        <v>307</v>
      </c>
      <c r="G895" s="267">
        <v>1567</v>
      </c>
      <c r="H895" s="45" t="s">
        <v>3179</v>
      </c>
      <c r="I895" s="267" t="s">
        <v>1096</v>
      </c>
      <c r="J895" s="45" t="s">
        <v>664</v>
      </c>
      <c r="K895" s="45" t="s">
        <v>3204</v>
      </c>
      <c r="L895" s="45">
        <v>4</v>
      </c>
      <c r="M895" s="404">
        <v>1000000</v>
      </c>
      <c r="N895" s="45"/>
    </row>
    <row r="896" spans="1:14" ht="27" x14ac:dyDescent="0.3">
      <c r="A896" s="123">
        <v>33</v>
      </c>
      <c r="B896" s="657" t="s">
        <v>311</v>
      </c>
      <c r="C896" s="403" t="s">
        <v>3198</v>
      </c>
      <c r="D896" s="45" t="s">
        <v>311</v>
      </c>
      <c r="E896" s="45" t="s">
        <v>675</v>
      </c>
      <c r="F896" s="267" t="s">
        <v>3207</v>
      </c>
      <c r="G896" s="267" t="s">
        <v>3208</v>
      </c>
      <c r="H896" s="267" t="s">
        <v>405</v>
      </c>
      <c r="I896" s="267" t="s">
        <v>3209</v>
      </c>
      <c r="J896" s="267" t="s">
        <v>3210</v>
      </c>
      <c r="K896" s="267" t="s">
        <v>3211</v>
      </c>
      <c r="L896" s="45">
        <v>2</v>
      </c>
      <c r="M896" s="405" t="s">
        <v>3212</v>
      </c>
      <c r="N896" s="45" t="s">
        <v>3213</v>
      </c>
    </row>
    <row r="897" spans="1:14" ht="27" x14ac:dyDescent="0.3">
      <c r="A897" s="123">
        <v>33</v>
      </c>
      <c r="B897" s="658"/>
      <c r="C897" s="403" t="s">
        <v>3214</v>
      </c>
      <c r="D897" s="45" t="s">
        <v>311</v>
      </c>
      <c r="E897" s="45" t="s">
        <v>320</v>
      </c>
      <c r="F897" s="267" t="s">
        <v>2605</v>
      </c>
      <c r="G897" s="267" t="s">
        <v>1415</v>
      </c>
      <c r="H897" s="267" t="s">
        <v>1238</v>
      </c>
      <c r="I897" s="267" t="s">
        <v>3215</v>
      </c>
      <c r="J897" s="267" t="s">
        <v>3210</v>
      </c>
      <c r="K897" s="267" t="s">
        <v>3211</v>
      </c>
      <c r="L897" s="45">
        <v>1</v>
      </c>
      <c r="M897" s="404">
        <v>300000</v>
      </c>
      <c r="N897" s="45" t="s">
        <v>3216</v>
      </c>
    </row>
    <row r="898" spans="1:14" x14ac:dyDescent="0.3">
      <c r="A898" s="123">
        <v>33</v>
      </c>
      <c r="B898" s="659"/>
      <c r="C898" s="403" t="s">
        <v>3217</v>
      </c>
      <c r="D898" s="45" t="s">
        <v>311</v>
      </c>
      <c r="E898" s="45" t="s">
        <v>320</v>
      </c>
      <c r="F898" s="267" t="s">
        <v>690</v>
      </c>
      <c r="G898" s="267" t="s">
        <v>3070</v>
      </c>
      <c r="H898" s="267" t="s">
        <v>3218</v>
      </c>
      <c r="I898" s="267" t="s">
        <v>3219</v>
      </c>
      <c r="J898" s="267" t="s">
        <v>638</v>
      </c>
      <c r="K898" s="267" t="s">
        <v>3220</v>
      </c>
      <c r="L898" s="45">
        <v>1</v>
      </c>
      <c r="M898" s="404">
        <v>250000</v>
      </c>
      <c r="N898" s="45" t="s">
        <v>1776</v>
      </c>
    </row>
    <row r="899" spans="1:14" x14ac:dyDescent="0.3">
      <c r="A899" s="123">
        <v>34</v>
      </c>
      <c r="B899" s="65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13" t="s">
        <v>3102</v>
      </c>
      <c r="H899" s="4" t="s">
        <v>3103</v>
      </c>
      <c r="I899" s="413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 x14ac:dyDescent="0.3">
      <c r="A900" s="123">
        <v>34</v>
      </c>
      <c r="B900" s="655"/>
      <c r="C900" s="92" t="s">
        <v>3228</v>
      </c>
      <c r="D900" s="4" t="s">
        <v>306</v>
      </c>
      <c r="E900" s="4" t="s">
        <v>322</v>
      </c>
      <c r="F900" s="4" t="s">
        <v>307</v>
      </c>
      <c r="G900" s="409">
        <v>1567</v>
      </c>
      <c r="H900" s="410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655"/>
      <c r="C901" s="92" t="s">
        <v>3237</v>
      </c>
      <c r="D901" s="4" t="s">
        <v>306</v>
      </c>
      <c r="E901" s="4" t="s">
        <v>322</v>
      </c>
      <c r="F901" s="4" t="s">
        <v>307</v>
      </c>
      <c r="G901" s="198" t="s">
        <v>3236</v>
      </c>
      <c r="H901" s="125" t="s">
        <v>34</v>
      </c>
      <c r="I901" s="198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 x14ac:dyDescent="0.3">
      <c r="A902" s="123">
        <v>34</v>
      </c>
      <c r="B902" s="656"/>
      <c r="C902" s="92" t="s">
        <v>3238</v>
      </c>
      <c r="D902" s="4" t="s">
        <v>306</v>
      </c>
      <c r="E902" s="4" t="s">
        <v>322</v>
      </c>
      <c r="F902" s="4" t="s">
        <v>307</v>
      </c>
      <c r="G902" s="198" t="s">
        <v>2963</v>
      </c>
      <c r="H902" s="125" t="s">
        <v>1899</v>
      </c>
      <c r="I902" s="198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 x14ac:dyDescent="0.3">
      <c r="A903" s="123">
        <v>34</v>
      </c>
      <c r="B903" s="654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8" t="s">
        <v>692</v>
      </c>
      <c r="L903" s="125" t="s">
        <v>15</v>
      </c>
      <c r="M903" s="411">
        <v>500000</v>
      </c>
      <c r="N903" s="45" t="s">
        <v>3233</v>
      </c>
    </row>
    <row r="904" spans="1:14" x14ac:dyDescent="0.3">
      <c r="A904" s="123">
        <v>34</v>
      </c>
      <c r="B904" s="655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5" t="s">
        <v>3082</v>
      </c>
      <c r="J904" s="31" t="s">
        <v>209</v>
      </c>
      <c r="K904" s="408" t="s">
        <v>692</v>
      </c>
      <c r="L904" s="125" t="s">
        <v>15</v>
      </c>
      <c r="M904" s="411">
        <v>500000</v>
      </c>
      <c r="N904" s="406" t="s">
        <v>978</v>
      </c>
    </row>
    <row r="905" spans="1:14" x14ac:dyDescent="0.3">
      <c r="A905" s="123">
        <v>34</v>
      </c>
      <c r="B905" s="655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5" t="s">
        <v>3226</v>
      </c>
      <c r="J905" s="31"/>
      <c r="K905" s="408" t="s">
        <v>3078</v>
      </c>
      <c r="L905" s="125" t="s">
        <v>15</v>
      </c>
      <c r="M905" s="411">
        <v>300000</v>
      </c>
      <c r="N905" s="406" t="s">
        <v>978</v>
      </c>
    </row>
    <row r="906" spans="1:14" ht="27" x14ac:dyDescent="0.3">
      <c r="A906" s="123">
        <v>34</v>
      </c>
      <c r="B906" s="655"/>
      <c r="C906" s="127">
        <v>45888</v>
      </c>
      <c r="D906" s="4" t="s">
        <v>21</v>
      </c>
      <c r="E906" s="4" t="s">
        <v>17</v>
      </c>
      <c r="F906" s="198" t="s">
        <v>3223</v>
      </c>
      <c r="G906" s="31" t="s">
        <v>362</v>
      </c>
      <c r="H906" s="16" t="s">
        <v>3224</v>
      </c>
      <c r="I906" s="198" t="s">
        <v>3225</v>
      </c>
      <c r="J906" s="31"/>
      <c r="K906" s="31" t="s">
        <v>3079</v>
      </c>
      <c r="L906" s="125" t="s">
        <v>15</v>
      </c>
      <c r="M906" s="411">
        <v>300000</v>
      </c>
      <c r="N906" s="407" t="s">
        <v>1880</v>
      </c>
    </row>
    <row r="907" spans="1:14" x14ac:dyDescent="0.3">
      <c r="A907" s="123">
        <v>34</v>
      </c>
      <c r="B907" s="655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8" t="s">
        <v>3080</v>
      </c>
      <c r="J907" s="31" t="s">
        <v>90</v>
      </c>
      <c r="K907" s="399" t="s">
        <v>3081</v>
      </c>
      <c r="L907" s="125" t="s">
        <v>15</v>
      </c>
      <c r="M907" s="411">
        <v>250000</v>
      </c>
      <c r="N907" s="406" t="s">
        <v>978</v>
      </c>
    </row>
    <row r="908" spans="1:14" x14ac:dyDescent="0.3">
      <c r="A908" s="123">
        <v>34</v>
      </c>
      <c r="B908" s="655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8" t="s">
        <v>3226</v>
      </c>
      <c r="J908" s="31"/>
      <c r="K908" s="408" t="s">
        <v>3078</v>
      </c>
      <c r="L908" s="125" t="s">
        <v>15</v>
      </c>
      <c r="M908" s="411">
        <v>300000</v>
      </c>
      <c r="N908" s="406" t="s">
        <v>978</v>
      </c>
    </row>
    <row r="909" spans="1:14" x14ac:dyDescent="0.3">
      <c r="A909" s="123">
        <v>34</v>
      </c>
      <c r="B909" s="655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5" t="s">
        <v>3235</v>
      </c>
      <c r="J909" s="31"/>
      <c r="K909" s="399" t="s">
        <v>3081</v>
      </c>
      <c r="L909" s="125" t="s">
        <v>15</v>
      </c>
      <c r="M909" s="411">
        <v>500000</v>
      </c>
      <c r="N909" s="406" t="s">
        <v>978</v>
      </c>
    </row>
    <row r="910" spans="1:14" ht="27" x14ac:dyDescent="0.3">
      <c r="A910" s="123">
        <v>34</v>
      </c>
      <c r="B910" s="65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8" t="s">
        <v>3221</v>
      </c>
      <c r="J910" s="31" t="s">
        <v>90</v>
      </c>
      <c r="K910" s="198" t="s">
        <v>999</v>
      </c>
      <c r="L910" s="125" t="s">
        <v>15</v>
      </c>
      <c r="M910" s="411">
        <v>300000</v>
      </c>
      <c r="N910" s="406" t="s">
        <v>978</v>
      </c>
    </row>
    <row r="911" spans="1:14" ht="40.5" x14ac:dyDescent="0.3">
      <c r="A911" s="123">
        <v>35</v>
      </c>
      <c r="B911" s="654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8" t="s">
        <v>3023</v>
      </c>
      <c r="H911" s="125" t="s">
        <v>18</v>
      </c>
      <c r="I911" s="413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 x14ac:dyDescent="0.3">
      <c r="A912" s="123">
        <v>35</v>
      </c>
      <c r="B912" s="655"/>
      <c r="C912" s="127" t="s">
        <v>3258</v>
      </c>
      <c r="D912" s="4" t="s">
        <v>306</v>
      </c>
      <c r="E912" s="4" t="s">
        <v>322</v>
      </c>
      <c r="F912" s="4" t="s">
        <v>307</v>
      </c>
      <c r="G912" s="198" t="s">
        <v>1972</v>
      </c>
      <c r="H912" s="125" t="s">
        <v>109</v>
      </c>
      <c r="I912" s="413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 x14ac:dyDescent="0.3">
      <c r="A913" s="123">
        <v>35</v>
      </c>
      <c r="B913" s="655"/>
      <c r="C913" s="127" t="s">
        <v>3253</v>
      </c>
      <c r="D913" s="4" t="s">
        <v>306</v>
      </c>
      <c r="E913" s="4" t="s">
        <v>322</v>
      </c>
      <c r="F913" s="4" t="s">
        <v>307</v>
      </c>
      <c r="G913" s="198" t="s">
        <v>2963</v>
      </c>
      <c r="H913" s="125" t="s">
        <v>1899</v>
      </c>
      <c r="I913" s="413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 x14ac:dyDescent="0.3">
      <c r="A914" s="123">
        <v>35</v>
      </c>
      <c r="B914" s="655"/>
      <c r="C914" s="92" t="s">
        <v>3254</v>
      </c>
      <c r="D914" s="4" t="s">
        <v>306</v>
      </c>
      <c r="E914" s="4" t="s">
        <v>322</v>
      </c>
      <c r="F914" s="4" t="s">
        <v>307</v>
      </c>
      <c r="G914" s="198" t="s">
        <v>3248</v>
      </c>
      <c r="H914" s="125" t="s">
        <v>23</v>
      </c>
      <c r="I914" s="413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 x14ac:dyDescent="0.3">
      <c r="A915" s="123">
        <v>35</v>
      </c>
      <c r="B915" s="655"/>
      <c r="C915" s="92" t="s">
        <v>3252</v>
      </c>
      <c r="D915" s="4" t="s">
        <v>306</v>
      </c>
      <c r="E915" s="4" t="s">
        <v>322</v>
      </c>
      <c r="F915" s="4" t="s">
        <v>307</v>
      </c>
      <c r="G915" s="198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656"/>
      <c r="C916" s="92" t="s">
        <v>3252</v>
      </c>
      <c r="D916" s="4" t="s">
        <v>306</v>
      </c>
      <c r="E916" s="4" t="s">
        <v>322</v>
      </c>
      <c r="F916" s="4" t="s">
        <v>307</v>
      </c>
      <c r="G916" s="198" t="s">
        <v>2920</v>
      </c>
      <c r="H916" s="125" t="s">
        <v>2921</v>
      </c>
      <c r="I916" s="198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 x14ac:dyDescent="0.3">
      <c r="A917" s="123">
        <v>35</v>
      </c>
      <c r="B917" s="654" t="s">
        <v>21</v>
      </c>
      <c r="C917" s="377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8" t="s">
        <v>3242</v>
      </c>
      <c r="J917" s="31"/>
      <c r="K917" s="31" t="s">
        <v>686</v>
      </c>
      <c r="L917" s="125" t="s">
        <v>15</v>
      </c>
      <c r="M917" s="411">
        <v>250000</v>
      </c>
      <c r="N917" s="125" t="s">
        <v>3244</v>
      </c>
    </row>
    <row r="918" spans="1:14" ht="27" x14ac:dyDescent="0.3">
      <c r="A918" s="123">
        <v>35</v>
      </c>
      <c r="B918" s="655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8" t="s">
        <v>1385</v>
      </c>
      <c r="J918" s="31"/>
      <c r="K918" s="31" t="s">
        <v>3078</v>
      </c>
      <c r="L918" s="125" t="s">
        <v>15</v>
      </c>
      <c r="M918" s="411" t="s">
        <v>3263</v>
      </c>
      <c r="N918" s="125" t="s">
        <v>3244</v>
      </c>
    </row>
    <row r="919" spans="1:14" x14ac:dyDescent="0.3">
      <c r="A919" s="123">
        <v>35</v>
      </c>
      <c r="B919" s="655"/>
      <c r="C919" s="377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8" t="s">
        <v>3239</v>
      </c>
      <c r="J919" s="31" t="s">
        <v>202</v>
      </c>
      <c r="K919" s="198" t="s">
        <v>999</v>
      </c>
      <c r="L919" s="125" t="s">
        <v>15</v>
      </c>
      <c r="M919" s="411">
        <v>300000</v>
      </c>
      <c r="N919" s="125" t="s">
        <v>3244</v>
      </c>
    </row>
    <row r="920" spans="1:14" x14ac:dyDescent="0.3">
      <c r="A920" s="123">
        <v>35</v>
      </c>
      <c r="B920" s="655"/>
      <c r="C920" s="377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8" t="s">
        <v>3240</v>
      </c>
      <c r="J920" s="31" t="s">
        <v>90</v>
      </c>
      <c r="K920" s="31" t="s">
        <v>686</v>
      </c>
      <c r="L920" s="125" t="s">
        <v>15</v>
      </c>
      <c r="M920" s="411">
        <v>250000</v>
      </c>
      <c r="N920" s="6" t="s">
        <v>3243</v>
      </c>
    </row>
    <row r="921" spans="1:14" x14ac:dyDescent="0.3">
      <c r="A921" s="123">
        <v>35</v>
      </c>
      <c r="B921" s="655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8" t="s">
        <v>3260</v>
      </c>
      <c r="J921" s="198" t="s">
        <v>90</v>
      </c>
      <c r="K921" s="198" t="s">
        <v>641</v>
      </c>
      <c r="L921" s="125" t="s">
        <v>15</v>
      </c>
      <c r="M921" s="411">
        <v>500000</v>
      </c>
      <c r="N921" s="6" t="s">
        <v>3243</v>
      </c>
    </row>
    <row r="922" spans="1:14" x14ac:dyDescent="0.3">
      <c r="A922" s="123">
        <v>35</v>
      </c>
      <c r="B922" s="655"/>
      <c r="C922" s="127">
        <v>45894</v>
      </c>
      <c r="D922" s="4" t="s">
        <v>21</v>
      </c>
      <c r="E922" s="4" t="s">
        <v>14</v>
      </c>
      <c r="F922" s="31" t="s">
        <v>211</v>
      </c>
      <c r="G922" s="198" t="s">
        <v>2624</v>
      </c>
      <c r="H922" s="16" t="s">
        <v>3245</v>
      </c>
      <c r="I922" s="198" t="s">
        <v>3261</v>
      </c>
      <c r="J922" s="198"/>
      <c r="K922" s="31" t="s">
        <v>641</v>
      </c>
      <c r="L922" s="125" t="s">
        <v>15</v>
      </c>
      <c r="M922" s="411">
        <v>500000</v>
      </c>
      <c r="N922" s="6" t="s">
        <v>3247</v>
      </c>
    </row>
    <row r="923" spans="1:14" ht="27" x14ac:dyDescent="0.3">
      <c r="A923" s="123">
        <v>35</v>
      </c>
      <c r="B923" s="655"/>
      <c r="C923" s="127">
        <v>45894</v>
      </c>
      <c r="D923" s="4" t="s">
        <v>21</v>
      </c>
      <c r="E923" s="4" t="s">
        <v>14</v>
      </c>
      <c r="F923" s="31" t="s">
        <v>1899</v>
      </c>
      <c r="G923" s="198" t="s">
        <v>2894</v>
      </c>
      <c r="H923" s="16" t="s">
        <v>83</v>
      </c>
      <c r="I923" s="198" t="s">
        <v>3264</v>
      </c>
      <c r="J923" s="198"/>
      <c r="K923" s="31" t="s">
        <v>1877</v>
      </c>
      <c r="L923" s="125" t="s">
        <v>15</v>
      </c>
      <c r="M923" s="411" t="s">
        <v>3263</v>
      </c>
      <c r="N923" s="6" t="s">
        <v>128</v>
      </c>
    </row>
    <row r="924" spans="1:14" x14ac:dyDescent="0.3">
      <c r="A924" s="123">
        <v>35</v>
      </c>
      <c r="B924" s="655"/>
      <c r="C924" s="377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8" t="s">
        <v>3222</v>
      </c>
      <c r="J924" s="31" t="s">
        <v>90</v>
      </c>
      <c r="K924" s="399" t="s">
        <v>3081</v>
      </c>
      <c r="L924" s="125" t="s">
        <v>15</v>
      </c>
      <c r="M924" s="411">
        <v>250000</v>
      </c>
      <c r="N924" s="6" t="s">
        <v>3247</v>
      </c>
    </row>
    <row r="925" spans="1:14" x14ac:dyDescent="0.3">
      <c r="A925" s="123">
        <v>35</v>
      </c>
      <c r="B925" s="65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8" t="s">
        <v>399</v>
      </c>
      <c r="J925" s="31" t="s">
        <v>90</v>
      </c>
      <c r="K925" s="399" t="s">
        <v>3081</v>
      </c>
      <c r="L925" s="125" t="s">
        <v>15</v>
      </c>
      <c r="M925" s="411">
        <v>250000</v>
      </c>
      <c r="N925" s="6" t="s">
        <v>128</v>
      </c>
    </row>
    <row r="926" spans="1:14" ht="18" customHeight="1" x14ac:dyDescent="0.3">
      <c r="A926" s="123">
        <v>35</v>
      </c>
      <c r="B926" s="656"/>
      <c r="C926" s="377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8" t="s">
        <v>3241</v>
      </c>
      <c r="J926" s="198" t="s">
        <v>90</v>
      </c>
      <c r="K926" s="399" t="s">
        <v>3081</v>
      </c>
      <c r="L926" s="125" t="s">
        <v>15</v>
      </c>
      <c r="M926" s="411">
        <v>250000</v>
      </c>
      <c r="N926" s="6" t="s">
        <v>3262</v>
      </c>
    </row>
    <row r="927" spans="1:14" x14ac:dyDescent="0.3">
      <c r="A927" s="123">
        <v>36</v>
      </c>
      <c r="B927" s="662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8" t="s">
        <v>3419</v>
      </c>
      <c r="H927" s="125" t="s">
        <v>3420</v>
      </c>
      <c r="I927" s="413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662"/>
      <c r="C928" s="127" t="s">
        <v>3423</v>
      </c>
      <c r="D928" s="4" t="s">
        <v>306</v>
      </c>
      <c r="E928" s="4" t="s">
        <v>322</v>
      </c>
      <c r="F928" s="4" t="s">
        <v>307</v>
      </c>
      <c r="G928" s="198" t="s">
        <v>3424</v>
      </c>
      <c r="H928" s="125" t="s">
        <v>3425</v>
      </c>
      <c r="I928" s="413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662"/>
      <c r="C929" s="127" t="s">
        <v>3427</v>
      </c>
      <c r="D929" s="4" t="s">
        <v>306</v>
      </c>
      <c r="E929" s="4" t="s">
        <v>322</v>
      </c>
      <c r="F929" s="4" t="s">
        <v>307</v>
      </c>
      <c r="G929" s="198" t="s">
        <v>3428</v>
      </c>
      <c r="H929" s="125" t="s">
        <v>376</v>
      </c>
      <c r="I929" s="413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662"/>
      <c r="C930" s="127" t="s">
        <v>3417</v>
      </c>
      <c r="D930" s="4" t="s">
        <v>306</v>
      </c>
      <c r="E930" s="4" t="s">
        <v>322</v>
      </c>
      <c r="F930" s="4" t="s">
        <v>307</v>
      </c>
      <c r="G930" s="198" t="s">
        <v>3431</v>
      </c>
      <c r="H930" s="125" t="s">
        <v>207</v>
      </c>
      <c r="I930" s="413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662"/>
      <c r="C931" s="127" t="s">
        <v>3423</v>
      </c>
      <c r="D931" s="4" t="s">
        <v>306</v>
      </c>
      <c r="E931" s="4" t="s">
        <v>322</v>
      </c>
      <c r="F931" s="4" t="s">
        <v>307</v>
      </c>
      <c r="G931" s="198" t="s">
        <v>3435</v>
      </c>
      <c r="H931" s="125" t="s">
        <v>207</v>
      </c>
      <c r="I931" s="413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662" t="s">
        <v>3437</v>
      </c>
      <c r="C932" s="377">
        <v>45896</v>
      </c>
      <c r="D932" s="4" t="s">
        <v>3437</v>
      </c>
      <c r="E932" s="4" t="s">
        <v>3438</v>
      </c>
      <c r="F932" s="31" t="s">
        <v>3425</v>
      </c>
      <c r="G932" s="198" t="s">
        <v>3439</v>
      </c>
      <c r="H932" s="16" t="s">
        <v>3440</v>
      </c>
      <c r="I932" s="198" t="s">
        <v>3441</v>
      </c>
      <c r="J932" s="31"/>
      <c r="K932" s="198" t="s">
        <v>3442</v>
      </c>
      <c r="L932" s="125" t="s">
        <v>3443</v>
      </c>
      <c r="M932" s="60" t="s">
        <v>3444</v>
      </c>
      <c r="N932" s="6" t="s">
        <v>3445</v>
      </c>
    </row>
    <row r="933" spans="1:14" x14ac:dyDescent="0.3">
      <c r="A933" s="123">
        <v>36</v>
      </c>
      <c r="B933" s="662"/>
      <c r="C933" s="377" t="s">
        <v>3446</v>
      </c>
      <c r="D933" s="4" t="s">
        <v>3437</v>
      </c>
      <c r="E933" s="4" t="s">
        <v>3438</v>
      </c>
      <c r="F933" s="409" t="s">
        <v>3447</v>
      </c>
      <c r="G933" s="9" t="s">
        <v>3448</v>
      </c>
      <c r="H933" s="410" t="s">
        <v>3449</v>
      </c>
      <c r="I933" s="9" t="s">
        <v>3450</v>
      </c>
      <c r="J933" s="409"/>
      <c r="K933" s="409" t="s">
        <v>3451</v>
      </c>
      <c r="L933" s="4" t="s">
        <v>3443</v>
      </c>
      <c r="M933" s="424">
        <v>500000</v>
      </c>
      <c r="N933" s="6" t="s">
        <v>3452</v>
      </c>
    </row>
    <row r="934" spans="1:14" ht="27" x14ac:dyDescent="0.3">
      <c r="A934" s="123">
        <v>36</v>
      </c>
      <c r="B934" s="662"/>
      <c r="C934" s="377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8" t="s">
        <v>3456</v>
      </c>
      <c r="J934" s="198" t="s">
        <v>3457</v>
      </c>
      <c r="K934" s="399" t="s">
        <v>3458</v>
      </c>
      <c r="L934" s="125" t="s">
        <v>3443</v>
      </c>
      <c r="M934" s="424">
        <v>250000</v>
      </c>
      <c r="N934" s="6" t="s">
        <v>3445</v>
      </c>
    </row>
    <row r="935" spans="1:14" ht="27" x14ac:dyDescent="0.3">
      <c r="A935" s="123">
        <v>36</v>
      </c>
      <c r="B935" s="662"/>
      <c r="C935" s="377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8" t="s">
        <v>3462</v>
      </c>
      <c r="J935" s="31" t="s">
        <v>3463</v>
      </c>
      <c r="K935" s="198" t="s">
        <v>3464</v>
      </c>
      <c r="L935" s="125" t="s">
        <v>3443</v>
      </c>
      <c r="M935" s="424">
        <v>250000</v>
      </c>
      <c r="N935" s="6" t="s">
        <v>3465</v>
      </c>
    </row>
    <row r="936" spans="1:14" ht="27" x14ac:dyDescent="0.3">
      <c r="A936" s="123">
        <v>36</v>
      </c>
      <c r="B936" s="662"/>
      <c r="C936" s="377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8" t="s">
        <v>3462</v>
      </c>
      <c r="J936" s="31" t="s">
        <v>3457</v>
      </c>
      <c r="K936" s="198" t="s">
        <v>3464</v>
      </c>
      <c r="L936" s="125" t="s">
        <v>3443</v>
      </c>
      <c r="M936" s="424">
        <v>250000</v>
      </c>
      <c r="N936" s="6" t="s">
        <v>3465</v>
      </c>
    </row>
    <row r="937" spans="1:14" ht="27" x14ac:dyDescent="0.3">
      <c r="A937" s="123">
        <v>36</v>
      </c>
      <c r="B937" s="662"/>
      <c r="C937" s="377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8" t="s">
        <v>3467</v>
      </c>
      <c r="J937" s="31"/>
      <c r="K937" s="198" t="s">
        <v>3442</v>
      </c>
      <c r="L937" s="125" t="s">
        <v>3443</v>
      </c>
      <c r="M937" s="60" t="s">
        <v>3444</v>
      </c>
      <c r="N937" s="6" t="s">
        <v>3468</v>
      </c>
    </row>
    <row r="938" spans="1:14" x14ac:dyDescent="0.3">
      <c r="A938" s="123">
        <v>36</v>
      </c>
      <c r="B938" s="662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8" t="s">
        <v>3470</v>
      </c>
      <c r="J938" s="31" t="s">
        <v>3457</v>
      </c>
      <c r="K938" s="198" t="s">
        <v>3464</v>
      </c>
      <c r="L938" s="125" t="s">
        <v>3443</v>
      </c>
      <c r="M938" s="424">
        <v>500000</v>
      </c>
      <c r="N938" s="6" t="s">
        <v>3465</v>
      </c>
    </row>
    <row r="939" spans="1:14" x14ac:dyDescent="0.3">
      <c r="A939" s="123">
        <v>37</v>
      </c>
      <c r="B939" s="662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8">
        <v>1567</v>
      </c>
      <c r="H939" s="125" t="s">
        <v>3473</v>
      </c>
      <c r="I939" s="413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662"/>
      <c r="C940" s="127" t="s">
        <v>3475</v>
      </c>
      <c r="D940" s="4" t="s">
        <v>306</v>
      </c>
      <c r="E940" s="4" t="s">
        <v>322</v>
      </c>
      <c r="F940" s="4" t="s">
        <v>307</v>
      </c>
      <c r="G940" s="198" t="s">
        <v>3476</v>
      </c>
      <c r="H940" s="125" t="s">
        <v>376</v>
      </c>
      <c r="I940" s="413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662"/>
      <c r="C941" s="127" t="s">
        <v>3478</v>
      </c>
      <c r="D941" s="4" t="s">
        <v>306</v>
      </c>
      <c r="E941" s="4" t="s">
        <v>322</v>
      </c>
      <c r="F941" s="4" t="s">
        <v>307</v>
      </c>
      <c r="G941" s="198" t="s">
        <v>3480</v>
      </c>
      <c r="H941" s="125" t="s">
        <v>264</v>
      </c>
      <c r="I941" s="413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662"/>
      <c r="C942" s="127" t="s">
        <v>3483</v>
      </c>
      <c r="D942" s="4" t="s">
        <v>306</v>
      </c>
      <c r="E942" s="4" t="s">
        <v>322</v>
      </c>
      <c r="F942" s="4" t="s">
        <v>307</v>
      </c>
      <c r="G942" s="198" t="s">
        <v>3484</v>
      </c>
      <c r="H942" s="125" t="s">
        <v>3485</v>
      </c>
      <c r="I942" s="413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662" t="s">
        <v>3489</v>
      </c>
      <c r="C943" s="377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8" t="s">
        <v>3494</v>
      </c>
      <c r="J943" s="31" t="s">
        <v>3495</v>
      </c>
      <c r="K943" s="198" t="s">
        <v>3496</v>
      </c>
      <c r="L943" s="125" t="s">
        <v>3497</v>
      </c>
      <c r="M943" s="60" t="s">
        <v>3498</v>
      </c>
      <c r="N943" s="6" t="s">
        <v>3499</v>
      </c>
    </row>
    <row r="944" spans="1:14" x14ac:dyDescent="0.3">
      <c r="A944" s="123">
        <v>37</v>
      </c>
      <c r="B944" s="662"/>
      <c r="C944" s="377">
        <v>45902</v>
      </c>
      <c r="D944" s="4" t="s">
        <v>3489</v>
      </c>
      <c r="E944" s="4" t="s">
        <v>3500</v>
      </c>
      <c r="F944" s="4" t="s">
        <v>3501</v>
      </c>
      <c r="G944" s="425" t="s">
        <v>3502</v>
      </c>
      <c r="H944" s="16" t="s">
        <v>3503</v>
      </c>
      <c r="I944" s="198" t="s">
        <v>3504</v>
      </c>
      <c r="J944" s="31"/>
      <c r="K944" s="399" t="s">
        <v>3505</v>
      </c>
      <c r="L944" s="125" t="s">
        <v>3443</v>
      </c>
      <c r="M944" s="60">
        <v>250000</v>
      </c>
      <c r="N944" s="6" t="s">
        <v>3499</v>
      </c>
    </row>
    <row r="945" spans="1:14" ht="27" x14ac:dyDescent="0.3">
      <c r="A945" s="123">
        <v>37</v>
      </c>
      <c r="B945" s="662"/>
      <c r="C945" s="377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8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 x14ac:dyDescent="0.3">
      <c r="A946" s="123">
        <v>37</v>
      </c>
      <c r="B946" s="662"/>
      <c r="C946" s="377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8" t="s">
        <v>3519</v>
      </c>
      <c r="J946" s="198"/>
      <c r="K946" s="198" t="s">
        <v>3520</v>
      </c>
      <c r="L946" s="125" t="s">
        <v>84</v>
      </c>
      <c r="M946" s="424">
        <v>250000</v>
      </c>
      <c r="N946" s="6" t="s">
        <v>3521</v>
      </c>
    </row>
    <row r="947" spans="1:14" x14ac:dyDescent="0.3">
      <c r="A947" s="123">
        <v>37</v>
      </c>
      <c r="B947" s="662"/>
      <c r="C947" s="377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8" t="s">
        <v>3524</v>
      </c>
      <c r="J947" s="198" t="s">
        <v>3525</v>
      </c>
      <c r="K947" s="399" t="s">
        <v>3526</v>
      </c>
      <c r="L947" s="125" t="s">
        <v>3527</v>
      </c>
      <c r="M947" s="424">
        <v>250000</v>
      </c>
      <c r="N947" s="6" t="s">
        <v>3499</v>
      </c>
    </row>
    <row r="948" spans="1:14" ht="27" x14ac:dyDescent="0.3">
      <c r="A948" s="123">
        <v>37</v>
      </c>
      <c r="B948" s="662"/>
      <c r="C948" s="377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8" t="s">
        <v>3530</v>
      </c>
      <c r="J948" s="31" t="s">
        <v>3525</v>
      </c>
      <c r="K948" s="198" t="s">
        <v>3531</v>
      </c>
      <c r="L948" s="125" t="s">
        <v>3527</v>
      </c>
      <c r="M948" s="60" t="s">
        <v>3514</v>
      </c>
      <c r="N948" s="6" t="s">
        <v>3532</v>
      </c>
    </row>
    <row r="949" spans="1:14" x14ac:dyDescent="0.3">
      <c r="A949" s="123">
        <v>37</v>
      </c>
      <c r="B949" s="662"/>
      <c r="C949" s="377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8" t="s">
        <v>3536</v>
      </c>
      <c r="J949" s="31"/>
      <c r="K949" s="198" t="s">
        <v>3537</v>
      </c>
      <c r="L949" s="125" t="s">
        <v>3497</v>
      </c>
      <c r="M949" s="424">
        <v>500000</v>
      </c>
      <c r="N949" s="6" t="s">
        <v>3401</v>
      </c>
    </row>
    <row r="950" spans="1:14" x14ac:dyDescent="0.3">
      <c r="A950" s="123">
        <v>37</v>
      </c>
      <c r="B950" s="662"/>
      <c r="C950" s="377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8" t="s">
        <v>3540</v>
      </c>
      <c r="J950" s="31" t="s">
        <v>120</v>
      </c>
      <c r="K950" s="198" t="s">
        <v>3541</v>
      </c>
      <c r="L950" s="125" t="s">
        <v>3542</v>
      </c>
      <c r="M950" s="424">
        <v>500000</v>
      </c>
      <c r="N950" s="6" t="s">
        <v>3543</v>
      </c>
    </row>
    <row r="951" spans="1:14" x14ac:dyDescent="0.3">
      <c r="A951" s="123">
        <v>37</v>
      </c>
      <c r="B951" s="662"/>
      <c r="C951" s="377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8" t="s">
        <v>3548</v>
      </c>
      <c r="J951" s="31" t="s">
        <v>3549</v>
      </c>
      <c r="K951" s="394" t="s">
        <v>3550</v>
      </c>
      <c r="L951" s="125" t="s">
        <v>84</v>
      </c>
      <c r="M951" s="424">
        <v>1000000</v>
      </c>
      <c r="N951" s="6" t="s">
        <v>3551</v>
      </c>
    </row>
    <row r="952" spans="1:14" x14ac:dyDescent="0.3">
      <c r="A952" s="123">
        <v>37</v>
      </c>
      <c r="B952" s="662"/>
      <c r="C952" s="377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8" t="s">
        <v>3555</v>
      </c>
      <c r="J952" s="31" t="s">
        <v>3457</v>
      </c>
      <c r="K952" s="198" t="s">
        <v>3556</v>
      </c>
      <c r="L952" s="125" t="s">
        <v>3557</v>
      </c>
      <c r="M952" s="93">
        <v>250000</v>
      </c>
      <c r="N952" s="6" t="s">
        <v>1655</v>
      </c>
    </row>
    <row r="953" spans="1:14" x14ac:dyDescent="0.3">
      <c r="A953" s="123">
        <v>37</v>
      </c>
      <c r="B953" s="662"/>
      <c r="C953" s="377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8" t="s">
        <v>303</v>
      </c>
      <c r="J953" s="31" t="s">
        <v>3495</v>
      </c>
      <c r="K953" s="198" t="s">
        <v>3560</v>
      </c>
      <c r="L953" s="125" t="s">
        <v>3513</v>
      </c>
      <c r="M953" s="424">
        <v>250000</v>
      </c>
      <c r="N953" s="6" t="s">
        <v>3561</v>
      </c>
    </row>
    <row r="954" spans="1:14" ht="27" x14ac:dyDescent="0.3">
      <c r="A954" s="123">
        <v>38</v>
      </c>
      <c r="B954" s="662" t="s">
        <v>175</v>
      </c>
      <c r="C954" s="377" t="s">
        <v>3562</v>
      </c>
      <c r="D954" s="4" t="s">
        <v>306</v>
      </c>
      <c r="E954" s="4" t="s">
        <v>322</v>
      </c>
      <c r="F954" s="4" t="s">
        <v>307</v>
      </c>
      <c r="G954" s="198">
        <v>1567</v>
      </c>
      <c r="H954" s="125" t="s">
        <v>3563</v>
      </c>
      <c r="I954" s="413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662"/>
      <c r="C955" s="127" t="s">
        <v>3565</v>
      </c>
      <c r="D955" s="4" t="s">
        <v>306</v>
      </c>
      <c r="E955" s="4" t="s">
        <v>322</v>
      </c>
      <c r="F955" s="4" t="s">
        <v>307</v>
      </c>
      <c r="G955" s="198" t="s">
        <v>3566</v>
      </c>
      <c r="H955" s="125" t="s">
        <v>3485</v>
      </c>
      <c r="I955" s="413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 x14ac:dyDescent="0.3">
      <c r="A956" s="123">
        <v>38</v>
      </c>
      <c r="B956" s="662" t="s">
        <v>3506</v>
      </c>
      <c r="C956" s="377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8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 x14ac:dyDescent="0.3">
      <c r="A957" s="123">
        <v>38</v>
      </c>
      <c r="B957" s="662"/>
      <c r="C957" s="377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8" t="s">
        <v>3577</v>
      </c>
      <c r="J957" s="31" t="s">
        <v>3578</v>
      </c>
      <c r="K957" s="198" t="s">
        <v>3579</v>
      </c>
      <c r="L957" s="125" t="s">
        <v>3580</v>
      </c>
      <c r="M957" s="60" t="s">
        <v>3498</v>
      </c>
      <c r="N957" s="6" t="s">
        <v>3581</v>
      </c>
    </row>
    <row r="958" spans="1:14" ht="27" x14ac:dyDescent="0.3">
      <c r="A958" s="123">
        <v>38</v>
      </c>
      <c r="B958" s="662"/>
      <c r="C958" s="377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8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 x14ac:dyDescent="0.3">
      <c r="A959" s="123">
        <v>38</v>
      </c>
      <c r="B959" s="662"/>
      <c r="C959" s="377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8" t="s">
        <v>3595</v>
      </c>
      <c r="J959" s="31" t="s">
        <v>3549</v>
      </c>
      <c r="K959" s="198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 x14ac:dyDescent="0.3">
      <c r="A960" s="123">
        <v>38</v>
      </c>
      <c r="B960" s="662"/>
      <c r="C960" s="377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8" t="s">
        <v>3601</v>
      </c>
      <c r="J960" s="31" t="s">
        <v>120</v>
      </c>
      <c r="K960" s="198" t="s">
        <v>3602</v>
      </c>
      <c r="L960" s="125" t="s">
        <v>3603</v>
      </c>
      <c r="M960" s="60" t="s">
        <v>3604</v>
      </c>
      <c r="N960" s="6" t="s">
        <v>3605</v>
      </c>
    </row>
    <row r="961" spans="1:14" x14ac:dyDescent="0.3">
      <c r="A961" s="123">
        <v>38</v>
      </c>
      <c r="B961" s="662"/>
      <c r="C961" s="377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8" t="s">
        <v>216</v>
      </c>
      <c r="J961" s="31" t="s">
        <v>702</v>
      </c>
      <c r="K961" s="198" t="s">
        <v>3606</v>
      </c>
      <c r="L961" s="125" t="s">
        <v>309</v>
      </c>
      <c r="M961" s="93">
        <v>500000</v>
      </c>
      <c r="N961" s="6" t="s">
        <v>3607</v>
      </c>
    </row>
    <row r="962" spans="1:14" x14ac:dyDescent="0.3">
      <c r="A962" s="123">
        <v>38</v>
      </c>
      <c r="B962" s="662"/>
      <c r="C962" s="377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8" t="s">
        <v>3611</v>
      </c>
      <c r="J962" s="31" t="s">
        <v>3612</v>
      </c>
      <c r="K962" s="31" t="s">
        <v>3613</v>
      </c>
      <c r="L962" s="125" t="s">
        <v>3580</v>
      </c>
      <c r="M962" s="424">
        <v>500000</v>
      </c>
      <c r="N962" s="6" t="s">
        <v>3614</v>
      </c>
    </row>
    <row r="963" spans="1:14" ht="27" x14ac:dyDescent="0.3">
      <c r="A963" s="123">
        <v>38</v>
      </c>
      <c r="B963" s="662"/>
      <c r="C963" s="377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8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 x14ac:dyDescent="0.3">
      <c r="A964" s="123">
        <v>38</v>
      </c>
      <c r="B964" s="662"/>
      <c r="C964" s="377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8" t="s">
        <v>3621</v>
      </c>
      <c r="J964" s="31" t="s">
        <v>3622</v>
      </c>
      <c r="K964" s="198" t="s">
        <v>3623</v>
      </c>
      <c r="L964" s="125" t="s">
        <v>3443</v>
      </c>
      <c r="M964" s="93">
        <v>250000</v>
      </c>
      <c r="N964" s="6" t="s">
        <v>3624</v>
      </c>
    </row>
    <row r="965" spans="1:14" x14ac:dyDescent="0.3">
      <c r="A965" s="123">
        <v>39</v>
      </c>
      <c r="B965" s="662" t="s">
        <v>3625</v>
      </c>
      <c r="C965" s="377">
        <v>45922</v>
      </c>
      <c r="D965" s="4" t="s">
        <v>306</v>
      </c>
      <c r="E965" s="4" t="s">
        <v>322</v>
      </c>
      <c r="F965" s="4" t="s">
        <v>307</v>
      </c>
      <c r="G965" s="198" t="s">
        <v>3626</v>
      </c>
      <c r="H965" s="125" t="s">
        <v>662</v>
      </c>
      <c r="I965" s="413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 x14ac:dyDescent="0.3">
      <c r="A966" s="123">
        <v>39</v>
      </c>
      <c r="B966" s="662"/>
      <c r="C966" s="377" t="s">
        <v>3628</v>
      </c>
      <c r="D966" s="4" t="s">
        <v>306</v>
      </c>
      <c r="E966" s="4" t="s">
        <v>322</v>
      </c>
      <c r="F966" s="4" t="s">
        <v>307</v>
      </c>
      <c r="G966" s="198">
        <v>1568</v>
      </c>
      <c r="H966" s="125" t="s">
        <v>482</v>
      </c>
      <c r="I966" s="413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 x14ac:dyDescent="0.3">
      <c r="A967" s="123">
        <v>39</v>
      </c>
      <c r="B967" s="662"/>
      <c r="C967" s="377" t="s">
        <v>3633</v>
      </c>
      <c r="D967" s="4" t="s">
        <v>306</v>
      </c>
      <c r="E967" s="4" t="s">
        <v>322</v>
      </c>
      <c r="F967" s="4" t="s">
        <v>307</v>
      </c>
      <c r="G967" s="198" t="s">
        <v>3634</v>
      </c>
      <c r="H967" s="125" t="s">
        <v>3635</v>
      </c>
      <c r="I967" s="413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 x14ac:dyDescent="0.3">
      <c r="A968" s="123">
        <v>39</v>
      </c>
      <c r="B968" s="662" t="s">
        <v>3506</v>
      </c>
      <c r="C968" s="377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8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 x14ac:dyDescent="0.3">
      <c r="A969" s="123">
        <v>39</v>
      </c>
      <c r="B969" s="662"/>
      <c r="C969" s="377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8" t="s">
        <v>3644</v>
      </c>
      <c r="J969" s="31" t="s">
        <v>120</v>
      </c>
      <c r="K969" s="198" t="s">
        <v>3645</v>
      </c>
      <c r="L969" s="125" t="s">
        <v>566</v>
      </c>
      <c r="M969" s="93">
        <v>500000</v>
      </c>
      <c r="N969" s="6" t="s">
        <v>3646</v>
      </c>
    </row>
    <row r="970" spans="1:14" x14ac:dyDescent="0.3">
      <c r="A970" s="123">
        <v>39</v>
      </c>
      <c r="B970" s="662"/>
      <c r="C970" s="377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8" t="s">
        <v>3647</v>
      </c>
      <c r="J970" s="31" t="s">
        <v>120</v>
      </c>
      <c r="K970" s="198" t="s">
        <v>3648</v>
      </c>
      <c r="L970" s="125" t="s">
        <v>3649</v>
      </c>
      <c r="M970" s="93">
        <v>250000</v>
      </c>
      <c r="N970" s="6" t="s">
        <v>3247</v>
      </c>
    </row>
    <row r="971" spans="1:14" x14ac:dyDescent="0.3">
      <c r="A971" s="123">
        <v>39</v>
      </c>
      <c r="B971" s="662"/>
      <c r="C971" s="377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8" t="s">
        <v>3650</v>
      </c>
      <c r="J971" s="198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 x14ac:dyDescent="0.3">
      <c r="A972" s="123">
        <v>39</v>
      </c>
      <c r="B972" s="662"/>
      <c r="C972" s="377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8" t="s">
        <v>3657</v>
      </c>
      <c r="J972" s="198" t="s">
        <v>1952</v>
      </c>
      <c r="K972" s="198" t="s">
        <v>3658</v>
      </c>
      <c r="L972" s="125" t="s">
        <v>3659</v>
      </c>
      <c r="M972" s="60" t="s">
        <v>3514</v>
      </c>
      <c r="N972" s="125" t="s">
        <v>3660</v>
      </c>
    </row>
    <row r="973" spans="1:14" ht="27" x14ac:dyDescent="0.3">
      <c r="A973" s="123">
        <v>39</v>
      </c>
      <c r="B973" s="662"/>
      <c r="C973" s="377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8" t="s">
        <v>3664</v>
      </c>
      <c r="J973" s="198" t="s">
        <v>3665</v>
      </c>
      <c r="K973" s="198" t="s">
        <v>3666</v>
      </c>
      <c r="L973" s="125" t="s">
        <v>566</v>
      </c>
      <c r="M973" s="60" t="s">
        <v>3444</v>
      </c>
      <c r="N973" s="125" t="s">
        <v>3667</v>
      </c>
    </row>
    <row r="974" spans="1:14" x14ac:dyDescent="0.3">
      <c r="A974" s="123">
        <v>39</v>
      </c>
      <c r="B974" s="662"/>
      <c r="C974" s="377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8" t="s">
        <v>3671</v>
      </c>
      <c r="J974" s="198" t="s">
        <v>3525</v>
      </c>
      <c r="K974" s="198" t="s">
        <v>3672</v>
      </c>
      <c r="L974" s="125" t="s">
        <v>3588</v>
      </c>
      <c r="M974" s="93">
        <v>500000</v>
      </c>
      <c r="N974" s="125" t="s">
        <v>3403</v>
      </c>
    </row>
    <row r="975" spans="1:14" ht="27" x14ac:dyDescent="0.3">
      <c r="A975" s="123">
        <v>39</v>
      </c>
      <c r="B975" s="662"/>
      <c r="C975" s="377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8" t="s">
        <v>3675</v>
      </c>
      <c r="J975" s="31" t="s">
        <v>120</v>
      </c>
      <c r="K975" s="198" t="s">
        <v>686</v>
      </c>
      <c r="L975" s="125" t="s">
        <v>3580</v>
      </c>
      <c r="M975" s="424">
        <v>250000</v>
      </c>
      <c r="N975" s="6" t="s">
        <v>3605</v>
      </c>
    </row>
    <row r="976" spans="1:14" x14ac:dyDescent="0.3">
      <c r="A976" s="123">
        <v>40</v>
      </c>
      <c r="B976" s="662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8" t="s">
        <v>3678</v>
      </c>
      <c r="H976" s="125" t="s">
        <v>3635</v>
      </c>
      <c r="I976" s="413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 x14ac:dyDescent="0.3">
      <c r="A977" s="123">
        <v>40</v>
      </c>
      <c r="B977" s="662"/>
      <c r="C977" s="4" t="s">
        <v>3681</v>
      </c>
      <c r="D977" s="4" t="s">
        <v>306</v>
      </c>
      <c r="E977" s="4" t="s">
        <v>322</v>
      </c>
      <c r="F977" s="4" t="s">
        <v>307</v>
      </c>
      <c r="G977" s="198" t="s">
        <v>3424</v>
      </c>
      <c r="H977" s="125" t="s">
        <v>3682</v>
      </c>
      <c r="I977" s="413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 x14ac:dyDescent="0.3">
      <c r="A978" s="123">
        <v>40</v>
      </c>
      <c r="B978" s="662"/>
      <c r="C978" s="4" t="s">
        <v>3684</v>
      </c>
      <c r="D978" s="4" t="s">
        <v>306</v>
      </c>
      <c r="E978" s="4" t="s">
        <v>322</v>
      </c>
      <c r="F978" s="4" t="s">
        <v>307</v>
      </c>
      <c r="G978" s="198">
        <v>1568</v>
      </c>
      <c r="H978" s="125" t="s">
        <v>3685</v>
      </c>
      <c r="I978" s="413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 x14ac:dyDescent="0.3">
      <c r="A979" s="123">
        <v>40</v>
      </c>
      <c r="B979" s="662" t="s">
        <v>3516</v>
      </c>
      <c r="C979" s="377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8" t="s">
        <v>3693</v>
      </c>
      <c r="J979" s="198" t="s">
        <v>120</v>
      </c>
      <c r="K979" s="198" t="s">
        <v>794</v>
      </c>
      <c r="L979" s="125" t="s">
        <v>3527</v>
      </c>
      <c r="M979" s="93">
        <v>500000</v>
      </c>
      <c r="N979" s="6" t="s">
        <v>3694</v>
      </c>
    </row>
    <row r="980" spans="1:14" x14ac:dyDescent="0.3">
      <c r="A980" s="123">
        <v>40</v>
      </c>
      <c r="B980" s="662"/>
      <c r="C980" s="377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8" t="s">
        <v>3697</v>
      </c>
      <c r="J980" s="31" t="s">
        <v>3578</v>
      </c>
      <c r="K980" s="198" t="s">
        <v>686</v>
      </c>
      <c r="L980" s="125" t="s">
        <v>3443</v>
      </c>
      <c r="M980" s="93">
        <v>250000</v>
      </c>
      <c r="N980" s="125" t="s">
        <v>3401</v>
      </c>
    </row>
    <row r="981" spans="1:14" ht="27" x14ac:dyDescent="0.3">
      <c r="A981" s="123">
        <v>40</v>
      </c>
      <c r="B981" s="662"/>
      <c r="C981" s="377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8" t="s">
        <v>3700</v>
      </c>
      <c r="J981" s="31"/>
      <c r="K981" s="198" t="s">
        <v>3701</v>
      </c>
      <c r="L981" s="125" t="s">
        <v>84</v>
      </c>
      <c r="M981" s="60" t="s">
        <v>3619</v>
      </c>
      <c r="N981" s="125" t="s">
        <v>3702</v>
      </c>
    </row>
    <row r="982" spans="1:14" x14ac:dyDescent="0.3">
      <c r="A982" s="123">
        <v>40</v>
      </c>
      <c r="B982" s="662"/>
      <c r="C982" s="377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8" t="s">
        <v>3705</v>
      </c>
      <c r="J982" s="198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 x14ac:dyDescent="0.3">
      <c r="A983" s="123">
        <v>40</v>
      </c>
      <c r="B983" s="662"/>
      <c r="C983" s="377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8" t="s">
        <v>216</v>
      </c>
      <c r="J983" s="198" t="s">
        <v>3711</v>
      </c>
      <c r="K983" s="198" t="s">
        <v>3712</v>
      </c>
      <c r="L983" s="125" t="s">
        <v>3580</v>
      </c>
      <c r="M983" s="60">
        <v>250000</v>
      </c>
      <c r="N983" s="125" t="s">
        <v>3702</v>
      </c>
    </row>
    <row r="984" spans="1:14" ht="27" x14ac:dyDescent="0.3">
      <c r="A984" s="123">
        <v>40</v>
      </c>
      <c r="B984" s="662"/>
      <c r="C984" s="377">
        <v>45932</v>
      </c>
      <c r="D984" s="4" t="s">
        <v>3570</v>
      </c>
      <c r="E984" s="4" t="s">
        <v>3689</v>
      </c>
      <c r="F984" s="31" t="s">
        <v>3713</v>
      </c>
      <c r="G984" s="198" t="s">
        <v>2624</v>
      </c>
      <c r="H984" s="16" t="s">
        <v>3714</v>
      </c>
      <c r="I984" s="198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 x14ac:dyDescent="0.3">
      <c r="A985" s="123">
        <v>41</v>
      </c>
      <c r="B985" s="662" t="s">
        <v>3716</v>
      </c>
      <c r="C985" s="416" t="s">
        <v>3717</v>
      </c>
      <c r="D985" s="4" t="s">
        <v>306</v>
      </c>
      <c r="E985" s="4" t="s">
        <v>322</v>
      </c>
      <c r="F985" s="4" t="s">
        <v>307</v>
      </c>
      <c r="G985" s="198" t="s">
        <v>3718</v>
      </c>
      <c r="H985" s="125" t="s">
        <v>23</v>
      </c>
      <c r="I985" s="413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 x14ac:dyDescent="0.3">
      <c r="A986" s="123">
        <v>41</v>
      </c>
      <c r="B986" s="662"/>
      <c r="C986" s="4" t="s">
        <v>3723</v>
      </c>
      <c r="D986" s="4" t="s">
        <v>306</v>
      </c>
      <c r="E986" s="4" t="s">
        <v>322</v>
      </c>
      <c r="F986" s="4" t="s">
        <v>307</v>
      </c>
      <c r="G986" s="198" t="s">
        <v>3724</v>
      </c>
      <c r="H986" s="125" t="s">
        <v>3725</v>
      </c>
      <c r="I986" s="413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 x14ac:dyDescent="0.3">
      <c r="A987" s="123">
        <v>41</v>
      </c>
      <c r="B987" s="662" t="s">
        <v>3516</v>
      </c>
      <c r="C987" s="377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8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 x14ac:dyDescent="0.3">
      <c r="A988" s="123">
        <v>41</v>
      </c>
      <c r="B988" s="662"/>
      <c r="C988" s="377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8" t="s">
        <v>3733</v>
      </c>
      <c r="J988" s="198" t="s">
        <v>3734</v>
      </c>
      <c r="K988" s="198" t="s">
        <v>3735</v>
      </c>
      <c r="L988" s="125" t="s">
        <v>3736</v>
      </c>
      <c r="M988" s="93">
        <v>1500000</v>
      </c>
      <c r="N988" s="6"/>
    </row>
    <row r="989" spans="1:14" x14ac:dyDescent="0.3">
      <c r="A989" s="123">
        <v>42</v>
      </c>
      <c r="B989" s="662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8" t="s">
        <v>3740</v>
      </c>
      <c r="H989" s="125" t="s">
        <v>3741</v>
      </c>
      <c r="I989" s="413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 x14ac:dyDescent="0.3">
      <c r="A990" s="123">
        <v>42</v>
      </c>
      <c r="B990" s="662"/>
      <c r="C990" s="4" t="s">
        <v>3744</v>
      </c>
      <c r="D990" s="4" t="s">
        <v>306</v>
      </c>
      <c r="E990" s="4" t="s">
        <v>322</v>
      </c>
      <c r="F990" s="4" t="s">
        <v>307</v>
      </c>
      <c r="G990" s="198" t="s">
        <v>3745</v>
      </c>
      <c r="H990" s="125" t="s">
        <v>3746</v>
      </c>
      <c r="I990" s="413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 x14ac:dyDescent="0.3">
      <c r="A991" s="123">
        <v>42</v>
      </c>
      <c r="B991" s="662"/>
      <c r="C991" s="4" t="s">
        <v>3748</v>
      </c>
      <c r="D991" s="4" t="s">
        <v>306</v>
      </c>
      <c r="E991" s="4" t="s">
        <v>322</v>
      </c>
      <c r="F991" s="4" t="s">
        <v>307</v>
      </c>
      <c r="G991" s="198" t="s">
        <v>3739</v>
      </c>
      <c r="H991" s="125" t="s">
        <v>3360</v>
      </c>
      <c r="I991" s="413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662"/>
      <c r="C992" s="4" t="s">
        <v>3744</v>
      </c>
      <c r="D992" s="4" t="s">
        <v>306</v>
      </c>
      <c r="E992" s="4" t="s">
        <v>322</v>
      </c>
      <c r="F992" s="4" t="s">
        <v>307</v>
      </c>
      <c r="G992" s="198" t="s">
        <v>3751</v>
      </c>
      <c r="H992" s="125" t="s">
        <v>3670</v>
      </c>
      <c r="I992" s="413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 x14ac:dyDescent="0.3">
      <c r="A993" s="123">
        <v>42</v>
      </c>
      <c r="B993" s="662" t="s">
        <v>3506</v>
      </c>
      <c r="C993" s="377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8" t="s">
        <v>3756</v>
      </c>
      <c r="J993" s="31"/>
      <c r="K993" s="198" t="s">
        <v>3757</v>
      </c>
      <c r="L993" s="125" t="s">
        <v>3513</v>
      </c>
      <c r="M993" s="60" t="s">
        <v>3758</v>
      </c>
      <c r="N993" s="6"/>
    </row>
    <row r="994" spans="1:14" ht="27" x14ac:dyDescent="0.3">
      <c r="A994" s="123">
        <v>42</v>
      </c>
      <c r="B994" s="662"/>
      <c r="C994" s="377" t="s">
        <v>3759</v>
      </c>
      <c r="D994" s="4" t="s">
        <v>3516</v>
      </c>
      <c r="E994" s="4" t="s">
        <v>3582</v>
      </c>
      <c r="F994" s="31" t="s">
        <v>3760</v>
      </c>
      <c r="G994" s="198" t="s">
        <v>3761</v>
      </c>
      <c r="H994" s="16" t="s">
        <v>3762</v>
      </c>
      <c r="I994" s="198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 x14ac:dyDescent="0.3">
      <c r="A995" s="123">
        <v>42</v>
      </c>
      <c r="B995" s="662"/>
      <c r="C995" s="377" t="s">
        <v>3766</v>
      </c>
      <c r="D995" s="4" t="s">
        <v>3544</v>
      </c>
      <c r="E995" s="4" t="s">
        <v>3507</v>
      </c>
      <c r="F995" s="31" t="s">
        <v>3767</v>
      </c>
      <c r="G995" s="198" t="s">
        <v>3768</v>
      </c>
      <c r="H995" s="16" t="s">
        <v>3769</v>
      </c>
      <c r="I995" s="198" t="s">
        <v>2449</v>
      </c>
      <c r="J995" s="198" t="s">
        <v>3770</v>
      </c>
      <c r="K995" s="198" t="s">
        <v>3771</v>
      </c>
      <c r="L995" s="125" t="s">
        <v>3542</v>
      </c>
      <c r="M995" s="60" t="s">
        <v>3758</v>
      </c>
      <c r="N995" s="125"/>
    </row>
    <row r="996" spans="1:14" x14ac:dyDescent="0.3">
      <c r="A996" s="123">
        <v>43</v>
      </c>
      <c r="B996" s="662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8" t="s">
        <v>3773</v>
      </c>
      <c r="H996" s="125" t="s">
        <v>3774</v>
      </c>
      <c r="I996" s="413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 x14ac:dyDescent="0.3">
      <c r="A997" s="123">
        <v>43</v>
      </c>
      <c r="B997" s="662"/>
      <c r="C997" s="4" t="s">
        <v>3776</v>
      </c>
      <c r="D997" s="4" t="s">
        <v>306</v>
      </c>
      <c r="E997" s="4" t="s">
        <v>322</v>
      </c>
      <c r="F997" s="4" t="s">
        <v>307</v>
      </c>
      <c r="G997" s="198" t="s">
        <v>3634</v>
      </c>
      <c r="H997" s="125" t="s">
        <v>3440</v>
      </c>
      <c r="I997" s="413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 x14ac:dyDescent="0.3">
      <c r="A998" s="123">
        <v>43</v>
      </c>
      <c r="B998" s="662"/>
      <c r="C998" s="416">
        <v>45955</v>
      </c>
      <c r="D998" s="4" t="s">
        <v>306</v>
      </c>
      <c r="E998" s="4" t="s">
        <v>322</v>
      </c>
      <c r="F998" s="4" t="s">
        <v>307</v>
      </c>
      <c r="G998" s="198" t="s">
        <v>3777</v>
      </c>
      <c r="H998" s="125" t="s">
        <v>3778</v>
      </c>
      <c r="I998" s="413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 x14ac:dyDescent="0.3">
      <c r="A999" s="123">
        <v>43</v>
      </c>
      <c r="B999" s="662" t="s">
        <v>21</v>
      </c>
      <c r="C999" s="377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8" t="s">
        <v>3782</v>
      </c>
      <c r="J999" s="31" t="s">
        <v>3622</v>
      </c>
      <c r="K999" s="198" t="s">
        <v>3560</v>
      </c>
      <c r="L999" s="125" t="s">
        <v>3588</v>
      </c>
      <c r="M999" s="93">
        <v>250000</v>
      </c>
      <c r="N999" s="6" t="s">
        <v>3783</v>
      </c>
    </row>
    <row r="1000" spans="1:14" x14ac:dyDescent="0.3">
      <c r="A1000" s="123">
        <v>43</v>
      </c>
      <c r="B1000" s="662"/>
      <c r="C1000" s="377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8" t="s">
        <v>3785</v>
      </c>
      <c r="J1000" s="198"/>
      <c r="K1000" s="198" t="s">
        <v>3672</v>
      </c>
      <c r="L1000" s="125" t="s">
        <v>3786</v>
      </c>
      <c r="M1000" s="93">
        <v>500000</v>
      </c>
      <c r="N1000" s="6" t="s">
        <v>3787</v>
      </c>
    </row>
    <row r="1001" spans="1:14" x14ac:dyDescent="0.3">
      <c r="A1001" s="123">
        <v>43</v>
      </c>
      <c r="B1001" s="662"/>
      <c r="C1001" s="377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8" t="s">
        <v>3790</v>
      </c>
      <c r="J1001" s="31" t="s">
        <v>3791</v>
      </c>
      <c r="K1001" s="198" t="s">
        <v>3792</v>
      </c>
      <c r="L1001" s="125" t="s">
        <v>3497</v>
      </c>
      <c r="M1001" s="93">
        <v>250000</v>
      </c>
      <c r="N1001" s="6" t="s">
        <v>3543</v>
      </c>
    </row>
    <row r="1002" spans="1:14" x14ac:dyDescent="0.3">
      <c r="A1002" s="123">
        <v>43</v>
      </c>
      <c r="B1002" s="662"/>
      <c r="C1002" s="377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8" t="s">
        <v>3795</v>
      </c>
      <c r="J1002" s="198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 x14ac:dyDescent="0.3">
      <c r="A1003" s="123">
        <v>43</v>
      </c>
      <c r="B1003" s="662"/>
      <c r="C1003" s="377" t="s">
        <v>3799</v>
      </c>
      <c r="D1003" s="4" t="s">
        <v>3544</v>
      </c>
      <c r="E1003" s="4" t="s">
        <v>30</v>
      </c>
      <c r="F1003" s="31" t="s">
        <v>836</v>
      </c>
      <c r="G1003" s="198" t="s">
        <v>3768</v>
      </c>
      <c r="H1003" s="16" t="s">
        <v>3769</v>
      </c>
      <c r="I1003" s="198" t="s">
        <v>3800</v>
      </c>
      <c r="J1003" s="198" t="s">
        <v>3801</v>
      </c>
      <c r="K1003" s="198" t="s">
        <v>794</v>
      </c>
      <c r="L1003" s="125" t="s">
        <v>3802</v>
      </c>
      <c r="M1003" s="93">
        <v>500000</v>
      </c>
      <c r="N1003" s="6" t="s">
        <v>3803</v>
      </c>
    </row>
    <row r="1004" spans="1:14" x14ac:dyDescent="0.3">
      <c r="A1004" s="123">
        <v>43</v>
      </c>
      <c r="B1004" s="662"/>
      <c r="C1004" s="377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8" t="s">
        <v>3806</v>
      </c>
      <c r="J1004" s="31" t="s">
        <v>495</v>
      </c>
      <c r="K1004" s="31" t="s">
        <v>3807</v>
      </c>
      <c r="L1004" s="125" t="s">
        <v>3588</v>
      </c>
      <c r="M1004" s="426">
        <v>300000</v>
      </c>
      <c r="N1004" s="6" t="s">
        <v>3808</v>
      </c>
    </row>
    <row r="1005" spans="1:14" x14ac:dyDescent="0.3">
      <c r="A1005" s="123">
        <v>43</v>
      </c>
      <c r="B1005" s="662"/>
      <c r="C1005" s="377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8" t="s">
        <v>3810</v>
      </c>
      <c r="J1005" s="31"/>
      <c r="K1005" s="198" t="s">
        <v>3645</v>
      </c>
      <c r="L1005" s="125" t="s">
        <v>3513</v>
      </c>
      <c r="M1005" s="93">
        <v>500000</v>
      </c>
      <c r="N1005" s="6" t="s">
        <v>3811</v>
      </c>
    </row>
    <row r="1006" spans="1:14" x14ac:dyDescent="0.3">
      <c r="A1006" s="123">
        <v>44</v>
      </c>
      <c r="B1006" s="662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8" t="s">
        <v>3815</v>
      </c>
      <c r="H1006" s="125" t="s">
        <v>3670</v>
      </c>
      <c r="I1006" s="413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 x14ac:dyDescent="0.3">
      <c r="A1007" s="123">
        <v>44</v>
      </c>
      <c r="B1007" s="662"/>
      <c r="C1007" s="4" t="s">
        <v>3819</v>
      </c>
      <c r="D1007" s="4" t="s">
        <v>3813</v>
      </c>
      <c r="E1007" s="4" t="s">
        <v>322</v>
      </c>
      <c r="F1007" s="4" t="s">
        <v>3820</v>
      </c>
      <c r="G1007" s="198" t="s">
        <v>2894</v>
      </c>
      <c r="H1007" s="125" t="s">
        <v>3670</v>
      </c>
      <c r="I1007" s="413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 x14ac:dyDescent="0.3">
      <c r="A1008" s="123">
        <v>44</v>
      </c>
      <c r="B1008" s="662"/>
      <c r="C1008" s="4" t="s">
        <v>3823</v>
      </c>
      <c r="D1008" s="4" t="s">
        <v>306</v>
      </c>
      <c r="E1008" s="4" t="s">
        <v>322</v>
      </c>
      <c r="F1008" s="4" t="s">
        <v>307</v>
      </c>
      <c r="G1008" s="198" t="s">
        <v>3824</v>
      </c>
      <c r="H1008" s="125" t="s">
        <v>3699</v>
      </c>
      <c r="I1008" s="413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 x14ac:dyDescent="0.3">
      <c r="A1009" s="123">
        <v>44</v>
      </c>
      <c r="B1009" s="662"/>
      <c r="C1009" s="4" t="s">
        <v>3826</v>
      </c>
      <c r="D1009" s="4" t="s">
        <v>306</v>
      </c>
      <c r="E1009" s="4" t="s">
        <v>322</v>
      </c>
      <c r="F1009" s="4" t="s">
        <v>307</v>
      </c>
      <c r="G1009" s="198" t="s">
        <v>3827</v>
      </c>
      <c r="H1009" s="125" t="s">
        <v>3510</v>
      </c>
      <c r="I1009" s="413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 x14ac:dyDescent="0.3">
      <c r="A1010" s="123">
        <v>44</v>
      </c>
      <c r="B1010" s="662"/>
      <c r="C1010" s="4" t="s">
        <v>3828</v>
      </c>
      <c r="D1010" s="4" t="s">
        <v>306</v>
      </c>
      <c r="E1010" s="4" t="s">
        <v>322</v>
      </c>
      <c r="F1010" s="4" t="s">
        <v>307</v>
      </c>
      <c r="G1010" s="198" t="s">
        <v>3773</v>
      </c>
      <c r="H1010" s="125" t="s">
        <v>3829</v>
      </c>
      <c r="I1010" s="413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 x14ac:dyDescent="0.3">
      <c r="A1011" s="123">
        <v>44</v>
      </c>
      <c r="B1011" s="662" t="s">
        <v>3558</v>
      </c>
      <c r="C1011" s="377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8" t="s">
        <v>3834</v>
      </c>
      <c r="J1011" s="198" t="s">
        <v>3835</v>
      </c>
      <c r="K1011" s="198" t="s">
        <v>3648</v>
      </c>
      <c r="L1011" s="125" t="s">
        <v>3653</v>
      </c>
      <c r="M1011" s="93">
        <v>250000</v>
      </c>
      <c r="N1011" s="6" t="s">
        <v>3836</v>
      </c>
    </row>
    <row r="1012" spans="1:14" ht="27" x14ac:dyDescent="0.3">
      <c r="A1012" s="123">
        <v>44</v>
      </c>
      <c r="B1012" s="662"/>
      <c r="C1012" s="377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8" t="s">
        <v>3840</v>
      </c>
      <c r="J1012" s="198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 x14ac:dyDescent="0.3">
      <c r="A1013" s="123">
        <v>44</v>
      </c>
      <c r="B1013" s="662"/>
      <c r="C1013" s="377">
        <v>45959</v>
      </c>
      <c r="D1013" s="4" t="s">
        <v>3544</v>
      </c>
      <c r="E1013" s="4" t="s">
        <v>30</v>
      </c>
      <c r="F1013" s="31" t="s">
        <v>3842</v>
      </c>
      <c r="G1013" s="427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 x14ac:dyDescent="0.3">
      <c r="A1014" s="123">
        <v>44</v>
      </c>
      <c r="B1014" s="662"/>
      <c r="C1014" s="377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8" t="s">
        <v>3847</v>
      </c>
      <c r="J1014" s="31"/>
      <c r="K1014" s="198" t="s">
        <v>686</v>
      </c>
      <c r="L1014" s="125" t="s">
        <v>3557</v>
      </c>
      <c r="M1014" s="93">
        <v>250000</v>
      </c>
      <c r="N1014" s="6"/>
    </row>
    <row r="1015" spans="1:14" ht="27" x14ac:dyDescent="0.3">
      <c r="A1015" s="123">
        <v>44</v>
      </c>
      <c r="B1015" s="662"/>
      <c r="C1015" s="377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8" t="s">
        <v>3847</v>
      </c>
      <c r="J1015" s="31"/>
      <c r="K1015" s="198" t="s">
        <v>3849</v>
      </c>
      <c r="L1015" s="125" t="s">
        <v>3527</v>
      </c>
      <c r="M1015" s="60" t="s">
        <v>3589</v>
      </c>
      <c r="N1015" s="6"/>
    </row>
    <row r="1016" spans="1:14" x14ac:dyDescent="0.3">
      <c r="A1016" s="123">
        <v>44</v>
      </c>
      <c r="B1016" s="662"/>
      <c r="C1016" s="377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8" t="s">
        <v>3851</v>
      </c>
      <c r="J1016" s="198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 x14ac:dyDescent="0.3">
      <c r="A1017" s="123">
        <v>44</v>
      </c>
      <c r="B1017" s="662"/>
      <c r="C1017" s="377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8" t="s">
        <v>3855</v>
      </c>
      <c r="J1017" s="31" t="s">
        <v>3617</v>
      </c>
      <c r="K1017" s="198" t="s">
        <v>3856</v>
      </c>
      <c r="L1017" s="125" t="s">
        <v>3527</v>
      </c>
      <c r="M1017" s="60" t="s">
        <v>3604</v>
      </c>
      <c r="N1017" s="6"/>
    </row>
    <row r="1018" spans="1:14" x14ac:dyDescent="0.3">
      <c r="A1018" s="123">
        <v>44</v>
      </c>
      <c r="B1018" s="662"/>
      <c r="C1018" s="377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8" t="s">
        <v>3858</v>
      </c>
      <c r="J1018" s="31" t="s">
        <v>3859</v>
      </c>
      <c r="K1018" s="198" t="s">
        <v>3860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662"/>
      <c r="C1019" s="377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8" t="s">
        <v>3865</v>
      </c>
      <c r="L1019" s="125" t="s">
        <v>84</v>
      </c>
      <c r="M1019" s="60" t="s">
        <v>3514</v>
      </c>
      <c r="N1019" s="6"/>
    </row>
    <row r="1020" spans="1:14" x14ac:dyDescent="0.3">
      <c r="A1020" s="123">
        <v>44</v>
      </c>
      <c r="B1020" s="662"/>
      <c r="C1020" s="377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8" t="s">
        <v>3866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662"/>
      <c r="C1021" s="377">
        <v>45961</v>
      </c>
      <c r="D1021" s="4" t="s">
        <v>21</v>
      </c>
      <c r="E1021" s="4" t="s">
        <v>3850</v>
      </c>
      <c r="F1021" s="198" t="s">
        <v>3867</v>
      </c>
      <c r="G1021" s="31">
        <v>1810</v>
      </c>
      <c r="H1021" s="16" t="s">
        <v>3868</v>
      </c>
      <c r="I1021" s="198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 x14ac:dyDescent="0.3">
      <c r="A1022" s="123">
        <v>45</v>
      </c>
      <c r="B1022" s="662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8" t="s">
        <v>3848</v>
      </c>
      <c r="H1022" s="125" t="s">
        <v>3670</v>
      </c>
      <c r="I1022" s="413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 x14ac:dyDescent="0.3">
      <c r="A1023" s="123">
        <v>45</v>
      </c>
      <c r="B1023" s="662"/>
      <c r="C1023" s="416">
        <v>45964</v>
      </c>
      <c r="D1023" s="4" t="s">
        <v>306</v>
      </c>
      <c r="E1023" s="4" t="s">
        <v>322</v>
      </c>
      <c r="F1023" s="4" t="s">
        <v>307</v>
      </c>
      <c r="G1023" s="198" t="s">
        <v>3669</v>
      </c>
      <c r="H1023" s="125" t="s">
        <v>3510</v>
      </c>
      <c r="I1023" s="413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 x14ac:dyDescent="0.3">
      <c r="A1024" s="123">
        <v>45</v>
      </c>
      <c r="B1024" s="662"/>
      <c r="C1024" s="4" t="s">
        <v>3875</v>
      </c>
      <c r="D1024" s="4" t="s">
        <v>306</v>
      </c>
      <c r="E1024" s="4" t="s">
        <v>322</v>
      </c>
      <c r="F1024" s="4" t="s">
        <v>307</v>
      </c>
      <c r="G1024" s="198" t="s">
        <v>3876</v>
      </c>
      <c r="H1024" s="125" t="s">
        <v>3877</v>
      </c>
      <c r="I1024" s="413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 x14ac:dyDescent="0.3">
      <c r="A1025" s="123">
        <v>45</v>
      </c>
      <c r="B1025" s="662"/>
      <c r="C1025" s="416">
        <v>45966</v>
      </c>
      <c r="D1025" s="4" t="s">
        <v>306</v>
      </c>
      <c r="E1025" s="4" t="s">
        <v>322</v>
      </c>
      <c r="F1025" s="4" t="s">
        <v>307</v>
      </c>
      <c r="G1025" s="198" t="s">
        <v>3815</v>
      </c>
      <c r="H1025" s="125" t="s">
        <v>3879</v>
      </c>
      <c r="I1025" s="413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 x14ac:dyDescent="0.3">
      <c r="A1026" s="123">
        <v>45</v>
      </c>
      <c r="B1026" s="662"/>
      <c r="C1026" s="4" t="s">
        <v>3882</v>
      </c>
      <c r="D1026" s="4" t="s">
        <v>306</v>
      </c>
      <c r="E1026" s="4" t="s">
        <v>322</v>
      </c>
      <c r="F1026" s="4" t="s">
        <v>307</v>
      </c>
      <c r="G1026" s="198" t="s">
        <v>3773</v>
      </c>
      <c r="H1026" s="125" t="s">
        <v>3883</v>
      </c>
      <c r="I1026" s="413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 x14ac:dyDescent="0.3">
      <c r="A1027" s="123">
        <v>45</v>
      </c>
      <c r="B1027" s="662"/>
      <c r="C1027" s="4" t="s">
        <v>3886</v>
      </c>
      <c r="D1027" s="4" t="s">
        <v>306</v>
      </c>
      <c r="E1027" s="4" t="s">
        <v>322</v>
      </c>
      <c r="F1027" s="4" t="s">
        <v>307</v>
      </c>
      <c r="G1027" s="198" t="s">
        <v>3887</v>
      </c>
      <c r="H1027" s="125" t="s">
        <v>3888</v>
      </c>
      <c r="I1027" s="413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 x14ac:dyDescent="0.3">
      <c r="A1028" s="123">
        <v>45</v>
      </c>
      <c r="B1028" s="662" t="s">
        <v>3889</v>
      </c>
      <c r="C1028" s="377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8" t="s">
        <v>3890</v>
      </c>
      <c r="J1028" s="31" t="s">
        <v>3525</v>
      </c>
      <c r="K1028" s="198" t="s">
        <v>3648</v>
      </c>
      <c r="L1028" s="125"/>
      <c r="M1028" s="93">
        <v>250000</v>
      </c>
      <c r="N1028" s="6" t="s">
        <v>3891</v>
      </c>
    </row>
    <row r="1029" spans="1:14" ht="27" x14ac:dyDescent="0.3">
      <c r="A1029" s="123">
        <v>45</v>
      </c>
      <c r="B1029" s="662"/>
      <c r="C1029" s="377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8" t="s">
        <v>3892</v>
      </c>
      <c r="J1029" s="198"/>
      <c r="K1029" s="198" t="s">
        <v>3893</v>
      </c>
      <c r="L1029" s="125" t="s">
        <v>3557</v>
      </c>
      <c r="M1029" s="60" t="s">
        <v>3619</v>
      </c>
      <c r="N1029" s="6" t="s">
        <v>3894</v>
      </c>
    </row>
    <row r="1030" spans="1:14" x14ac:dyDescent="0.3">
      <c r="A1030" s="123">
        <v>45</v>
      </c>
      <c r="B1030" s="662"/>
      <c r="C1030" s="377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8" t="s">
        <v>3895</v>
      </c>
      <c r="J1030" s="198"/>
      <c r="K1030" s="198" t="s">
        <v>3648</v>
      </c>
      <c r="L1030" s="125" t="s">
        <v>84</v>
      </c>
      <c r="M1030" s="93">
        <v>250000</v>
      </c>
      <c r="N1030" s="6" t="s">
        <v>3896</v>
      </c>
    </row>
    <row r="1031" spans="1:14" ht="27" x14ac:dyDescent="0.3">
      <c r="A1031" s="123">
        <v>45</v>
      </c>
      <c r="B1031" s="662"/>
      <c r="C1031" s="377">
        <v>45965</v>
      </c>
      <c r="D1031" s="4" t="s">
        <v>3490</v>
      </c>
      <c r="E1031" s="4" t="s">
        <v>3500</v>
      </c>
      <c r="F1031" s="31" t="s">
        <v>3897</v>
      </c>
      <c r="G1031" s="198" t="s">
        <v>3898</v>
      </c>
      <c r="H1031" s="16" t="s">
        <v>3899</v>
      </c>
      <c r="I1031" s="198" t="s">
        <v>3900</v>
      </c>
      <c r="J1031" s="31" t="s">
        <v>3617</v>
      </c>
      <c r="K1031" s="198" t="s">
        <v>3901</v>
      </c>
      <c r="L1031" s="125" t="s">
        <v>3580</v>
      </c>
      <c r="M1031" s="93">
        <v>550000</v>
      </c>
      <c r="N1031" s="6" t="s">
        <v>3902</v>
      </c>
    </row>
    <row r="1032" spans="1:14" ht="27" x14ac:dyDescent="0.3">
      <c r="A1032" s="123">
        <v>45</v>
      </c>
      <c r="B1032" s="662"/>
      <c r="C1032" s="377">
        <v>45965</v>
      </c>
      <c r="D1032" s="4" t="s">
        <v>3506</v>
      </c>
      <c r="E1032" s="4" t="s">
        <v>3903</v>
      </c>
      <c r="F1032" s="31" t="s">
        <v>3508</v>
      </c>
      <c r="G1032" s="198" t="s">
        <v>3904</v>
      </c>
      <c r="H1032" s="16" t="s">
        <v>3906</v>
      </c>
      <c r="I1032" s="125" t="s">
        <v>3907</v>
      </c>
      <c r="J1032" s="31"/>
      <c r="K1032" s="198" t="s">
        <v>3672</v>
      </c>
      <c r="L1032" s="125" t="s">
        <v>3603</v>
      </c>
      <c r="M1032" s="93">
        <v>500000</v>
      </c>
      <c r="N1032" s="6" t="s">
        <v>3908</v>
      </c>
    </row>
    <row r="1033" spans="1:14" x14ac:dyDescent="0.3">
      <c r="A1033" s="123">
        <v>45</v>
      </c>
      <c r="B1033" s="662"/>
      <c r="C1033" s="377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8" t="s">
        <v>3909</v>
      </c>
      <c r="J1033" s="31" t="s">
        <v>3578</v>
      </c>
      <c r="K1033" s="198" t="s">
        <v>3560</v>
      </c>
      <c r="L1033" s="125" t="s">
        <v>3513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662"/>
      <c r="C1034" s="377">
        <v>45967</v>
      </c>
      <c r="D1034" s="4" t="s">
        <v>3490</v>
      </c>
      <c r="E1034" s="4" t="s">
        <v>17</v>
      </c>
      <c r="F1034" s="31" t="s">
        <v>3425</v>
      </c>
      <c r="G1034" s="198" t="s">
        <v>3910</v>
      </c>
      <c r="H1034" s="16" t="s">
        <v>3911</v>
      </c>
      <c r="I1034" s="198" t="s">
        <v>3913</v>
      </c>
      <c r="J1034" s="31" t="s">
        <v>3495</v>
      </c>
      <c r="K1034" s="198" t="s">
        <v>3645</v>
      </c>
      <c r="L1034" s="125" t="s">
        <v>3588</v>
      </c>
      <c r="M1034" s="93">
        <v>500000</v>
      </c>
      <c r="N1034" s="6" t="s">
        <v>3914</v>
      </c>
    </row>
    <row r="1035" spans="1:14" x14ac:dyDescent="0.3">
      <c r="A1035" s="123">
        <v>45</v>
      </c>
      <c r="B1035" s="662"/>
      <c r="C1035" s="377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8" t="s">
        <v>3918</v>
      </c>
      <c r="J1035" s="198"/>
      <c r="K1035" s="198" t="s">
        <v>3648</v>
      </c>
      <c r="L1035" s="125" t="s">
        <v>3580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662" t="s">
        <v>3919</v>
      </c>
      <c r="C1036" s="416">
        <v>45969</v>
      </c>
      <c r="D1036" s="4" t="s">
        <v>306</v>
      </c>
      <c r="E1036" s="4" t="s">
        <v>322</v>
      </c>
      <c r="F1036" s="4" t="s">
        <v>307</v>
      </c>
      <c r="G1036" s="198" t="s">
        <v>3920</v>
      </c>
      <c r="H1036" s="125" t="s">
        <v>3710</v>
      </c>
      <c r="I1036" s="413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 x14ac:dyDescent="0.3">
      <c r="A1037" s="123">
        <v>46</v>
      </c>
      <c r="B1037" s="662"/>
      <c r="C1037" s="4" t="s">
        <v>3923</v>
      </c>
      <c r="D1037" s="4" t="s">
        <v>306</v>
      </c>
      <c r="E1037" s="4" t="s">
        <v>322</v>
      </c>
      <c r="F1037" s="4" t="s">
        <v>307</v>
      </c>
      <c r="G1037" s="198">
        <v>3011</v>
      </c>
      <c r="H1037" s="125" t="s">
        <v>3844</v>
      </c>
      <c r="I1037" s="413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 x14ac:dyDescent="0.3">
      <c r="A1038" s="123">
        <v>46</v>
      </c>
      <c r="B1038" s="662"/>
      <c r="C1038" s="416" t="s">
        <v>3925</v>
      </c>
      <c r="D1038" s="4" t="s">
        <v>306</v>
      </c>
      <c r="E1038" s="4" t="s">
        <v>322</v>
      </c>
      <c r="F1038" s="4" t="s">
        <v>307</v>
      </c>
      <c r="G1038" s="198" t="s">
        <v>3773</v>
      </c>
      <c r="H1038" s="125" t="s">
        <v>3926</v>
      </c>
      <c r="I1038" s="413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 x14ac:dyDescent="0.3">
      <c r="A1039" s="123">
        <v>46</v>
      </c>
      <c r="B1039" s="662"/>
      <c r="C1039" s="4" t="s">
        <v>3928</v>
      </c>
      <c r="D1039" s="4" t="s">
        <v>306</v>
      </c>
      <c r="E1039" s="4" t="s">
        <v>322</v>
      </c>
      <c r="F1039" s="4" t="s">
        <v>307</v>
      </c>
      <c r="G1039" s="198">
        <v>3006</v>
      </c>
      <c r="H1039" s="125" t="s">
        <v>23</v>
      </c>
      <c r="I1039" s="413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662" t="s">
        <v>21</v>
      </c>
      <c r="C1040" s="377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8" t="s">
        <v>3930</v>
      </c>
      <c r="J1040" s="198"/>
      <c r="K1040" s="198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 x14ac:dyDescent="0.3">
      <c r="A1041" s="123">
        <v>46</v>
      </c>
      <c r="B1041" s="662"/>
      <c r="C1041" s="377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8" t="s">
        <v>3934</v>
      </c>
      <c r="J1041" s="198"/>
      <c r="K1041" s="198" t="s">
        <v>794</v>
      </c>
      <c r="L1041" s="125" t="s">
        <v>84</v>
      </c>
      <c r="M1041" s="96">
        <v>500000</v>
      </c>
      <c r="N1041" s="6" t="s">
        <v>1655</v>
      </c>
    </row>
    <row r="1042" spans="1:14" ht="27" x14ac:dyDescent="0.3">
      <c r="A1042" s="123">
        <v>46</v>
      </c>
      <c r="B1042" s="662"/>
      <c r="C1042" s="377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8" t="s">
        <v>3935</v>
      </c>
      <c r="J1042" s="198"/>
      <c r="K1042" s="198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 x14ac:dyDescent="0.3">
      <c r="A1043" s="123">
        <v>46</v>
      </c>
      <c r="B1043" s="662"/>
      <c r="C1043" s="377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8" t="s">
        <v>3938</v>
      </c>
      <c r="J1043" s="198" t="s">
        <v>3939</v>
      </c>
      <c r="K1043" s="198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 x14ac:dyDescent="0.3">
      <c r="A1044" s="123">
        <v>46</v>
      </c>
      <c r="B1044" s="662"/>
      <c r="C1044" s="377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8" t="s">
        <v>3943</v>
      </c>
      <c r="J1044" s="31" t="s">
        <v>495</v>
      </c>
      <c r="K1044" s="198" t="s">
        <v>3944</v>
      </c>
      <c r="L1044" s="125" t="s">
        <v>84</v>
      </c>
      <c r="M1044" s="60" t="s">
        <v>3574</v>
      </c>
      <c r="N1044" s="6" t="s">
        <v>3945</v>
      </c>
    </row>
    <row r="1045" spans="1:14" ht="27" x14ac:dyDescent="0.3">
      <c r="A1045" s="123">
        <v>46</v>
      </c>
      <c r="B1045" s="662"/>
      <c r="C1045" s="377">
        <v>45972</v>
      </c>
      <c r="D1045" s="4" t="s">
        <v>3570</v>
      </c>
      <c r="E1045" s="4" t="s">
        <v>3903</v>
      </c>
      <c r="F1045" s="31" t="s">
        <v>3662</v>
      </c>
      <c r="G1045" s="198" t="s">
        <v>3946</v>
      </c>
      <c r="H1045" s="16" t="s">
        <v>3947</v>
      </c>
      <c r="I1045" s="198" t="s">
        <v>3949</v>
      </c>
      <c r="J1045" s="31"/>
      <c r="K1045" s="198" t="s">
        <v>686</v>
      </c>
      <c r="L1045" s="125" t="s">
        <v>3527</v>
      </c>
      <c r="M1045" s="93">
        <v>250000</v>
      </c>
      <c r="N1045" s="6" t="s">
        <v>3950</v>
      </c>
    </row>
    <row r="1046" spans="1:14" ht="27" x14ac:dyDescent="0.3">
      <c r="A1046" s="123">
        <v>46</v>
      </c>
      <c r="B1046" s="662"/>
      <c r="C1046" s="377">
        <v>45972</v>
      </c>
      <c r="D1046" s="4" t="s">
        <v>3516</v>
      </c>
      <c r="E1046" s="4" t="s">
        <v>3903</v>
      </c>
      <c r="F1046" s="31" t="s">
        <v>3732</v>
      </c>
      <c r="G1046" s="198" t="s">
        <v>3951</v>
      </c>
      <c r="H1046" s="16" t="s">
        <v>3905</v>
      </c>
      <c r="I1046" s="198" t="s">
        <v>3948</v>
      </c>
      <c r="J1046" s="31"/>
      <c r="K1046" s="198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 x14ac:dyDescent="0.3">
      <c r="A1047" s="123">
        <v>46</v>
      </c>
      <c r="B1047" s="662"/>
      <c r="C1047" s="377">
        <v>45972</v>
      </c>
      <c r="D1047" s="4" t="s">
        <v>3698</v>
      </c>
      <c r="E1047" s="4" t="s">
        <v>3582</v>
      </c>
      <c r="F1047" s="31" t="s">
        <v>3690</v>
      </c>
      <c r="G1047" s="198" t="s">
        <v>3898</v>
      </c>
      <c r="H1047" s="16" t="s">
        <v>3662</v>
      </c>
      <c r="I1047" s="198" t="s">
        <v>3954</v>
      </c>
      <c r="J1047" s="31" t="s">
        <v>120</v>
      </c>
      <c r="K1047" s="198" t="s">
        <v>3807</v>
      </c>
      <c r="L1047" s="125" t="s">
        <v>3588</v>
      </c>
      <c r="M1047" s="93">
        <v>300000</v>
      </c>
      <c r="N1047" s="6" t="s">
        <v>3950</v>
      </c>
    </row>
    <row r="1048" spans="1:14" x14ac:dyDescent="0.3">
      <c r="A1048" s="123">
        <v>46</v>
      </c>
      <c r="B1048" s="662"/>
      <c r="C1048" s="377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8" t="s">
        <v>3955</v>
      </c>
      <c r="J1048" s="31"/>
      <c r="K1048" s="198" t="s">
        <v>3956</v>
      </c>
      <c r="L1048" s="125" t="s">
        <v>3603</v>
      </c>
      <c r="M1048" s="93">
        <v>250000</v>
      </c>
      <c r="N1048" s="6" t="s">
        <v>3543</v>
      </c>
    </row>
    <row r="1049" spans="1:14" x14ac:dyDescent="0.3">
      <c r="A1049" s="123">
        <v>47</v>
      </c>
      <c r="B1049" s="662" t="s">
        <v>175</v>
      </c>
      <c r="C1049" s="416">
        <v>45976</v>
      </c>
      <c r="D1049" s="4" t="s">
        <v>306</v>
      </c>
      <c r="E1049" s="4" t="s">
        <v>322</v>
      </c>
      <c r="F1049" s="4" t="s">
        <v>3957</v>
      </c>
      <c r="G1049" s="198" t="s">
        <v>3634</v>
      </c>
      <c r="H1049" s="125" t="s">
        <v>3710</v>
      </c>
      <c r="I1049" s="413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 x14ac:dyDescent="0.3">
      <c r="A1050" s="123">
        <v>47</v>
      </c>
      <c r="B1050" s="662"/>
      <c r="C1050" s="416">
        <v>45978</v>
      </c>
      <c r="D1050" s="4" t="s">
        <v>306</v>
      </c>
      <c r="E1050" s="4" t="s">
        <v>322</v>
      </c>
      <c r="F1050" s="4" t="s">
        <v>3961</v>
      </c>
      <c r="G1050" s="198" t="s">
        <v>3962</v>
      </c>
      <c r="H1050" s="125" t="s">
        <v>3963</v>
      </c>
      <c r="I1050" s="413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 x14ac:dyDescent="0.3">
      <c r="A1051" s="123">
        <v>47</v>
      </c>
      <c r="B1051" s="662"/>
      <c r="C1051" s="416" t="s">
        <v>3965</v>
      </c>
      <c r="D1051" s="4" t="s">
        <v>306</v>
      </c>
      <c r="E1051" s="4" t="s">
        <v>322</v>
      </c>
      <c r="F1051" s="4" t="s">
        <v>307</v>
      </c>
      <c r="G1051" s="198">
        <v>3006</v>
      </c>
      <c r="H1051" s="125" t="s">
        <v>3420</v>
      </c>
      <c r="I1051" s="413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 x14ac:dyDescent="0.3">
      <c r="A1052" s="123">
        <v>47</v>
      </c>
      <c r="B1052" s="662"/>
      <c r="C1052" s="416" t="s">
        <v>3966</v>
      </c>
      <c r="D1052" s="4" t="s">
        <v>306</v>
      </c>
      <c r="E1052" s="4" t="s">
        <v>322</v>
      </c>
      <c r="F1052" s="4" t="s">
        <v>307</v>
      </c>
      <c r="G1052" s="198" t="s">
        <v>3773</v>
      </c>
      <c r="H1052" s="125" t="s">
        <v>3967</v>
      </c>
      <c r="I1052" s="413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662"/>
      <c r="C1053" s="4" t="s">
        <v>3970</v>
      </c>
      <c r="D1053" s="4" t="s">
        <v>306</v>
      </c>
      <c r="E1053" s="4" t="s">
        <v>322</v>
      </c>
      <c r="F1053" s="4" t="s">
        <v>307</v>
      </c>
      <c r="G1053" s="198" t="s">
        <v>3971</v>
      </c>
      <c r="H1053" s="125" t="s">
        <v>3879</v>
      </c>
      <c r="I1053" s="413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662" t="s">
        <v>3558</v>
      </c>
      <c r="C1054" s="377">
        <v>45975</v>
      </c>
      <c r="D1054" s="4" t="s">
        <v>3489</v>
      </c>
      <c r="E1054" s="4" t="s">
        <v>30</v>
      </c>
      <c r="F1054" s="31" t="s">
        <v>3973</v>
      </c>
      <c r="G1054" s="198" t="s">
        <v>3975</v>
      </c>
      <c r="H1054" s="16" t="s">
        <v>3976</v>
      </c>
      <c r="I1054" s="198" t="s">
        <v>3977</v>
      </c>
      <c r="J1054" s="198" t="s">
        <v>3770</v>
      </c>
      <c r="K1054" s="198" t="s">
        <v>3978</v>
      </c>
      <c r="L1054" s="125" t="s">
        <v>84</v>
      </c>
      <c r="M1054" s="93">
        <v>600000</v>
      </c>
      <c r="N1054" s="6" t="s">
        <v>3979</v>
      </c>
    </row>
    <row r="1055" spans="1:14" x14ac:dyDescent="0.3">
      <c r="A1055" s="123">
        <v>47</v>
      </c>
      <c r="B1055" s="662"/>
      <c r="C1055" s="377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8" t="s">
        <v>3982</v>
      </c>
      <c r="J1055" s="198"/>
      <c r="K1055" s="198" t="s">
        <v>3618</v>
      </c>
      <c r="L1055" s="125" t="s">
        <v>3603</v>
      </c>
      <c r="M1055" s="93">
        <v>300000</v>
      </c>
      <c r="N1055" s="6" t="s">
        <v>3983</v>
      </c>
    </row>
    <row r="1056" spans="1:14" ht="27" x14ac:dyDescent="0.3">
      <c r="A1056" s="123">
        <v>47</v>
      </c>
      <c r="B1056" s="662"/>
      <c r="C1056" s="377">
        <v>45976</v>
      </c>
      <c r="D1056" s="4" t="s">
        <v>21</v>
      </c>
      <c r="E1056" s="4" t="s">
        <v>3552</v>
      </c>
      <c r="F1056" s="31" t="s">
        <v>3973</v>
      </c>
      <c r="G1056" s="198" t="s">
        <v>3975</v>
      </c>
      <c r="H1056" s="16" t="s">
        <v>3984</v>
      </c>
      <c r="I1056" s="198" t="s">
        <v>3985</v>
      </c>
      <c r="J1056" s="198" t="s">
        <v>3801</v>
      </c>
      <c r="K1056" s="198" t="s">
        <v>3959</v>
      </c>
      <c r="L1056" s="125" t="s">
        <v>84</v>
      </c>
      <c r="M1056" s="93">
        <v>250000</v>
      </c>
      <c r="N1056" s="6" t="s">
        <v>3986</v>
      </c>
    </row>
    <row r="1057" spans="1:14" x14ac:dyDescent="0.3">
      <c r="A1057" s="123">
        <v>47</v>
      </c>
      <c r="B1057" s="662"/>
      <c r="C1057" s="377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8" t="s">
        <v>3987</v>
      </c>
      <c r="J1057" s="198"/>
      <c r="K1057" s="198" t="s">
        <v>3648</v>
      </c>
      <c r="L1057" s="125" t="s">
        <v>566</v>
      </c>
      <c r="M1057" s="93">
        <v>250000</v>
      </c>
      <c r="N1057" s="6" t="s">
        <v>3988</v>
      </c>
    </row>
    <row r="1058" spans="1:14" ht="27" x14ac:dyDescent="0.3">
      <c r="A1058" s="123">
        <v>47</v>
      </c>
      <c r="B1058" s="662"/>
      <c r="C1058" s="377">
        <v>45976</v>
      </c>
      <c r="D1058" s="4" t="s">
        <v>21</v>
      </c>
      <c r="E1058" s="4" t="s">
        <v>3559</v>
      </c>
      <c r="F1058" s="31" t="s">
        <v>3989</v>
      </c>
      <c r="G1058" s="198" t="s">
        <v>3990</v>
      </c>
      <c r="H1058" s="16" t="s">
        <v>3991</v>
      </c>
      <c r="I1058" s="198" t="s">
        <v>3992</v>
      </c>
      <c r="J1058" s="198" t="s">
        <v>120</v>
      </c>
      <c r="K1058" s="198" t="s">
        <v>686</v>
      </c>
      <c r="L1058" s="125" t="s">
        <v>3527</v>
      </c>
      <c r="M1058" s="93">
        <v>250000</v>
      </c>
      <c r="N1058" s="6" t="s">
        <v>3993</v>
      </c>
    </row>
    <row r="1059" spans="1:14" x14ac:dyDescent="0.3">
      <c r="A1059" s="123">
        <v>47</v>
      </c>
      <c r="B1059" s="662"/>
      <c r="C1059" s="377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8" t="s">
        <v>3995</v>
      </c>
      <c r="J1059" s="198"/>
      <c r="K1059" s="198" t="s">
        <v>3556</v>
      </c>
      <c r="L1059" s="125" t="s">
        <v>3527</v>
      </c>
      <c r="M1059" s="93">
        <v>250000</v>
      </c>
      <c r="N1059" s="6" t="s">
        <v>3798</v>
      </c>
    </row>
    <row r="1060" spans="1:14" x14ac:dyDescent="0.3">
      <c r="A1060" s="123">
        <v>47</v>
      </c>
      <c r="B1060" s="662"/>
      <c r="C1060" s="377">
        <v>45978</v>
      </c>
      <c r="D1060" s="4" t="s">
        <v>21</v>
      </c>
      <c r="E1060" s="4" t="s">
        <v>3500</v>
      </c>
      <c r="F1060" s="198" t="s">
        <v>3996</v>
      </c>
      <c r="G1060" s="31" t="s">
        <v>3997</v>
      </c>
      <c r="H1060" s="16" t="s">
        <v>3585</v>
      </c>
      <c r="I1060" s="198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 x14ac:dyDescent="0.3">
      <c r="A1061" s="123">
        <v>47</v>
      </c>
      <c r="B1061" s="662"/>
      <c r="C1061" s="377">
        <v>45978</v>
      </c>
      <c r="D1061" s="4" t="s">
        <v>3889</v>
      </c>
      <c r="E1061" s="4" t="s">
        <v>30</v>
      </c>
      <c r="F1061" s="31" t="s">
        <v>3999</v>
      </c>
      <c r="G1061" s="198" t="s">
        <v>3974</v>
      </c>
      <c r="H1061" s="16" t="s">
        <v>3585</v>
      </c>
      <c r="I1061" s="198" t="s">
        <v>4000</v>
      </c>
      <c r="J1061" s="198"/>
      <c r="K1061" s="198" t="s">
        <v>4001</v>
      </c>
      <c r="L1061" s="125" t="s">
        <v>84</v>
      </c>
      <c r="M1061" s="93">
        <v>300000</v>
      </c>
      <c r="N1061" s="6" t="s">
        <v>3607</v>
      </c>
    </row>
    <row r="1062" spans="1:14" x14ac:dyDescent="0.3">
      <c r="A1062" s="123">
        <v>47</v>
      </c>
      <c r="B1062" s="662"/>
      <c r="C1062" s="377">
        <v>45979</v>
      </c>
      <c r="D1062" s="4" t="s">
        <v>3544</v>
      </c>
      <c r="E1062" s="4" t="s">
        <v>3438</v>
      </c>
      <c r="F1062" s="298" t="s">
        <v>4002</v>
      </c>
      <c r="G1062" s="31" t="s">
        <v>4003</v>
      </c>
      <c r="H1062" s="16" t="s">
        <v>3585</v>
      </c>
      <c r="I1062" s="321" t="s">
        <v>4004</v>
      </c>
      <c r="J1062" s="31"/>
      <c r="K1062" s="198" t="s">
        <v>3579</v>
      </c>
      <c r="L1062" s="125" t="s">
        <v>3527</v>
      </c>
      <c r="M1062" s="93">
        <v>300000</v>
      </c>
      <c r="N1062" s="6" t="s">
        <v>3247</v>
      </c>
    </row>
    <row r="1063" spans="1:14" x14ac:dyDescent="0.3">
      <c r="A1063" s="123">
        <v>47</v>
      </c>
      <c r="B1063" s="662"/>
      <c r="C1063" s="377">
        <v>45979</v>
      </c>
      <c r="D1063" s="4" t="s">
        <v>3490</v>
      </c>
      <c r="E1063" s="4" t="s">
        <v>3559</v>
      </c>
      <c r="F1063" s="298" t="s">
        <v>3553</v>
      </c>
      <c r="G1063" s="31" t="s">
        <v>3528</v>
      </c>
      <c r="H1063" s="16" t="s">
        <v>4005</v>
      </c>
      <c r="I1063" s="321" t="s">
        <v>4006</v>
      </c>
      <c r="J1063" s="31"/>
      <c r="K1063" s="198" t="s">
        <v>3648</v>
      </c>
      <c r="L1063" s="125" t="s">
        <v>3513</v>
      </c>
      <c r="M1063" s="93">
        <v>250000</v>
      </c>
      <c r="N1063" s="6" t="s">
        <v>3247</v>
      </c>
    </row>
    <row r="1064" spans="1:14" ht="27" x14ac:dyDescent="0.3">
      <c r="A1064" s="123">
        <v>47</v>
      </c>
      <c r="B1064" s="662"/>
      <c r="C1064" s="377">
        <v>45979</v>
      </c>
      <c r="D1064" s="4" t="s">
        <v>3698</v>
      </c>
      <c r="E1064" s="4" t="s">
        <v>3507</v>
      </c>
      <c r="F1064" s="31" t="s">
        <v>158</v>
      </c>
      <c r="G1064" s="198" t="s">
        <v>4007</v>
      </c>
      <c r="H1064" s="16" t="s">
        <v>4005</v>
      </c>
      <c r="I1064" s="198" t="s">
        <v>3394</v>
      </c>
      <c r="J1064" s="198" t="s">
        <v>3801</v>
      </c>
      <c r="K1064" s="198" t="s">
        <v>686</v>
      </c>
      <c r="L1064" s="125" t="s">
        <v>84</v>
      </c>
      <c r="M1064" s="93">
        <v>250000</v>
      </c>
      <c r="N1064" s="6" t="s">
        <v>3798</v>
      </c>
    </row>
    <row r="1065" spans="1:14" ht="27" x14ac:dyDescent="0.3">
      <c r="A1065" s="123">
        <v>47</v>
      </c>
      <c r="B1065" s="662"/>
      <c r="C1065" s="377">
        <v>45979</v>
      </c>
      <c r="D1065" s="4" t="s">
        <v>3490</v>
      </c>
      <c r="E1065" s="4" t="s">
        <v>3552</v>
      </c>
      <c r="F1065" s="31" t="s">
        <v>4008</v>
      </c>
      <c r="G1065" s="198" t="s">
        <v>3974</v>
      </c>
      <c r="H1065" s="16" t="s">
        <v>4005</v>
      </c>
      <c r="I1065" s="198" t="s">
        <v>4009</v>
      </c>
      <c r="J1065" s="198" t="s">
        <v>3801</v>
      </c>
      <c r="K1065" s="198" t="s">
        <v>4010</v>
      </c>
      <c r="L1065" s="125" t="s">
        <v>3557</v>
      </c>
      <c r="M1065" s="93">
        <v>300000</v>
      </c>
      <c r="N1065" s="6" t="s">
        <v>3614</v>
      </c>
    </row>
    <row r="1066" spans="1:14" x14ac:dyDescent="0.3">
      <c r="A1066" s="123">
        <v>47</v>
      </c>
      <c r="B1066" s="662"/>
      <c r="C1066" s="377" t="s">
        <v>4011</v>
      </c>
      <c r="D1066" s="4" t="s">
        <v>3516</v>
      </c>
      <c r="E1066" s="4" t="s">
        <v>3522</v>
      </c>
      <c r="F1066" s="31" t="s">
        <v>4012</v>
      </c>
      <c r="G1066" s="198" t="s">
        <v>4013</v>
      </c>
      <c r="H1066" s="16" t="s">
        <v>3493</v>
      </c>
      <c r="I1066" s="198" t="s">
        <v>4015</v>
      </c>
      <c r="J1066" s="198" t="s">
        <v>3525</v>
      </c>
      <c r="K1066" s="198" t="s">
        <v>4016</v>
      </c>
      <c r="L1066" s="125" t="s">
        <v>84</v>
      </c>
      <c r="M1066" s="93">
        <v>600000</v>
      </c>
      <c r="N1066" s="6" t="s">
        <v>3551</v>
      </c>
    </row>
    <row r="1067" spans="1:14" x14ac:dyDescent="0.3">
      <c r="A1067" s="123">
        <v>47</v>
      </c>
      <c r="B1067" s="662"/>
      <c r="C1067" s="377" t="s">
        <v>4017</v>
      </c>
      <c r="D1067" s="4" t="s">
        <v>3506</v>
      </c>
      <c r="E1067" s="4" t="s">
        <v>3582</v>
      </c>
      <c r="F1067" s="31" t="s">
        <v>4018</v>
      </c>
      <c r="G1067" s="198" t="s">
        <v>4013</v>
      </c>
      <c r="H1067" s="16" t="s">
        <v>3503</v>
      </c>
      <c r="I1067" s="198" t="s">
        <v>4014</v>
      </c>
      <c r="J1067" s="198" t="s">
        <v>3617</v>
      </c>
      <c r="K1067" s="198" t="s">
        <v>3672</v>
      </c>
      <c r="L1067" s="125" t="s">
        <v>3527</v>
      </c>
      <c r="M1067" s="93">
        <v>500000</v>
      </c>
      <c r="N1067" s="6" t="s">
        <v>3803</v>
      </c>
    </row>
    <row r="1068" spans="1:14" ht="27" x14ac:dyDescent="0.3">
      <c r="A1068" s="123">
        <v>47</v>
      </c>
      <c r="B1068" s="662"/>
      <c r="C1068" s="377">
        <v>45980</v>
      </c>
      <c r="D1068" s="4" t="s">
        <v>3516</v>
      </c>
      <c r="E1068" s="4" t="s">
        <v>17</v>
      </c>
      <c r="F1068" s="31" t="s">
        <v>3656</v>
      </c>
      <c r="G1068" s="198" t="s">
        <v>3904</v>
      </c>
      <c r="H1068" s="16" t="s">
        <v>3906</v>
      </c>
      <c r="I1068" s="198" t="s">
        <v>3912</v>
      </c>
      <c r="J1068" s="31"/>
      <c r="K1068" s="198" t="s">
        <v>3618</v>
      </c>
      <c r="L1068" s="125" t="s">
        <v>84</v>
      </c>
      <c r="M1068" s="93">
        <v>300000</v>
      </c>
      <c r="N1068" s="6" t="s">
        <v>3914</v>
      </c>
    </row>
    <row r="1069" spans="1:14" x14ac:dyDescent="0.3">
      <c r="A1069" s="123">
        <v>47</v>
      </c>
      <c r="B1069" s="662"/>
      <c r="C1069" s="377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8" t="s">
        <v>4020</v>
      </c>
      <c r="J1069" s="198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 x14ac:dyDescent="0.3">
      <c r="A1070" s="123">
        <v>47</v>
      </c>
      <c r="B1070" s="662"/>
      <c r="C1070" s="377">
        <v>45982</v>
      </c>
      <c r="D1070" s="4" t="s">
        <v>3437</v>
      </c>
      <c r="E1070" s="4" t="s">
        <v>3559</v>
      </c>
      <c r="F1070" s="298" t="s">
        <v>3546</v>
      </c>
      <c r="G1070" s="31" t="s">
        <v>3576</v>
      </c>
      <c r="H1070" s="16" t="s">
        <v>4021</v>
      </c>
      <c r="I1070" s="321" t="s">
        <v>4022</v>
      </c>
      <c r="J1070" s="31"/>
      <c r="K1070" s="198" t="s">
        <v>4023</v>
      </c>
      <c r="L1070" s="125" t="s">
        <v>309</v>
      </c>
      <c r="M1070" s="93">
        <v>300000</v>
      </c>
      <c r="N1070" s="6" t="s">
        <v>3561</v>
      </c>
    </row>
    <row r="1071" spans="1:14" ht="24" x14ac:dyDescent="0.3">
      <c r="A1071" s="123">
        <v>47</v>
      </c>
      <c r="B1071" s="662"/>
      <c r="C1071" s="377">
        <v>45982</v>
      </c>
      <c r="D1071" s="4" t="s">
        <v>21</v>
      </c>
      <c r="E1071" s="4" t="s">
        <v>3507</v>
      </c>
      <c r="F1071" s="298" t="s">
        <v>3571</v>
      </c>
      <c r="G1071" s="31" t="s">
        <v>3576</v>
      </c>
      <c r="H1071" s="16" t="s">
        <v>4024</v>
      </c>
      <c r="I1071" s="321" t="s">
        <v>4025</v>
      </c>
      <c r="J1071" s="31"/>
      <c r="K1071" s="198" t="s">
        <v>3881</v>
      </c>
      <c r="L1071" s="125" t="s">
        <v>309</v>
      </c>
      <c r="M1071" s="93">
        <v>250000</v>
      </c>
      <c r="N1071" s="6" t="s">
        <v>3561</v>
      </c>
    </row>
    <row r="1072" spans="1:14" x14ac:dyDescent="0.3">
      <c r="A1072" s="123">
        <v>48</v>
      </c>
      <c r="B1072" s="662" t="s">
        <v>4026</v>
      </c>
      <c r="C1072" s="416" t="s">
        <v>4027</v>
      </c>
      <c r="D1072" s="4" t="s">
        <v>306</v>
      </c>
      <c r="E1072" s="4" t="s">
        <v>322</v>
      </c>
      <c r="F1072" s="4" t="s">
        <v>307</v>
      </c>
      <c r="G1072" s="198">
        <v>3011</v>
      </c>
      <c r="H1072" s="125" t="s">
        <v>3585</v>
      </c>
      <c r="I1072" s="413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 x14ac:dyDescent="0.3">
      <c r="A1073" s="123">
        <v>48</v>
      </c>
      <c r="B1073" s="662"/>
      <c r="C1073" s="416" t="s">
        <v>4030</v>
      </c>
      <c r="D1073" s="4" t="s">
        <v>306</v>
      </c>
      <c r="E1073" s="4" t="s">
        <v>322</v>
      </c>
      <c r="F1073" s="4" t="s">
        <v>307</v>
      </c>
      <c r="G1073" s="198" t="s">
        <v>4031</v>
      </c>
      <c r="H1073" s="125" t="s">
        <v>23</v>
      </c>
      <c r="I1073" s="413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 x14ac:dyDescent="0.3">
      <c r="A1074" s="123">
        <v>48</v>
      </c>
      <c r="B1074" s="662"/>
      <c r="C1074" s="416" t="s">
        <v>4030</v>
      </c>
      <c r="D1074" s="4" t="s">
        <v>306</v>
      </c>
      <c r="E1074" s="4" t="s">
        <v>322</v>
      </c>
      <c r="F1074" s="4" t="s">
        <v>307</v>
      </c>
      <c r="G1074" s="198">
        <v>3006</v>
      </c>
      <c r="H1074" s="125" t="s">
        <v>3670</v>
      </c>
      <c r="I1074" s="413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662" t="s">
        <v>3544</v>
      </c>
      <c r="C1075" s="377">
        <v>45978</v>
      </c>
      <c r="D1075" s="4" t="s">
        <v>3558</v>
      </c>
      <c r="E1075" s="4" t="s">
        <v>3582</v>
      </c>
      <c r="F1075" s="31" t="s">
        <v>4035</v>
      </c>
      <c r="G1075" s="198" t="s">
        <v>3990</v>
      </c>
      <c r="H1075" s="16" t="s">
        <v>23</v>
      </c>
      <c r="I1075" s="198" t="s">
        <v>4036</v>
      </c>
      <c r="J1075" s="198"/>
      <c r="K1075" s="198" t="s">
        <v>3587</v>
      </c>
      <c r="L1075" s="125" t="s">
        <v>84</v>
      </c>
      <c r="M1075" s="93">
        <v>300000</v>
      </c>
      <c r="N1075" s="6" t="s">
        <v>4037</v>
      </c>
    </row>
    <row r="1076" spans="1:14" x14ac:dyDescent="0.3">
      <c r="A1076" s="123">
        <v>48</v>
      </c>
      <c r="B1076" s="662"/>
      <c r="C1076" s="377">
        <v>45979</v>
      </c>
      <c r="D1076" s="4" t="s">
        <v>3516</v>
      </c>
      <c r="E1076" s="4" t="s">
        <v>3500</v>
      </c>
      <c r="F1076" s="198" t="s">
        <v>4038</v>
      </c>
      <c r="G1076" s="31" t="s">
        <v>4039</v>
      </c>
      <c r="H1076" s="16" t="s">
        <v>3844</v>
      </c>
      <c r="I1076" s="198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 x14ac:dyDescent="0.3">
      <c r="A1077" s="123">
        <v>48</v>
      </c>
      <c r="B1077" s="662"/>
      <c r="C1077" s="377">
        <v>45980</v>
      </c>
      <c r="D1077" s="4" t="s">
        <v>3506</v>
      </c>
      <c r="E1077" s="4" t="s">
        <v>3500</v>
      </c>
      <c r="F1077" s="31" t="s">
        <v>3553</v>
      </c>
      <c r="G1077" s="198" t="s">
        <v>4043</v>
      </c>
      <c r="H1077" s="16" t="s">
        <v>1382</v>
      </c>
      <c r="I1077" s="198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 x14ac:dyDescent="0.3">
      <c r="A1078" s="123">
        <v>48</v>
      </c>
      <c r="B1078" s="662"/>
      <c r="C1078" s="377">
        <v>45981</v>
      </c>
      <c r="D1078" s="4" t="s">
        <v>3506</v>
      </c>
      <c r="E1078" s="4" t="s">
        <v>3582</v>
      </c>
      <c r="F1078" s="31" t="s">
        <v>158</v>
      </c>
      <c r="G1078" s="198" t="s">
        <v>4047</v>
      </c>
      <c r="H1078" s="16" t="s">
        <v>3585</v>
      </c>
      <c r="I1078" s="198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 x14ac:dyDescent="0.3">
      <c r="A1079" s="123">
        <v>48</v>
      </c>
      <c r="B1079" s="662"/>
      <c r="C1079" s="377">
        <v>45981</v>
      </c>
      <c r="D1079" s="4" t="s">
        <v>3544</v>
      </c>
      <c r="E1079" s="4" t="s">
        <v>30</v>
      </c>
      <c r="F1079" s="198" t="s">
        <v>4050</v>
      </c>
      <c r="G1079" s="31" t="s">
        <v>4051</v>
      </c>
      <c r="H1079" s="16" t="s">
        <v>3503</v>
      </c>
      <c r="I1079" s="198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 x14ac:dyDescent="0.3">
      <c r="A1080" s="123">
        <v>48</v>
      </c>
      <c r="B1080" s="662"/>
      <c r="C1080" s="377">
        <v>45983</v>
      </c>
      <c r="D1080" s="4" t="s">
        <v>3544</v>
      </c>
      <c r="E1080" s="4" t="s">
        <v>3559</v>
      </c>
      <c r="F1080" s="31" t="s">
        <v>4055</v>
      </c>
      <c r="G1080" s="198" t="s">
        <v>3975</v>
      </c>
      <c r="H1080" s="16" t="s">
        <v>4056</v>
      </c>
      <c r="I1080" s="198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 x14ac:dyDescent="0.3">
      <c r="A1081" s="123">
        <v>48</v>
      </c>
      <c r="B1081" s="662"/>
      <c r="C1081" s="377">
        <v>45984</v>
      </c>
      <c r="D1081" s="4" t="s">
        <v>3489</v>
      </c>
      <c r="E1081" s="4" t="s">
        <v>3559</v>
      </c>
      <c r="F1081" s="198" t="s">
        <v>3533</v>
      </c>
      <c r="G1081" s="31">
        <v>3307</v>
      </c>
      <c r="H1081" s="4" t="s">
        <v>811</v>
      </c>
      <c r="I1081" s="198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 x14ac:dyDescent="0.3">
      <c r="A1082" s="123">
        <v>48</v>
      </c>
      <c r="B1082" s="662"/>
      <c r="C1082" s="377">
        <v>45985</v>
      </c>
      <c r="D1082" s="4" t="s">
        <v>3506</v>
      </c>
      <c r="E1082" s="4" t="s">
        <v>3522</v>
      </c>
      <c r="F1082" s="198" t="s">
        <v>4062</v>
      </c>
      <c r="G1082" s="31" t="s">
        <v>4063</v>
      </c>
      <c r="H1082" s="16" t="s">
        <v>3547</v>
      </c>
      <c r="I1082" s="198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 x14ac:dyDescent="0.3">
      <c r="A1083" s="123">
        <v>48</v>
      </c>
      <c r="B1083" s="662"/>
      <c r="C1083" s="377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8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 x14ac:dyDescent="0.3">
      <c r="A1084" s="123">
        <v>48</v>
      </c>
      <c r="B1084" s="662"/>
      <c r="C1084" s="377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8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 x14ac:dyDescent="0.3">
      <c r="A1085" s="123">
        <v>48</v>
      </c>
      <c r="B1085" s="662"/>
      <c r="C1085" s="377" t="s">
        <v>4071</v>
      </c>
      <c r="D1085" s="4" t="s">
        <v>21</v>
      </c>
      <c r="E1085" s="4" t="s">
        <v>3507</v>
      </c>
      <c r="F1085" s="31" t="s">
        <v>4035</v>
      </c>
      <c r="G1085" s="198" t="s">
        <v>4072</v>
      </c>
      <c r="H1085" s="16" t="s">
        <v>4073</v>
      </c>
      <c r="I1085" s="198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 x14ac:dyDescent="0.3">
      <c r="A1086" s="123">
        <v>48</v>
      </c>
      <c r="B1086" s="662"/>
      <c r="C1086" s="377">
        <v>45986</v>
      </c>
      <c r="D1086" s="4" t="s">
        <v>3544</v>
      </c>
      <c r="E1086" s="4" t="s">
        <v>4075</v>
      </c>
      <c r="F1086" s="31" t="s">
        <v>3508</v>
      </c>
      <c r="G1086" s="198" t="s">
        <v>4076</v>
      </c>
      <c r="H1086" s="16" t="s">
        <v>4077</v>
      </c>
      <c r="I1086" s="198" t="s">
        <v>4078</v>
      </c>
      <c r="J1086" s="31"/>
      <c r="K1086" s="198" t="s">
        <v>4079</v>
      </c>
      <c r="L1086" s="125" t="s">
        <v>84</v>
      </c>
      <c r="M1086" s="93">
        <v>300000</v>
      </c>
      <c r="N1086" s="6" t="s">
        <v>4080</v>
      </c>
    </row>
    <row r="1087" spans="1:14" ht="27" x14ac:dyDescent="0.3">
      <c r="A1087" s="123">
        <v>48</v>
      </c>
      <c r="B1087" s="662"/>
      <c r="C1087" s="377">
        <v>45986</v>
      </c>
      <c r="D1087" s="4" t="s">
        <v>3698</v>
      </c>
      <c r="E1087" s="4" t="s">
        <v>3597</v>
      </c>
      <c r="F1087" s="31" t="s">
        <v>3662</v>
      </c>
      <c r="G1087" s="198" t="s">
        <v>4081</v>
      </c>
      <c r="H1087" s="16" t="s">
        <v>4082</v>
      </c>
      <c r="I1087" s="198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 x14ac:dyDescent="0.3">
      <c r="A1088" s="123">
        <v>48</v>
      </c>
      <c r="B1088" s="662"/>
      <c r="C1088" s="377">
        <v>45987</v>
      </c>
      <c r="D1088" s="4" t="s">
        <v>21</v>
      </c>
      <c r="E1088" s="4" t="s">
        <v>3850</v>
      </c>
      <c r="F1088" s="31" t="s">
        <v>3642</v>
      </c>
      <c r="G1088" s="198" t="s">
        <v>4081</v>
      </c>
      <c r="H1088" s="16" t="s">
        <v>3905</v>
      </c>
      <c r="I1088" s="198" t="s">
        <v>4086</v>
      </c>
      <c r="J1088" s="31" t="s">
        <v>120</v>
      </c>
      <c r="K1088" s="198" t="s">
        <v>3556</v>
      </c>
      <c r="L1088" s="125" t="s">
        <v>3802</v>
      </c>
      <c r="M1088" s="93">
        <v>250000</v>
      </c>
      <c r="N1088" s="6" t="s">
        <v>4087</v>
      </c>
    </row>
    <row r="1089" spans="1:14" ht="27" x14ac:dyDescent="0.3">
      <c r="A1089" s="123">
        <v>48</v>
      </c>
      <c r="B1089" s="662"/>
      <c r="C1089" s="377">
        <v>45987</v>
      </c>
      <c r="D1089" s="4" t="s">
        <v>21</v>
      </c>
      <c r="E1089" s="4" t="s">
        <v>3592</v>
      </c>
      <c r="F1089" s="31" t="s">
        <v>3732</v>
      </c>
      <c r="G1089" s="198" t="s">
        <v>4076</v>
      </c>
      <c r="H1089" s="16" t="s">
        <v>4088</v>
      </c>
      <c r="I1089" s="198" t="s">
        <v>4089</v>
      </c>
      <c r="J1089" s="31" t="s">
        <v>3525</v>
      </c>
      <c r="K1089" s="198" t="s">
        <v>3332</v>
      </c>
      <c r="L1089" s="125" t="s">
        <v>3588</v>
      </c>
      <c r="M1089" s="93">
        <v>300000</v>
      </c>
      <c r="N1089" s="6" t="s">
        <v>4090</v>
      </c>
    </row>
    <row r="1090" spans="1:14" x14ac:dyDescent="0.3">
      <c r="A1090" s="123">
        <v>48</v>
      </c>
      <c r="B1090" s="662"/>
      <c r="C1090" s="377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8" t="s">
        <v>4091</v>
      </c>
      <c r="J1090" s="31" t="s">
        <v>3578</v>
      </c>
      <c r="K1090" s="198" t="s">
        <v>3956</v>
      </c>
      <c r="L1090" s="125" t="s">
        <v>3497</v>
      </c>
      <c r="M1090" s="93">
        <v>250000</v>
      </c>
      <c r="N1090" s="6" t="s">
        <v>4080</v>
      </c>
    </row>
    <row r="1091" spans="1:14" x14ac:dyDescent="0.3">
      <c r="A1091" s="123">
        <v>49</v>
      </c>
      <c r="B1091" s="662" t="s">
        <v>175</v>
      </c>
      <c r="C1091" s="416">
        <v>45966</v>
      </c>
      <c r="D1091" s="4" t="s">
        <v>306</v>
      </c>
      <c r="E1091" s="4" t="s">
        <v>322</v>
      </c>
      <c r="F1091" s="4" t="s">
        <v>307</v>
      </c>
      <c r="G1091" s="198" t="s">
        <v>3479</v>
      </c>
      <c r="H1091" s="125" t="s">
        <v>482</v>
      </c>
      <c r="I1091" s="413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 x14ac:dyDescent="0.3">
      <c r="A1092" s="123">
        <v>49</v>
      </c>
      <c r="B1092" s="662"/>
      <c r="C1092" s="416">
        <v>45967</v>
      </c>
      <c r="D1092" s="4" t="s">
        <v>306</v>
      </c>
      <c r="E1092" s="4" t="s">
        <v>322</v>
      </c>
      <c r="F1092" s="4" t="s">
        <v>307</v>
      </c>
      <c r="G1092" s="198" t="s">
        <v>4094</v>
      </c>
      <c r="H1092" s="125" t="s">
        <v>4095</v>
      </c>
      <c r="I1092" s="413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 x14ac:dyDescent="0.3">
      <c r="A1093" s="123">
        <v>49</v>
      </c>
      <c r="B1093" s="662"/>
      <c r="C1093" s="416">
        <v>45968</v>
      </c>
      <c r="D1093" s="4" t="s">
        <v>306</v>
      </c>
      <c r="E1093" s="4" t="s">
        <v>322</v>
      </c>
      <c r="F1093" s="4" t="s">
        <v>307</v>
      </c>
      <c r="G1093" s="198">
        <v>3011</v>
      </c>
      <c r="H1093" s="125" t="s">
        <v>3585</v>
      </c>
      <c r="I1093" s="413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 x14ac:dyDescent="0.3">
      <c r="A1094" s="123">
        <v>49</v>
      </c>
      <c r="B1094" s="662"/>
      <c r="C1094" s="416">
        <v>45982</v>
      </c>
      <c r="D1094" s="4" t="s">
        <v>306</v>
      </c>
      <c r="E1094" s="4" t="s">
        <v>322</v>
      </c>
      <c r="F1094" s="4" t="s">
        <v>4099</v>
      </c>
      <c r="G1094" s="198" t="s">
        <v>4100</v>
      </c>
      <c r="H1094" s="125" t="s">
        <v>3635</v>
      </c>
      <c r="I1094" s="413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 x14ac:dyDescent="0.3">
      <c r="A1095" s="123">
        <v>49</v>
      </c>
      <c r="B1095" s="662"/>
      <c r="C1095" s="416" t="s">
        <v>4102</v>
      </c>
      <c r="D1095" s="4" t="s">
        <v>306</v>
      </c>
      <c r="E1095" s="4" t="s">
        <v>322</v>
      </c>
      <c r="F1095" s="4" t="s">
        <v>307</v>
      </c>
      <c r="G1095" s="198">
        <v>3011</v>
      </c>
      <c r="H1095" s="125" t="s">
        <v>3547</v>
      </c>
      <c r="I1095" s="413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 x14ac:dyDescent="0.3">
      <c r="A1096" s="123">
        <v>49</v>
      </c>
      <c r="B1096" s="662"/>
      <c r="C1096" s="416">
        <v>45992</v>
      </c>
      <c r="D1096" s="4" t="s">
        <v>306</v>
      </c>
      <c r="E1096" s="4" t="s">
        <v>322</v>
      </c>
      <c r="F1096" s="4" t="s">
        <v>307</v>
      </c>
      <c r="G1096" s="198">
        <v>3006</v>
      </c>
      <c r="H1096" s="125" t="s">
        <v>3844</v>
      </c>
      <c r="I1096" s="413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 x14ac:dyDescent="0.3">
      <c r="A1097" s="123">
        <v>49</v>
      </c>
      <c r="B1097" s="662"/>
      <c r="C1097" s="416">
        <v>45992</v>
      </c>
      <c r="D1097" s="4" t="s">
        <v>306</v>
      </c>
      <c r="E1097" s="4" t="s">
        <v>322</v>
      </c>
      <c r="F1097" s="4" t="s">
        <v>307</v>
      </c>
      <c r="G1097" s="198" t="s">
        <v>4031</v>
      </c>
      <c r="H1097" s="125" t="s">
        <v>23</v>
      </c>
      <c r="I1097" s="413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 x14ac:dyDescent="0.3">
      <c r="A1098" s="123">
        <v>49</v>
      </c>
      <c r="B1098" s="662"/>
      <c r="C1098" s="416" t="s">
        <v>4105</v>
      </c>
      <c r="D1098" s="4" t="s">
        <v>306</v>
      </c>
      <c r="E1098" s="4" t="s">
        <v>322</v>
      </c>
      <c r="F1098" s="4" t="s">
        <v>307</v>
      </c>
      <c r="G1098" s="198">
        <v>3006</v>
      </c>
      <c r="H1098" s="125" t="s">
        <v>3420</v>
      </c>
      <c r="I1098" s="413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662"/>
      <c r="C1099" s="416" t="s">
        <v>4106</v>
      </c>
      <c r="D1099" s="4" t="s">
        <v>306</v>
      </c>
      <c r="E1099" s="4" t="s">
        <v>322</v>
      </c>
      <c r="F1099" s="4" t="s">
        <v>307</v>
      </c>
      <c r="G1099" s="198" t="s">
        <v>3962</v>
      </c>
      <c r="H1099" s="125" t="s">
        <v>3529</v>
      </c>
      <c r="I1099" s="413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662" t="s">
        <v>3558</v>
      </c>
      <c r="C1100" s="377">
        <v>45987</v>
      </c>
      <c r="D1100" s="4" t="s">
        <v>3506</v>
      </c>
      <c r="E1100" s="4" t="s">
        <v>30</v>
      </c>
      <c r="F1100" s="31" t="s">
        <v>158</v>
      </c>
      <c r="G1100" s="198" t="s">
        <v>3975</v>
      </c>
      <c r="H1100" s="16" t="s">
        <v>3547</v>
      </c>
      <c r="I1100" s="198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 x14ac:dyDescent="0.3">
      <c r="A1101" s="123">
        <v>49</v>
      </c>
      <c r="B1101" s="662"/>
      <c r="C1101" s="377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8" t="s">
        <v>4109</v>
      </c>
      <c r="J1101" s="198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 x14ac:dyDescent="0.3">
      <c r="A1102" s="123">
        <v>49</v>
      </c>
      <c r="B1102" s="662"/>
      <c r="C1102" s="377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8" t="s">
        <v>4113</v>
      </c>
      <c r="J1102" s="31"/>
      <c r="K1102" s="198" t="s">
        <v>4114</v>
      </c>
      <c r="L1102" s="125" t="s">
        <v>3557</v>
      </c>
      <c r="M1102" s="60">
        <v>300000</v>
      </c>
      <c r="N1102" s="6" t="s">
        <v>3561</v>
      </c>
    </row>
    <row r="1103" spans="1:14" x14ac:dyDescent="0.3">
      <c r="A1103" s="123">
        <v>49</v>
      </c>
      <c r="B1103" s="662"/>
      <c r="C1103" s="377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8" t="s">
        <v>4118</v>
      </c>
      <c r="J1103" s="31" t="s">
        <v>3495</v>
      </c>
      <c r="K1103" s="198" t="s">
        <v>3956</v>
      </c>
      <c r="L1103" s="125" t="s">
        <v>3603</v>
      </c>
      <c r="M1103" s="93">
        <v>250000</v>
      </c>
      <c r="N1103" s="6" t="s">
        <v>4119</v>
      </c>
    </row>
    <row r="1104" spans="1:14" x14ac:dyDescent="0.3">
      <c r="A1104" s="123">
        <v>49</v>
      </c>
      <c r="B1104" s="662"/>
      <c r="C1104" s="377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8" t="s">
        <v>4121</v>
      </c>
      <c r="J1104" s="198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 x14ac:dyDescent="0.3">
      <c r="A1105" s="123">
        <v>49</v>
      </c>
      <c r="B1105" s="662"/>
      <c r="C1105" s="377">
        <v>45993</v>
      </c>
      <c r="D1105" s="4" t="s">
        <v>3516</v>
      </c>
      <c r="E1105" s="4" t="s">
        <v>3592</v>
      </c>
      <c r="F1105" s="31" t="s">
        <v>3642</v>
      </c>
      <c r="G1105" s="198" t="s">
        <v>4081</v>
      </c>
      <c r="H1105" s="16" t="s">
        <v>4122</v>
      </c>
      <c r="I1105" s="198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 x14ac:dyDescent="0.3">
      <c r="A1106" s="123">
        <v>49</v>
      </c>
      <c r="B1106" s="662"/>
      <c r="C1106" s="377">
        <v>45993</v>
      </c>
      <c r="D1106" s="4" t="s">
        <v>3570</v>
      </c>
      <c r="E1106" s="4" t="s">
        <v>4125</v>
      </c>
      <c r="F1106" s="31" t="s">
        <v>2454</v>
      </c>
      <c r="G1106" s="198" t="s">
        <v>4126</v>
      </c>
      <c r="H1106" s="16" t="s">
        <v>4127</v>
      </c>
      <c r="I1106" s="198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 x14ac:dyDescent="0.3">
      <c r="A1107" s="123">
        <v>49</v>
      </c>
      <c r="B1107" s="662"/>
      <c r="C1107" s="377">
        <v>45993</v>
      </c>
      <c r="D1107" s="4" t="s">
        <v>3516</v>
      </c>
      <c r="E1107" s="4" t="s">
        <v>17</v>
      </c>
      <c r="F1107" s="31" t="s">
        <v>3508</v>
      </c>
      <c r="G1107" s="198" t="s">
        <v>4129</v>
      </c>
      <c r="H1107" s="16" t="s">
        <v>4130</v>
      </c>
      <c r="I1107" s="198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 x14ac:dyDescent="0.3">
      <c r="A1108" s="123">
        <v>49</v>
      </c>
      <c r="B1108" s="662"/>
      <c r="C1108" s="377">
        <v>45993</v>
      </c>
      <c r="D1108" s="4" t="s">
        <v>3570</v>
      </c>
      <c r="E1108" s="4" t="s">
        <v>17</v>
      </c>
      <c r="F1108" s="31" t="s">
        <v>3642</v>
      </c>
      <c r="G1108" s="198" t="s">
        <v>3946</v>
      </c>
      <c r="H1108" s="16" t="s">
        <v>4134</v>
      </c>
      <c r="I1108" s="198" t="s">
        <v>4135</v>
      </c>
      <c r="J1108" s="31" t="s">
        <v>4084</v>
      </c>
      <c r="K1108" s="198" t="s">
        <v>4034</v>
      </c>
      <c r="L1108" s="125"/>
      <c r="M1108" s="93">
        <v>500000</v>
      </c>
      <c r="N1108" s="6" t="s">
        <v>4090</v>
      </c>
    </row>
    <row r="1109" spans="1:14" x14ac:dyDescent="0.3">
      <c r="A1109" s="123">
        <v>49</v>
      </c>
      <c r="B1109" s="662"/>
      <c r="C1109" s="377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8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 x14ac:dyDescent="0.3">
      <c r="A1110" s="123">
        <v>49</v>
      </c>
      <c r="B1110" s="662"/>
      <c r="C1110" s="377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8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 x14ac:dyDescent="0.3">
      <c r="A1111" s="123">
        <v>49</v>
      </c>
      <c r="B1111" s="662"/>
      <c r="C1111" s="377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8" t="s">
        <v>4146</v>
      </c>
      <c r="J1111" s="31" t="s">
        <v>120</v>
      </c>
      <c r="K1111" s="198" t="s">
        <v>3672</v>
      </c>
      <c r="L1111" s="125" t="s">
        <v>3497</v>
      </c>
      <c r="M1111" s="93">
        <v>500000</v>
      </c>
      <c r="N1111" s="6" t="s">
        <v>4147</v>
      </c>
    </row>
    <row r="1112" spans="1:14" x14ac:dyDescent="0.3">
      <c r="A1112" s="123">
        <v>49</v>
      </c>
      <c r="B1112" s="662"/>
      <c r="C1112" s="377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8" t="s">
        <v>4151</v>
      </c>
      <c r="J1112" s="31" t="s">
        <v>3495</v>
      </c>
      <c r="K1112" s="198" t="s">
        <v>4152</v>
      </c>
      <c r="L1112" s="125" t="s">
        <v>3542</v>
      </c>
      <c r="M1112" s="93">
        <v>600000</v>
      </c>
      <c r="N1112" s="6" t="s">
        <v>4119</v>
      </c>
    </row>
    <row r="1113" spans="1:14" x14ac:dyDescent="0.3">
      <c r="A1113" s="123">
        <v>49</v>
      </c>
      <c r="B1113" s="662"/>
      <c r="C1113" s="377">
        <v>45995</v>
      </c>
      <c r="D1113" s="4" t="s">
        <v>21</v>
      </c>
      <c r="E1113" s="4" t="s">
        <v>3582</v>
      </c>
      <c r="F1113" s="31" t="s">
        <v>4111</v>
      </c>
      <c r="G1113" s="198" t="s">
        <v>4153</v>
      </c>
      <c r="H1113" s="16" t="s">
        <v>4154</v>
      </c>
      <c r="I1113" s="428" t="s">
        <v>4155</v>
      </c>
      <c r="J1113" s="198" t="s">
        <v>3612</v>
      </c>
      <c r="K1113" s="198" t="s">
        <v>3648</v>
      </c>
      <c r="L1113" s="125" t="s">
        <v>3527</v>
      </c>
      <c r="M1113" s="93">
        <v>250000</v>
      </c>
      <c r="N1113" s="6" t="s">
        <v>1655</v>
      </c>
    </row>
    <row r="1114" spans="1:14" x14ac:dyDescent="0.3">
      <c r="A1114" s="123">
        <v>49</v>
      </c>
      <c r="B1114" s="662"/>
      <c r="C1114" s="377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8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 x14ac:dyDescent="0.3">
      <c r="A1115" s="123">
        <v>50</v>
      </c>
      <c r="B1115" s="662" t="s">
        <v>3416</v>
      </c>
      <c r="C1115" s="416">
        <v>45995</v>
      </c>
      <c r="D1115" s="4" t="s">
        <v>306</v>
      </c>
      <c r="E1115" s="4" t="s">
        <v>322</v>
      </c>
      <c r="F1115" s="4" t="s">
        <v>307</v>
      </c>
      <c r="G1115" s="198">
        <v>3006</v>
      </c>
      <c r="H1115" s="125" t="s">
        <v>3585</v>
      </c>
      <c r="I1115" s="413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 x14ac:dyDescent="0.3">
      <c r="A1116" s="123">
        <v>50</v>
      </c>
      <c r="B1116" s="662"/>
      <c r="C1116" s="416">
        <v>45996</v>
      </c>
      <c r="D1116" s="4" t="s">
        <v>306</v>
      </c>
      <c r="E1116" s="4" t="s">
        <v>322</v>
      </c>
      <c r="F1116" s="4" t="s">
        <v>307</v>
      </c>
      <c r="G1116" s="198" t="s">
        <v>3390</v>
      </c>
      <c r="H1116" s="125" t="s">
        <v>3493</v>
      </c>
      <c r="I1116" s="413" t="s">
        <v>4032</v>
      </c>
      <c r="J1116" s="4" t="s">
        <v>3568</v>
      </c>
      <c r="K1116" s="4" t="s">
        <v>3712</v>
      </c>
      <c r="L1116" s="4"/>
      <c r="M1116" s="429">
        <v>250000</v>
      </c>
      <c r="N1116" s="430" t="s">
        <v>4159</v>
      </c>
    </row>
    <row r="1117" spans="1:14" x14ac:dyDescent="0.3">
      <c r="A1117" s="123">
        <v>50</v>
      </c>
      <c r="B1117" s="662"/>
      <c r="C1117" s="431">
        <v>45997</v>
      </c>
      <c r="D1117" s="250" t="s">
        <v>306</v>
      </c>
      <c r="E1117" s="250" t="s">
        <v>322</v>
      </c>
      <c r="F1117" s="250" t="s">
        <v>307</v>
      </c>
      <c r="G1117" s="149" t="s">
        <v>3405</v>
      </c>
      <c r="H1117" s="148" t="s">
        <v>662</v>
      </c>
      <c r="I1117" s="413" t="s">
        <v>4160</v>
      </c>
      <c r="J1117" s="4" t="s">
        <v>664</v>
      </c>
      <c r="K1117" s="4" t="s">
        <v>4162</v>
      </c>
      <c r="L1117" s="4"/>
      <c r="M1117" s="432">
        <v>500000</v>
      </c>
      <c r="N1117" s="4" t="s">
        <v>4159</v>
      </c>
    </row>
    <row r="1118" spans="1:14" x14ac:dyDescent="0.3">
      <c r="A1118" s="123">
        <v>50</v>
      </c>
      <c r="B1118" s="662"/>
      <c r="C1118" s="416" t="s">
        <v>4163</v>
      </c>
      <c r="D1118" s="4" t="s">
        <v>306</v>
      </c>
      <c r="E1118" s="4" t="s">
        <v>322</v>
      </c>
      <c r="F1118" s="4" t="s">
        <v>307</v>
      </c>
      <c r="G1118" s="198" t="s">
        <v>3962</v>
      </c>
      <c r="H1118" s="125" t="s">
        <v>4150</v>
      </c>
      <c r="I1118" s="413" t="s">
        <v>3775</v>
      </c>
      <c r="J1118" s="4" t="s">
        <v>737</v>
      </c>
      <c r="K1118" s="4" t="s">
        <v>3832</v>
      </c>
      <c r="L1118" s="4"/>
      <c r="M1118" s="429">
        <v>750000</v>
      </c>
      <c r="N1118" s="430"/>
    </row>
    <row r="1119" spans="1:14" x14ac:dyDescent="0.3">
      <c r="A1119" s="123">
        <v>50</v>
      </c>
      <c r="B1119" s="662"/>
      <c r="C1119" s="416" t="s">
        <v>4164</v>
      </c>
      <c r="D1119" s="4" t="s">
        <v>306</v>
      </c>
      <c r="E1119" s="4" t="s">
        <v>322</v>
      </c>
      <c r="F1119" s="4" t="s">
        <v>307</v>
      </c>
      <c r="G1119" s="198" t="s">
        <v>4165</v>
      </c>
      <c r="H1119" s="125" t="s">
        <v>3585</v>
      </c>
      <c r="I1119" s="413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662" t="s">
        <v>21</v>
      </c>
      <c r="C1120" s="377">
        <v>45997</v>
      </c>
      <c r="D1120" s="4" t="s">
        <v>3489</v>
      </c>
      <c r="E1120" s="4" t="s">
        <v>3522</v>
      </c>
      <c r="F1120" s="31" t="s">
        <v>3999</v>
      </c>
      <c r="G1120" s="198" t="s">
        <v>4167</v>
      </c>
      <c r="H1120" s="16" t="s">
        <v>3984</v>
      </c>
      <c r="I1120" s="198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 x14ac:dyDescent="0.3">
      <c r="A1121" s="123">
        <v>50</v>
      </c>
      <c r="B1121" s="662"/>
      <c r="C1121" s="377">
        <v>45997</v>
      </c>
      <c r="D1121" s="4" t="s">
        <v>3516</v>
      </c>
      <c r="E1121" s="4" t="s">
        <v>17</v>
      </c>
      <c r="F1121" s="31" t="s">
        <v>3695</v>
      </c>
      <c r="G1121" s="198" t="s">
        <v>3904</v>
      </c>
      <c r="H1121" s="16" t="s">
        <v>4134</v>
      </c>
      <c r="I1121" s="198" t="s">
        <v>4171</v>
      </c>
      <c r="J1121" s="31" t="s">
        <v>4172</v>
      </c>
      <c r="K1121" s="198" t="s">
        <v>4104</v>
      </c>
      <c r="L1121" s="125" t="s">
        <v>3580</v>
      </c>
      <c r="M1121" s="93">
        <v>250000</v>
      </c>
      <c r="N1121" s="6" t="s">
        <v>4173</v>
      </c>
    </row>
    <row r="1122" spans="1:14" ht="27" x14ac:dyDescent="0.3">
      <c r="A1122" s="123">
        <v>50</v>
      </c>
      <c r="B1122" s="662"/>
      <c r="C1122" s="377">
        <v>45997</v>
      </c>
      <c r="D1122" s="4" t="s">
        <v>21</v>
      </c>
      <c r="E1122" s="4" t="s">
        <v>3788</v>
      </c>
      <c r="F1122" s="31" t="s">
        <v>2454</v>
      </c>
      <c r="G1122" s="198" t="s">
        <v>4126</v>
      </c>
      <c r="H1122" s="16" t="s">
        <v>37</v>
      </c>
      <c r="I1122" s="198" t="s">
        <v>4170</v>
      </c>
      <c r="J1122" s="31" t="s">
        <v>4174</v>
      </c>
      <c r="K1122" s="198" t="s">
        <v>4175</v>
      </c>
      <c r="L1122" s="125" t="s">
        <v>3588</v>
      </c>
      <c r="M1122" s="93">
        <v>300000</v>
      </c>
      <c r="N1122" s="6" t="s">
        <v>4176</v>
      </c>
    </row>
    <row r="1123" spans="1:14" x14ac:dyDescent="0.3">
      <c r="A1123" s="123">
        <v>50</v>
      </c>
      <c r="B1123" s="662"/>
      <c r="C1123" s="377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8" t="s">
        <v>4179</v>
      </c>
      <c r="J1123" s="31"/>
      <c r="K1123" s="198" t="s">
        <v>3332</v>
      </c>
      <c r="L1123" s="125" t="s">
        <v>3588</v>
      </c>
      <c r="M1123" s="93">
        <v>300000</v>
      </c>
      <c r="N1123" s="6" t="s">
        <v>3247</v>
      </c>
    </row>
    <row r="1124" spans="1:14" x14ac:dyDescent="0.3">
      <c r="A1124" s="123">
        <v>50</v>
      </c>
      <c r="B1124" s="662"/>
      <c r="C1124" s="377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8" t="s">
        <v>4181</v>
      </c>
      <c r="J1124" s="31"/>
      <c r="K1124" s="198" t="s">
        <v>794</v>
      </c>
      <c r="L1124" s="125" t="s">
        <v>3802</v>
      </c>
      <c r="M1124" s="93">
        <v>500000</v>
      </c>
      <c r="N1124" s="6" t="s">
        <v>4182</v>
      </c>
    </row>
    <row r="1125" spans="1:14" ht="27" x14ac:dyDescent="0.3">
      <c r="A1125" s="123">
        <v>50</v>
      </c>
      <c r="B1125" s="662"/>
      <c r="C1125" s="377" t="s">
        <v>4183</v>
      </c>
      <c r="D1125" s="4" t="s">
        <v>3506</v>
      </c>
      <c r="E1125" s="4" t="s">
        <v>3850</v>
      </c>
      <c r="F1125" s="31" t="s">
        <v>3754</v>
      </c>
      <c r="G1125" s="198" t="s">
        <v>4076</v>
      </c>
      <c r="H1125" s="16" t="s">
        <v>4184</v>
      </c>
      <c r="I1125" s="198" t="s">
        <v>4185</v>
      </c>
      <c r="J1125" s="31" t="s">
        <v>737</v>
      </c>
      <c r="K1125" s="198" t="s">
        <v>3720</v>
      </c>
      <c r="L1125" s="125" t="s">
        <v>84</v>
      </c>
      <c r="M1125" s="93">
        <v>1000000</v>
      </c>
      <c r="N1125" s="6" t="s">
        <v>4147</v>
      </c>
    </row>
    <row r="1126" spans="1:14" ht="22.5" x14ac:dyDescent="0.3">
      <c r="A1126" s="123">
        <v>50</v>
      </c>
      <c r="B1126" s="662"/>
      <c r="C1126" s="377">
        <v>46000</v>
      </c>
      <c r="D1126" s="4" t="s">
        <v>3570</v>
      </c>
      <c r="E1126" s="4" t="s">
        <v>4075</v>
      </c>
      <c r="F1126" s="31" t="s">
        <v>4186</v>
      </c>
      <c r="G1126" s="298" t="s">
        <v>4187</v>
      </c>
      <c r="H1126" s="16" t="s">
        <v>4005</v>
      </c>
      <c r="I1126" s="198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 x14ac:dyDescent="0.3">
      <c r="A1127" s="123">
        <v>50</v>
      </c>
      <c r="B1127" s="662"/>
      <c r="C1127" s="377">
        <v>46000</v>
      </c>
      <c r="D1127" s="4" t="s">
        <v>3558</v>
      </c>
      <c r="E1127" s="4" t="s">
        <v>3522</v>
      </c>
      <c r="F1127" s="198" t="s">
        <v>4189</v>
      </c>
      <c r="G1127" s="31" t="s">
        <v>4190</v>
      </c>
      <c r="H1127" s="16" t="s">
        <v>23</v>
      </c>
      <c r="I1127" s="198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 x14ac:dyDescent="0.3">
      <c r="A1128" s="123">
        <v>50</v>
      </c>
      <c r="B1128" s="662"/>
      <c r="C1128" s="377">
        <v>46001</v>
      </c>
      <c r="D1128" s="4" t="s">
        <v>3570</v>
      </c>
      <c r="E1128" s="4" t="s">
        <v>3559</v>
      </c>
      <c r="F1128" s="31" t="s">
        <v>635</v>
      </c>
      <c r="G1128" s="198" t="s">
        <v>4193</v>
      </c>
      <c r="H1128" s="16" t="s">
        <v>3518</v>
      </c>
      <c r="I1128" s="198" t="s">
        <v>4194</v>
      </c>
      <c r="J1128" s="198"/>
      <c r="K1128" s="198" t="s">
        <v>4195</v>
      </c>
      <c r="L1128" s="125" t="s">
        <v>3588</v>
      </c>
      <c r="M1128" s="93">
        <v>300000</v>
      </c>
      <c r="N1128" s="6" t="s">
        <v>3403</v>
      </c>
    </row>
    <row r="1129" spans="1:14" x14ac:dyDescent="0.3">
      <c r="A1129" s="123">
        <v>50</v>
      </c>
      <c r="B1129" s="662"/>
      <c r="C1129" s="377">
        <v>46001</v>
      </c>
      <c r="D1129" s="4" t="s">
        <v>3558</v>
      </c>
      <c r="E1129" s="4" t="s">
        <v>3582</v>
      </c>
      <c r="F1129" s="31" t="s">
        <v>4196</v>
      </c>
      <c r="G1129" s="198">
        <v>7064</v>
      </c>
      <c r="H1129" s="16" t="s">
        <v>3710</v>
      </c>
      <c r="I1129" s="198" t="s">
        <v>4197</v>
      </c>
      <c r="J1129" s="198"/>
      <c r="K1129" s="198" t="s">
        <v>4198</v>
      </c>
      <c r="L1129" s="125" t="s">
        <v>84</v>
      </c>
      <c r="M1129" s="93">
        <v>300000</v>
      </c>
      <c r="N1129" s="6" t="s">
        <v>3624</v>
      </c>
    </row>
    <row r="1130" spans="1:14" x14ac:dyDescent="0.3">
      <c r="A1130" s="123">
        <v>50</v>
      </c>
      <c r="B1130" s="662"/>
      <c r="C1130" s="377">
        <v>46002</v>
      </c>
      <c r="D1130" s="4" t="s">
        <v>3558</v>
      </c>
      <c r="E1130" s="4" t="s">
        <v>3582</v>
      </c>
      <c r="F1130" s="31" t="s">
        <v>635</v>
      </c>
      <c r="G1130" s="198" t="s">
        <v>4199</v>
      </c>
      <c r="H1130" s="16" t="s">
        <v>142</v>
      </c>
      <c r="I1130" s="198" t="s">
        <v>4200</v>
      </c>
      <c r="J1130" s="198" t="s">
        <v>3612</v>
      </c>
      <c r="K1130" s="198" t="s">
        <v>4114</v>
      </c>
      <c r="L1130" s="125" t="s">
        <v>3513</v>
      </c>
      <c r="M1130" s="93">
        <v>300000</v>
      </c>
      <c r="N1130" s="6" t="s">
        <v>1655</v>
      </c>
    </row>
    <row r="1131" spans="1:14" x14ac:dyDescent="0.3">
      <c r="A1131" s="123">
        <v>50</v>
      </c>
      <c r="B1131" s="662"/>
      <c r="C1131" s="377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8" t="s">
        <v>4139</v>
      </c>
      <c r="J1131" s="198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 x14ac:dyDescent="0.3">
      <c r="A1132" s="123">
        <v>51</v>
      </c>
      <c r="B1132" s="662" t="s">
        <v>3737</v>
      </c>
      <c r="C1132" s="416">
        <v>46003</v>
      </c>
      <c r="D1132" s="4" t="s">
        <v>306</v>
      </c>
      <c r="E1132" s="4" t="s">
        <v>322</v>
      </c>
      <c r="F1132" s="4" t="s">
        <v>307</v>
      </c>
      <c r="G1132" s="198" t="s">
        <v>4202</v>
      </c>
      <c r="H1132" s="125" t="s">
        <v>1247</v>
      </c>
      <c r="I1132" s="413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 x14ac:dyDescent="0.3">
      <c r="A1133" s="123">
        <v>51</v>
      </c>
      <c r="B1133" s="662"/>
      <c r="C1133" s="416">
        <v>46004</v>
      </c>
      <c r="D1133" s="4" t="s">
        <v>306</v>
      </c>
      <c r="E1133" s="4" t="s">
        <v>322</v>
      </c>
      <c r="F1133" s="4" t="s">
        <v>307</v>
      </c>
      <c r="G1133" s="198" t="s">
        <v>3390</v>
      </c>
      <c r="H1133" s="125" t="s">
        <v>3844</v>
      </c>
      <c r="I1133" s="413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 x14ac:dyDescent="0.3">
      <c r="A1134" s="123">
        <v>51</v>
      </c>
      <c r="B1134" s="662"/>
      <c r="C1134" s="416" t="s">
        <v>4208</v>
      </c>
      <c r="D1134" s="4" t="s">
        <v>306</v>
      </c>
      <c r="E1134" s="4" t="s">
        <v>322</v>
      </c>
      <c r="F1134" s="4" t="s">
        <v>307</v>
      </c>
      <c r="G1134" s="198" t="s">
        <v>3390</v>
      </c>
      <c r="H1134" s="125" t="s">
        <v>3493</v>
      </c>
      <c r="I1134" s="413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 x14ac:dyDescent="0.3">
      <c r="A1135" s="123">
        <v>51</v>
      </c>
      <c r="B1135" s="662"/>
      <c r="C1135" s="416">
        <v>46006</v>
      </c>
      <c r="D1135" s="4" t="s">
        <v>306</v>
      </c>
      <c r="E1135" s="4" t="s">
        <v>322</v>
      </c>
      <c r="F1135" s="4" t="s">
        <v>307</v>
      </c>
      <c r="G1135" s="198" t="s">
        <v>4211</v>
      </c>
      <c r="H1135" s="125" t="s">
        <v>4212</v>
      </c>
      <c r="I1135" s="413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 x14ac:dyDescent="0.3">
      <c r="A1136" s="123">
        <v>51</v>
      </c>
      <c r="B1136" s="662"/>
      <c r="C1136" s="416">
        <v>46007</v>
      </c>
      <c r="D1136" s="4" t="s">
        <v>306</v>
      </c>
      <c r="E1136" s="4" t="s">
        <v>322</v>
      </c>
      <c r="F1136" s="4" t="s">
        <v>307</v>
      </c>
      <c r="G1136" s="198" t="s">
        <v>4211</v>
      </c>
      <c r="H1136" s="125" t="s">
        <v>3585</v>
      </c>
      <c r="I1136" s="413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 x14ac:dyDescent="0.3">
      <c r="A1137" s="123">
        <v>51</v>
      </c>
      <c r="B1137" s="662"/>
      <c r="C1137" s="416">
        <v>46009</v>
      </c>
      <c r="D1137" s="4" t="s">
        <v>306</v>
      </c>
      <c r="E1137" s="4" t="s">
        <v>322</v>
      </c>
      <c r="F1137" s="4" t="s">
        <v>307</v>
      </c>
      <c r="G1137" s="198" t="s">
        <v>3626</v>
      </c>
      <c r="H1137" s="125" t="s">
        <v>3503</v>
      </c>
      <c r="I1137" s="413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 x14ac:dyDescent="0.3">
      <c r="A1138" s="123">
        <v>51</v>
      </c>
      <c r="B1138" s="662" t="s">
        <v>21</v>
      </c>
      <c r="C1138" s="416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8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 x14ac:dyDescent="0.3">
      <c r="A1139" s="123">
        <v>51</v>
      </c>
      <c r="B1139" s="662"/>
      <c r="C1139" s="377">
        <v>46006</v>
      </c>
      <c r="D1139" s="4" t="s">
        <v>3506</v>
      </c>
      <c r="E1139" s="4" t="s">
        <v>3582</v>
      </c>
      <c r="F1139" s="31" t="s">
        <v>4217</v>
      </c>
      <c r="G1139" s="198">
        <v>7064</v>
      </c>
      <c r="H1139" s="16" t="s">
        <v>3696</v>
      </c>
      <c r="I1139" s="198" t="s">
        <v>4218</v>
      </c>
      <c r="J1139" s="198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 x14ac:dyDescent="0.3">
      <c r="A1140" s="123">
        <v>51</v>
      </c>
      <c r="B1140" s="662"/>
      <c r="C1140" s="377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8" t="s">
        <v>4220</v>
      </c>
      <c r="J1140" s="198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 x14ac:dyDescent="0.3">
      <c r="A1141" s="123">
        <v>51</v>
      </c>
      <c r="B1141" s="662"/>
      <c r="C1141" s="377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8" t="s">
        <v>3747</v>
      </c>
      <c r="J1141" s="31"/>
      <c r="K1141" s="198" t="s">
        <v>4222</v>
      </c>
      <c r="L1141" s="125" t="s">
        <v>84</v>
      </c>
      <c r="M1141" s="93">
        <v>1000000</v>
      </c>
      <c r="N1141" s="6" t="s">
        <v>1655</v>
      </c>
    </row>
    <row r="1142" spans="1:14" x14ac:dyDescent="0.3">
      <c r="A1142" s="123">
        <v>51</v>
      </c>
      <c r="B1142" s="662"/>
      <c r="C1142" s="377">
        <v>46007</v>
      </c>
      <c r="D1142" s="4" t="s">
        <v>3489</v>
      </c>
      <c r="E1142" s="4" t="s">
        <v>3507</v>
      </c>
      <c r="F1142" s="31" t="s">
        <v>635</v>
      </c>
      <c r="G1142" s="198" t="s">
        <v>4223</v>
      </c>
      <c r="H1142" s="16" t="s">
        <v>4224</v>
      </c>
      <c r="I1142" s="198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 x14ac:dyDescent="0.3">
      <c r="A1143" s="123">
        <v>51</v>
      </c>
      <c r="B1143" s="662"/>
      <c r="C1143" s="377">
        <v>46008</v>
      </c>
      <c r="D1143" s="4" t="s">
        <v>21</v>
      </c>
      <c r="E1143" s="4" t="s">
        <v>30</v>
      </c>
      <c r="F1143" s="31" t="s">
        <v>3999</v>
      </c>
      <c r="G1143" s="198" t="s">
        <v>4227</v>
      </c>
      <c r="H1143" s="16" t="s">
        <v>4005</v>
      </c>
      <c r="I1143" s="198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 x14ac:dyDescent="0.3">
      <c r="A1144" s="123">
        <v>51</v>
      </c>
      <c r="B1144" s="662"/>
      <c r="C1144" s="377">
        <v>46008</v>
      </c>
      <c r="D1144" s="4" t="s">
        <v>3506</v>
      </c>
      <c r="E1144" s="4" t="s">
        <v>4125</v>
      </c>
      <c r="F1144" s="31" t="s">
        <v>3508</v>
      </c>
      <c r="G1144" s="198" t="s">
        <v>3904</v>
      </c>
      <c r="H1144" s="16" t="s">
        <v>4134</v>
      </c>
      <c r="I1144" s="198" t="s">
        <v>4230</v>
      </c>
      <c r="J1144" s="31" t="s">
        <v>4231</v>
      </c>
      <c r="K1144" s="198" t="s">
        <v>3779</v>
      </c>
      <c r="L1144" s="125" t="s">
        <v>3588</v>
      </c>
      <c r="M1144" s="93">
        <v>250000</v>
      </c>
      <c r="N1144" s="6" t="s">
        <v>3402</v>
      </c>
    </row>
    <row r="1145" spans="1:14" ht="27" x14ac:dyDescent="0.3">
      <c r="A1145" s="123">
        <v>51</v>
      </c>
      <c r="B1145" s="662"/>
      <c r="C1145" s="377">
        <v>46009</v>
      </c>
      <c r="D1145" s="4" t="s">
        <v>3544</v>
      </c>
      <c r="E1145" s="4" t="s">
        <v>3522</v>
      </c>
      <c r="F1145" s="31" t="s">
        <v>158</v>
      </c>
      <c r="G1145" s="198" t="s">
        <v>4232</v>
      </c>
      <c r="H1145" s="16" t="s">
        <v>3227</v>
      </c>
      <c r="I1145" s="198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 x14ac:dyDescent="0.3">
      <c r="A1146" s="123">
        <v>51</v>
      </c>
      <c r="B1146" s="662"/>
      <c r="C1146" s="377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8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 x14ac:dyDescent="0.3">
      <c r="A1147" s="123">
        <v>51</v>
      </c>
      <c r="B1147" s="662"/>
      <c r="C1147" s="377">
        <v>46010</v>
      </c>
      <c r="D1147" s="4" t="s">
        <v>3544</v>
      </c>
      <c r="E1147" s="4" t="s">
        <v>17</v>
      </c>
      <c r="F1147" s="31" t="s">
        <v>3508</v>
      </c>
      <c r="G1147" s="198" t="s">
        <v>3910</v>
      </c>
      <c r="H1147" s="16" t="s">
        <v>37</v>
      </c>
      <c r="I1147" s="198" t="s">
        <v>4170</v>
      </c>
      <c r="J1147" s="31" t="s">
        <v>3564</v>
      </c>
      <c r="K1147" s="198" t="s">
        <v>3881</v>
      </c>
      <c r="L1147" s="125" t="s">
        <v>3603</v>
      </c>
      <c r="M1147" s="93">
        <v>250000</v>
      </c>
      <c r="N1147" s="6" t="s">
        <v>3402</v>
      </c>
    </row>
    <row r="1148" spans="1:14" ht="22.5" x14ac:dyDescent="0.3">
      <c r="A1148" s="123">
        <v>51</v>
      </c>
      <c r="B1148" s="662"/>
      <c r="C1148" s="377">
        <v>46010</v>
      </c>
      <c r="D1148" s="4" t="s">
        <v>3570</v>
      </c>
      <c r="E1148" s="4" t="s">
        <v>675</v>
      </c>
      <c r="F1148" s="31" t="s">
        <v>1792</v>
      </c>
      <c r="G1148" s="298" t="s">
        <v>3336</v>
      </c>
      <c r="H1148" s="16" t="s">
        <v>4005</v>
      </c>
      <c r="I1148" s="198" t="s">
        <v>4238</v>
      </c>
      <c r="J1148" s="31" t="s">
        <v>3495</v>
      </c>
      <c r="K1148" s="198" t="s">
        <v>3648</v>
      </c>
      <c r="L1148" s="125" t="s">
        <v>3580</v>
      </c>
      <c r="M1148" s="93">
        <v>250000</v>
      </c>
      <c r="N1148" s="6" t="s">
        <v>2560</v>
      </c>
    </row>
    <row r="1149" spans="1:14" ht="22.5" x14ac:dyDescent="0.3">
      <c r="A1149" s="123">
        <v>51</v>
      </c>
      <c r="B1149" s="662"/>
      <c r="C1149" s="377">
        <v>46010</v>
      </c>
      <c r="D1149" s="4" t="s">
        <v>3506</v>
      </c>
      <c r="E1149" s="4" t="s">
        <v>675</v>
      </c>
      <c r="F1149" s="31" t="s">
        <v>4239</v>
      </c>
      <c r="G1149" s="298" t="s">
        <v>4240</v>
      </c>
      <c r="H1149" s="16" t="s">
        <v>3844</v>
      </c>
      <c r="I1149" s="198" t="s">
        <v>4241</v>
      </c>
      <c r="J1149" s="31" t="s">
        <v>3578</v>
      </c>
      <c r="K1149" s="198" t="s">
        <v>4242</v>
      </c>
      <c r="L1149" s="125" t="s">
        <v>3497</v>
      </c>
      <c r="M1149" s="93">
        <v>300000</v>
      </c>
      <c r="N1149" s="6" t="s">
        <v>4124</v>
      </c>
    </row>
    <row r="1150" spans="1:14" x14ac:dyDescent="0.3">
      <c r="A1150" s="123">
        <v>52</v>
      </c>
      <c r="B1150" s="662" t="s">
        <v>3471</v>
      </c>
      <c r="C1150" s="377" t="s">
        <v>4243</v>
      </c>
      <c r="D1150" s="4" t="s">
        <v>306</v>
      </c>
      <c r="E1150" s="4" t="s">
        <v>322</v>
      </c>
      <c r="F1150" s="4" t="s">
        <v>307</v>
      </c>
      <c r="G1150" s="198" t="s">
        <v>3390</v>
      </c>
      <c r="H1150" s="125" t="s">
        <v>115</v>
      </c>
      <c r="I1150" s="413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 x14ac:dyDescent="0.3">
      <c r="A1151" s="123">
        <v>52</v>
      </c>
      <c r="B1151" s="662"/>
      <c r="C1151" s="416" t="s">
        <v>4245</v>
      </c>
      <c r="D1151" s="4" t="s">
        <v>306</v>
      </c>
      <c r="E1151" s="4" t="s">
        <v>322</v>
      </c>
      <c r="F1151" s="4" t="s">
        <v>307</v>
      </c>
      <c r="G1151" s="198" t="s">
        <v>3390</v>
      </c>
      <c r="H1151" s="125" t="s">
        <v>23</v>
      </c>
      <c r="I1151" s="413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 x14ac:dyDescent="0.3">
      <c r="A1152" s="123">
        <v>52</v>
      </c>
      <c r="B1152" s="662"/>
      <c r="C1152" s="416">
        <v>46014</v>
      </c>
      <c r="D1152" s="4" t="s">
        <v>306</v>
      </c>
      <c r="E1152" s="4" t="s">
        <v>322</v>
      </c>
      <c r="F1152" s="4" t="s">
        <v>307</v>
      </c>
      <c r="G1152" s="198" t="s">
        <v>3390</v>
      </c>
      <c r="H1152" s="125" t="s">
        <v>115</v>
      </c>
      <c r="I1152" s="413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662"/>
      <c r="C1153" s="416">
        <v>46017</v>
      </c>
      <c r="D1153" s="4" t="s">
        <v>306</v>
      </c>
      <c r="E1153" s="4" t="s">
        <v>322</v>
      </c>
      <c r="F1153" s="4" t="s">
        <v>307</v>
      </c>
      <c r="G1153" s="198" t="s">
        <v>4247</v>
      </c>
      <c r="H1153" s="125" t="s">
        <v>23</v>
      </c>
      <c r="I1153" s="413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 x14ac:dyDescent="0.3">
      <c r="A1154" s="123">
        <v>52</v>
      </c>
      <c r="B1154" s="662"/>
      <c r="C1154" s="416">
        <v>46017</v>
      </c>
      <c r="D1154" s="4" t="s">
        <v>306</v>
      </c>
      <c r="E1154" s="4" t="s">
        <v>322</v>
      </c>
      <c r="F1154" s="4" t="s">
        <v>307</v>
      </c>
      <c r="G1154" s="198">
        <v>1569</v>
      </c>
      <c r="H1154" s="125" t="s">
        <v>3388</v>
      </c>
      <c r="I1154" s="413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 x14ac:dyDescent="0.3">
      <c r="A1155" s="123">
        <v>52</v>
      </c>
      <c r="B1155" s="662"/>
      <c r="C1155" s="416" t="s">
        <v>4250</v>
      </c>
      <c r="D1155" s="4" t="s">
        <v>306</v>
      </c>
      <c r="E1155" s="4" t="s">
        <v>322</v>
      </c>
      <c r="F1155" s="4" t="s">
        <v>307</v>
      </c>
      <c r="G1155" s="198">
        <v>8262</v>
      </c>
      <c r="H1155" s="125" t="s">
        <v>3473</v>
      </c>
      <c r="I1155" s="413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 x14ac:dyDescent="0.3">
      <c r="A1156" s="123">
        <v>52</v>
      </c>
      <c r="B1156" s="662"/>
      <c r="C1156" s="416">
        <v>46017</v>
      </c>
      <c r="D1156" s="4" t="s">
        <v>306</v>
      </c>
      <c r="E1156" s="4" t="s">
        <v>322</v>
      </c>
      <c r="F1156" s="4" t="s">
        <v>307</v>
      </c>
      <c r="G1156" s="198">
        <v>8262</v>
      </c>
      <c r="H1156" s="125" t="s">
        <v>3388</v>
      </c>
      <c r="I1156" s="413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662" t="s">
        <v>21</v>
      </c>
      <c r="C1157" s="377">
        <v>46009</v>
      </c>
      <c r="D1157" s="4" t="s">
        <v>3698</v>
      </c>
      <c r="E1157" s="4" t="s">
        <v>30</v>
      </c>
      <c r="F1157" s="31" t="s">
        <v>158</v>
      </c>
      <c r="G1157" s="198" t="s">
        <v>4227</v>
      </c>
      <c r="H1157" s="16" t="s">
        <v>3420</v>
      </c>
      <c r="I1157" s="198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 x14ac:dyDescent="0.3">
      <c r="A1158" s="123">
        <v>52</v>
      </c>
      <c r="B1158" s="662"/>
      <c r="C1158" s="377">
        <v>46008</v>
      </c>
      <c r="D1158" s="4" t="s">
        <v>3698</v>
      </c>
      <c r="E1158" s="4" t="s">
        <v>3788</v>
      </c>
      <c r="F1158" s="31" t="s">
        <v>2454</v>
      </c>
      <c r="G1158" s="198" t="s">
        <v>3904</v>
      </c>
      <c r="H1158" s="16" t="s">
        <v>4255</v>
      </c>
      <c r="I1158" s="198" t="s">
        <v>4170</v>
      </c>
      <c r="J1158" s="198" t="s">
        <v>3859</v>
      </c>
      <c r="K1158" s="198" t="s">
        <v>686</v>
      </c>
      <c r="L1158" s="125" t="s">
        <v>3443</v>
      </c>
      <c r="M1158" s="60">
        <v>250000</v>
      </c>
      <c r="N1158" s="6" t="s">
        <v>4256</v>
      </c>
    </row>
    <row r="1159" spans="1:14" ht="27" x14ac:dyDescent="0.3">
      <c r="A1159" s="123">
        <v>52</v>
      </c>
      <c r="B1159" s="662"/>
      <c r="C1159" s="377">
        <v>46010</v>
      </c>
      <c r="D1159" s="4" t="s">
        <v>4257</v>
      </c>
      <c r="E1159" s="4" t="s">
        <v>17</v>
      </c>
      <c r="F1159" s="31" t="s">
        <v>4258</v>
      </c>
      <c r="G1159" s="198" t="s">
        <v>4259</v>
      </c>
      <c r="H1159" s="16" t="s">
        <v>4255</v>
      </c>
      <c r="I1159" s="198" t="s">
        <v>4260</v>
      </c>
      <c r="J1159" s="198" t="s">
        <v>495</v>
      </c>
      <c r="K1159" s="198" t="s">
        <v>3464</v>
      </c>
      <c r="L1159" s="125" t="s">
        <v>84</v>
      </c>
      <c r="M1159" s="60">
        <v>250000</v>
      </c>
      <c r="N1159" s="6" t="s">
        <v>4256</v>
      </c>
    </row>
    <row r="1160" spans="1:14" x14ac:dyDescent="0.3">
      <c r="A1160" s="123">
        <v>52</v>
      </c>
      <c r="B1160" s="662"/>
      <c r="C1160" s="377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8" t="s">
        <v>4261</v>
      </c>
      <c r="J1160" s="31"/>
      <c r="K1160" s="198" t="s">
        <v>184</v>
      </c>
      <c r="L1160" s="125" t="s">
        <v>3443</v>
      </c>
      <c r="M1160" s="60">
        <v>300000</v>
      </c>
      <c r="N1160" s="6" t="s">
        <v>3247</v>
      </c>
    </row>
    <row r="1161" spans="1:14" ht="27" x14ac:dyDescent="0.3">
      <c r="A1161" s="123">
        <v>52</v>
      </c>
      <c r="B1161" s="662"/>
      <c r="C1161" s="377">
        <v>46013</v>
      </c>
      <c r="D1161" s="4" t="s">
        <v>3437</v>
      </c>
      <c r="E1161" s="4" t="s">
        <v>3552</v>
      </c>
      <c r="F1161" s="31" t="s">
        <v>158</v>
      </c>
      <c r="G1161" s="198" t="s">
        <v>3974</v>
      </c>
      <c r="H1161" s="16" t="s">
        <v>3781</v>
      </c>
      <c r="I1161" s="198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 x14ac:dyDescent="0.3">
      <c r="A1162" s="123">
        <v>52</v>
      </c>
      <c r="B1162" s="662"/>
      <c r="C1162" s="377">
        <v>46013</v>
      </c>
      <c r="D1162" s="4" t="s">
        <v>21</v>
      </c>
      <c r="E1162" s="4" t="s">
        <v>30</v>
      </c>
      <c r="F1162" s="31" t="s">
        <v>3376</v>
      </c>
      <c r="G1162" s="198">
        <v>7064</v>
      </c>
      <c r="H1162" s="16" t="s">
        <v>207</v>
      </c>
      <c r="I1162" s="198" t="s">
        <v>4263</v>
      </c>
      <c r="J1162" s="198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 x14ac:dyDescent="0.3">
      <c r="A1163" s="123">
        <v>52</v>
      </c>
      <c r="B1163" s="662"/>
      <c r="C1163" s="377">
        <v>46013</v>
      </c>
      <c r="D1163" s="4" t="s">
        <v>3437</v>
      </c>
      <c r="E1163" s="4" t="s">
        <v>3552</v>
      </c>
      <c r="F1163" s="31" t="s">
        <v>4196</v>
      </c>
      <c r="G1163" s="198">
        <v>7064</v>
      </c>
      <c r="H1163" s="16" t="s">
        <v>207</v>
      </c>
      <c r="I1163" s="198" t="s">
        <v>4264</v>
      </c>
      <c r="J1163" s="198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 x14ac:dyDescent="0.3">
      <c r="A1164" s="123">
        <v>52</v>
      </c>
      <c r="B1164" s="662"/>
      <c r="C1164" s="377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8" t="s">
        <v>3429</v>
      </c>
      <c r="J1164" s="31"/>
      <c r="K1164" s="198" t="s">
        <v>3720</v>
      </c>
      <c r="L1164" s="125" t="s">
        <v>84</v>
      </c>
      <c r="M1164" s="60">
        <v>1000000</v>
      </c>
      <c r="N1164" s="6" t="s">
        <v>1655</v>
      </c>
    </row>
    <row r="1165" spans="1:14" x14ac:dyDescent="0.3">
      <c r="A1165" s="123">
        <v>52</v>
      </c>
      <c r="B1165" s="662"/>
      <c r="C1165" s="377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8" t="s">
        <v>4266</v>
      </c>
      <c r="J1165" s="31"/>
      <c r="K1165" s="198" t="s">
        <v>794</v>
      </c>
      <c r="L1165" s="125" t="s">
        <v>84</v>
      </c>
      <c r="M1165" s="60">
        <v>500000</v>
      </c>
      <c r="N1165" s="6" t="s">
        <v>3247</v>
      </c>
    </row>
    <row r="1166" spans="1:14" x14ac:dyDescent="0.3">
      <c r="A1166" s="123">
        <v>52</v>
      </c>
      <c r="B1166" s="662"/>
      <c r="C1166" s="377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8" t="s">
        <v>4266</v>
      </c>
      <c r="J1166" s="31" t="s">
        <v>120</v>
      </c>
      <c r="K1166" s="198" t="s">
        <v>3701</v>
      </c>
      <c r="L1166" s="125" t="s">
        <v>84</v>
      </c>
      <c r="M1166" s="60">
        <v>600000</v>
      </c>
      <c r="N1166" s="6" t="s">
        <v>3247</v>
      </c>
    </row>
    <row r="1167" spans="1:14" x14ac:dyDescent="0.3">
      <c r="A1167" s="123">
        <v>52</v>
      </c>
      <c r="B1167" s="662"/>
      <c r="C1167" s="377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8" t="s">
        <v>4267</v>
      </c>
      <c r="J1167" s="31"/>
      <c r="K1167" s="198" t="s">
        <v>794</v>
      </c>
      <c r="L1167" s="125" t="s">
        <v>3443</v>
      </c>
      <c r="M1167" s="60">
        <v>500000</v>
      </c>
      <c r="N1167" s="6" t="s">
        <v>3468</v>
      </c>
    </row>
    <row r="1168" spans="1:14" x14ac:dyDescent="0.3">
      <c r="A1168" s="123">
        <v>52</v>
      </c>
      <c r="B1168" s="662"/>
      <c r="C1168" s="377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8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 x14ac:dyDescent="0.3">
      <c r="A1169" s="123">
        <v>53</v>
      </c>
      <c r="B1169" s="662" t="s">
        <v>175</v>
      </c>
      <c r="C1169" s="377">
        <v>46016</v>
      </c>
      <c r="D1169" s="4" t="s">
        <v>306</v>
      </c>
      <c r="E1169" s="4" t="s">
        <v>322</v>
      </c>
      <c r="F1169" s="4" t="s">
        <v>307</v>
      </c>
      <c r="G1169" s="198">
        <v>8262</v>
      </c>
      <c r="H1169" s="125" t="s">
        <v>3388</v>
      </c>
      <c r="I1169" s="413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 x14ac:dyDescent="0.3">
      <c r="A1170" s="123">
        <v>53</v>
      </c>
      <c r="B1170" s="662"/>
      <c r="C1170" s="377">
        <v>46020</v>
      </c>
      <c r="D1170" s="4" t="s">
        <v>306</v>
      </c>
      <c r="E1170" s="4" t="s">
        <v>322</v>
      </c>
      <c r="F1170" s="4" t="s">
        <v>307</v>
      </c>
      <c r="G1170" s="198" t="s">
        <v>3390</v>
      </c>
      <c r="H1170" s="125" t="s">
        <v>4117</v>
      </c>
      <c r="I1170" s="413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662"/>
      <c r="C1171" s="377">
        <v>46020</v>
      </c>
      <c r="D1171" s="4" t="s">
        <v>306</v>
      </c>
      <c r="E1171" s="4" t="s">
        <v>322</v>
      </c>
      <c r="F1171" s="4" t="s">
        <v>307</v>
      </c>
      <c r="G1171" s="198">
        <v>8262</v>
      </c>
      <c r="H1171" s="125" t="s">
        <v>4275</v>
      </c>
      <c r="I1171" s="413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 x14ac:dyDescent="0.3">
      <c r="A1172" s="123">
        <v>53</v>
      </c>
      <c r="B1172" s="662"/>
      <c r="C1172" s="377">
        <v>46021</v>
      </c>
      <c r="D1172" s="4" t="s">
        <v>306</v>
      </c>
      <c r="E1172" s="4" t="s">
        <v>322</v>
      </c>
      <c r="F1172" s="4" t="s">
        <v>307</v>
      </c>
      <c r="G1172" s="198" t="s">
        <v>4278</v>
      </c>
      <c r="H1172" s="125" t="s">
        <v>4280</v>
      </c>
      <c r="I1172" s="413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 x14ac:dyDescent="0.3">
      <c r="A1173" s="123">
        <v>53</v>
      </c>
      <c r="B1173" s="662"/>
      <c r="C1173" s="416">
        <v>46021</v>
      </c>
      <c r="D1173" s="4" t="s">
        <v>306</v>
      </c>
      <c r="E1173" s="4" t="s">
        <v>322</v>
      </c>
      <c r="F1173" s="4" t="s">
        <v>307</v>
      </c>
      <c r="G1173" s="198">
        <v>8262</v>
      </c>
      <c r="H1173" s="125" t="s">
        <v>4275</v>
      </c>
      <c r="I1173" s="413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 x14ac:dyDescent="0.3">
      <c r="A1174" s="123">
        <v>53</v>
      </c>
      <c r="B1174" s="662"/>
      <c r="C1174" s="416">
        <v>46021</v>
      </c>
      <c r="D1174" s="4" t="s">
        <v>306</v>
      </c>
      <c r="E1174" s="4" t="s">
        <v>322</v>
      </c>
      <c r="F1174" s="4" t="s">
        <v>307</v>
      </c>
      <c r="G1174" s="198" t="s">
        <v>4283</v>
      </c>
      <c r="H1174" s="125" t="s">
        <v>4279</v>
      </c>
      <c r="I1174" s="413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662"/>
      <c r="C1175" s="416">
        <v>45659</v>
      </c>
      <c r="D1175" s="4" t="s">
        <v>306</v>
      </c>
      <c r="E1175" s="4" t="s">
        <v>322</v>
      </c>
      <c r="F1175" s="4" t="s">
        <v>307</v>
      </c>
      <c r="G1175" s="198">
        <v>1569</v>
      </c>
      <c r="H1175" s="125" t="s">
        <v>4275</v>
      </c>
      <c r="I1175" s="413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 x14ac:dyDescent="0.3">
      <c r="A1176" s="512">
        <v>53</v>
      </c>
      <c r="B1176" s="662" t="s">
        <v>4286</v>
      </c>
      <c r="C1176" s="377">
        <v>46020</v>
      </c>
      <c r="D1176" s="4" t="s">
        <v>4286</v>
      </c>
      <c r="E1176" s="4" t="s">
        <v>4287</v>
      </c>
      <c r="F1176" s="517" t="s">
        <v>2134</v>
      </c>
      <c r="G1176" s="517" t="s">
        <v>4288</v>
      </c>
      <c r="H1176" s="16" t="s">
        <v>3781</v>
      </c>
      <c r="I1176" s="518" t="s">
        <v>4289</v>
      </c>
      <c r="J1176" s="517" t="s">
        <v>4290</v>
      </c>
      <c r="K1176" s="518" t="s">
        <v>4274</v>
      </c>
      <c r="L1176" s="125" t="s">
        <v>4291</v>
      </c>
      <c r="M1176" s="411">
        <v>250000</v>
      </c>
      <c r="N1176" s="6" t="s">
        <v>3247</v>
      </c>
    </row>
    <row r="1177" spans="1:14" x14ac:dyDescent="0.3">
      <c r="A1177" s="512">
        <v>53</v>
      </c>
      <c r="B1177" s="662"/>
      <c r="C1177" s="377">
        <v>46020</v>
      </c>
      <c r="D1177" s="4" t="s">
        <v>21</v>
      </c>
      <c r="E1177" s="4" t="s">
        <v>4287</v>
      </c>
      <c r="F1177" s="517" t="s">
        <v>2134</v>
      </c>
      <c r="G1177" s="517" t="s">
        <v>2717</v>
      </c>
      <c r="H1177" s="16" t="s">
        <v>115</v>
      </c>
      <c r="I1177" s="518" t="s">
        <v>4289</v>
      </c>
      <c r="J1177" s="517" t="s">
        <v>120</v>
      </c>
      <c r="K1177" s="518" t="s">
        <v>4175</v>
      </c>
      <c r="L1177" s="125" t="s">
        <v>4291</v>
      </c>
      <c r="M1177" s="411">
        <v>300000</v>
      </c>
      <c r="N1177" s="6" t="s">
        <v>3247</v>
      </c>
    </row>
    <row r="1178" spans="1:14" x14ac:dyDescent="0.3">
      <c r="A1178" s="512">
        <v>53</v>
      </c>
      <c r="B1178" s="662"/>
      <c r="C1178" s="377">
        <v>46020</v>
      </c>
      <c r="D1178" s="4" t="s">
        <v>21</v>
      </c>
      <c r="E1178" s="4" t="s">
        <v>30</v>
      </c>
      <c r="F1178" s="517" t="s">
        <v>381</v>
      </c>
      <c r="G1178" s="517" t="s">
        <v>4292</v>
      </c>
      <c r="H1178" s="16" t="s">
        <v>4293</v>
      </c>
      <c r="I1178" s="518" t="s">
        <v>4294</v>
      </c>
      <c r="J1178" s="517" t="s">
        <v>1952</v>
      </c>
      <c r="K1178" s="518" t="s">
        <v>2832</v>
      </c>
      <c r="L1178" s="125" t="s">
        <v>84</v>
      </c>
      <c r="M1178" s="411">
        <v>250000</v>
      </c>
      <c r="N1178" s="6" t="s">
        <v>1655</v>
      </c>
    </row>
    <row r="1179" spans="1:14" x14ac:dyDescent="0.3">
      <c r="A1179" s="512">
        <v>53</v>
      </c>
      <c r="B1179" s="662"/>
      <c r="C1179" s="377">
        <v>46022</v>
      </c>
      <c r="D1179" s="4" t="s">
        <v>21</v>
      </c>
      <c r="E1179" s="4" t="s">
        <v>4295</v>
      </c>
      <c r="F1179" s="517" t="s">
        <v>100</v>
      </c>
      <c r="G1179" s="517" t="s">
        <v>4296</v>
      </c>
      <c r="H1179" s="16" t="s">
        <v>23</v>
      </c>
      <c r="I1179" s="518" t="s">
        <v>4298</v>
      </c>
      <c r="J1179" s="517" t="s">
        <v>3622</v>
      </c>
      <c r="K1179" s="517" t="s">
        <v>4299</v>
      </c>
      <c r="L1179" s="125" t="s">
        <v>84</v>
      </c>
      <c r="M1179" s="423">
        <v>300000</v>
      </c>
      <c r="N1179" s="6" t="s">
        <v>3247</v>
      </c>
    </row>
    <row r="1180" spans="1:14" x14ac:dyDescent="0.3">
      <c r="A1180" s="512">
        <v>53</v>
      </c>
      <c r="B1180" s="662"/>
      <c r="C1180" s="377">
        <v>46022</v>
      </c>
      <c r="D1180" s="4" t="s">
        <v>21</v>
      </c>
      <c r="E1180" s="4" t="s">
        <v>17</v>
      </c>
      <c r="F1180" s="517" t="s">
        <v>100</v>
      </c>
      <c r="G1180" s="517" t="s">
        <v>2014</v>
      </c>
      <c r="H1180" s="16" t="s">
        <v>4005</v>
      </c>
      <c r="I1180" s="518" t="s">
        <v>4297</v>
      </c>
      <c r="J1180" s="517" t="s">
        <v>120</v>
      </c>
      <c r="K1180" s="517" t="s">
        <v>686</v>
      </c>
      <c r="L1180" s="125" t="s">
        <v>4291</v>
      </c>
      <c r="M1180" s="423">
        <v>250000</v>
      </c>
      <c r="N1180" s="6" t="s">
        <v>3403</v>
      </c>
    </row>
    <row r="1181" spans="1:14" x14ac:dyDescent="0.3">
      <c r="A1181" s="512">
        <v>53</v>
      </c>
      <c r="B1181" s="662"/>
      <c r="C1181" s="377">
        <v>46022</v>
      </c>
      <c r="D1181" s="4" t="s">
        <v>3698</v>
      </c>
      <c r="E1181" s="4" t="s">
        <v>30</v>
      </c>
      <c r="F1181" s="517" t="s">
        <v>1791</v>
      </c>
      <c r="G1181" s="517" t="s">
        <v>4300</v>
      </c>
      <c r="H1181" s="16" t="s">
        <v>4301</v>
      </c>
      <c r="I1181" s="518" t="s">
        <v>4302</v>
      </c>
      <c r="J1181" s="517"/>
      <c r="K1181" s="518" t="s">
        <v>184</v>
      </c>
      <c r="L1181" s="125" t="s">
        <v>84</v>
      </c>
      <c r="M1181" s="423">
        <v>300000</v>
      </c>
      <c r="N1181" s="6" t="s">
        <v>3247</v>
      </c>
    </row>
    <row r="1182" spans="1:14" x14ac:dyDescent="0.3">
      <c r="A1182" s="512">
        <v>53</v>
      </c>
      <c r="B1182" s="662"/>
      <c r="C1182" s="377">
        <v>46022</v>
      </c>
      <c r="D1182" s="4" t="s">
        <v>21</v>
      </c>
      <c r="E1182" s="4" t="s">
        <v>30</v>
      </c>
      <c r="F1182" s="517" t="s">
        <v>4303</v>
      </c>
      <c r="G1182" s="517">
        <v>222003</v>
      </c>
      <c r="H1182" s="16" t="s">
        <v>115</v>
      </c>
      <c r="I1182" s="518" t="s">
        <v>4304</v>
      </c>
      <c r="J1182" s="517"/>
      <c r="K1182" s="518" t="s">
        <v>686</v>
      </c>
      <c r="L1182" s="125" t="s">
        <v>84</v>
      </c>
      <c r="M1182" s="423">
        <v>250000</v>
      </c>
      <c r="N1182" s="6" t="s">
        <v>3561</v>
      </c>
    </row>
    <row r="1183" spans="1:14" x14ac:dyDescent="0.3">
      <c r="A1183" s="512">
        <v>53</v>
      </c>
      <c r="B1183" s="662"/>
      <c r="C1183" s="377">
        <v>46022</v>
      </c>
      <c r="D1183" s="4" t="s">
        <v>21</v>
      </c>
      <c r="E1183" s="4" t="s">
        <v>3500</v>
      </c>
      <c r="F1183" s="517" t="s">
        <v>3376</v>
      </c>
      <c r="G1183" s="518">
        <v>7064</v>
      </c>
      <c r="H1183" s="16" t="s">
        <v>207</v>
      </c>
      <c r="I1183" s="518" t="s">
        <v>3391</v>
      </c>
      <c r="J1183" s="518"/>
      <c r="K1183" s="518" t="s">
        <v>3392</v>
      </c>
      <c r="L1183" s="125" t="s">
        <v>84</v>
      </c>
      <c r="M1183" s="93">
        <v>600000</v>
      </c>
      <c r="N1183" s="6" t="s">
        <v>3247</v>
      </c>
    </row>
    <row r="1184" spans="1:14" x14ac:dyDescent="0.3">
      <c r="A1184" s="512">
        <v>53</v>
      </c>
      <c r="B1184" s="662"/>
      <c r="C1184" s="377">
        <v>46022</v>
      </c>
      <c r="D1184" s="4" t="s">
        <v>4286</v>
      </c>
      <c r="E1184" s="4" t="s">
        <v>4287</v>
      </c>
      <c r="F1184" s="517" t="s">
        <v>3376</v>
      </c>
      <c r="G1184" s="518">
        <v>7064</v>
      </c>
      <c r="H1184" s="16" t="s">
        <v>207</v>
      </c>
      <c r="I1184" s="518" t="s">
        <v>4305</v>
      </c>
      <c r="J1184" s="518"/>
      <c r="K1184" s="518" t="s">
        <v>3779</v>
      </c>
      <c r="L1184" s="125" t="s">
        <v>4291</v>
      </c>
      <c r="M1184" s="93">
        <v>250000</v>
      </c>
      <c r="N1184" s="6" t="s">
        <v>3247</v>
      </c>
    </row>
    <row r="1185" spans="1:14" x14ac:dyDescent="0.3">
      <c r="A1185" s="512">
        <v>1</v>
      </c>
      <c r="B1185" s="662"/>
      <c r="C1185" s="377">
        <v>46024</v>
      </c>
      <c r="D1185" s="4" t="s">
        <v>4286</v>
      </c>
      <c r="E1185" s="4" t="s">
        <v>30</v>
      </c>
      <c r="F1185" s="517" t="s">
        <v>3376</v>
      </c>
      <c r="G1185" s="518">
        <v>7064</v>
      </c>
      <c r="H1185" s="16" t="s">
        <v>207</v>
      </c>
      <c r="I1185" s="518" t="s">
        <v>4306</v>
      </c>
      <c r="J1185" s="518"/>
      <c r="K1185" s="517" t="s">
        <v>184</v>
      </c>
      <c r="L1185" s="125" t="s">
        <v>4291</v>
      </c>
      <c r="M1185" s="423">
        <v>300000</v>
      </c>
      <c r="N1185" s="6" t="s">
        <v>3401</v>
      </c>
    </row>
    <row r="1186" spans="1:14" x14ac:dyDescent="0.3">
      <c r="A1186" s="512">
        <v>1</v>
      </c>
      <c r="B1186" s="662"/>
      <c r="C1186" s="377">
        <v>46024</v>
      </c>
      <c r="D1186" s="4" t="s">
        <v>21</v>
      </c>
      <c r="E1186" s="4" t="s">
        <v>30</v>
      </c>
      <c r="F1186" s="517" t="s">
        <v>4307</v>
      </c>
      <c r="G1186" s="518">
        <v>7064</v>
      </c>
      <c r="H1186" s="16" t="s">
        <v>207</v>
      </c>
      <c r="I1186" s="518" t="s">
        <v>4308</v>
      </c>
      <c r="J1186" s="517"/>
      <c r="K1186" s="517" t="s">
        <v>4175</v>
      </c>
      <c r="L1186" s="125" t="s">
        <v>84</v>
      </c>
      <c r="M1186" s="423">
        <v>300000</v>
      </c>
      <c r="N1186" s="6" t="s">
        <v>3247</v>
      </c>
    </row>
    <row r="1187" spans="1:14" x14ac:dyDescent="0.3">
      <c r="A1187" s="512">
        <v>1</v>
      </c>
      <c r="B1187" s="662"/>
      <c r="C1187" s="377">
        <v>46024</v>
      </c>
      <c r="D1187" s="4" t="s">
        <v>21</v>
      </c>
      <c r="E1187" s="4" t="s">
        <v>30</v>
      </c>
      <c r="F1187" s="517" t="s">
        <v>3376</v>
      </c>
      <c r="G1187" s="518">
        <v>7064</v>
      </c>
      <c r="H1187" s="16" t="s">
        <v>4309</v>
      </c>
      <c r="I1187" s="518" t="s">
        <v>3393</v>
      </c>
      <c r="J1187" s="517"/>
      <c r="K1187" s="517" t="s">
        <v>2832</v>
      </c>
      <c r="L1187" s="125" t="s">
        <v>84</v>
      </c>
      <c r="M1187" s="423">
        <v>250000</v>
      </c>
      <c r="N1187" s="6" t="s">
        <v>3401</v>
      </c>
    </row>
    <row r="1188" spans="1:14" x14ac:dyDescent="0.3">
      <c r="A1188" s="512">
        <v>1</v>
      </c>
      <c r="B1188" s="662"/>
      <c r="C1188" s="377">
        <v>46024</v>
      </c>
      <c r="D1188" s="4" t="s">
        <v>21</v>
      </c>
      <c r="E1188" s="4" t="s">
        <v>30</v>
      </c>
      <c r="F1188" s="517" t="s">
        <v>158</v>
      </c>
      <c r="G1188" s="518">
        <v>222003</v>
      </c>
      <c r="H1188" s="16" t="s">
        <v>4301</v>
      </c>
      <c r="I1188" s="518" t="s">
        <v>4310</v>
      </c>
      <c r="J1188" s="517"/>
      <c r="K1188" s="518" t="s">
        <v>4311</v>
      </c>
      <c r="L1188" s="125" t="s">
        <v>84</v>
      </c>
      <c r="M1188" s="423">
        <v>250000</v>
      </c>
      <c r="N1188" s="6" t="s">
        <v>1655</v>
      </c>
    </row>
    <row r="1189" spans="1:14" x14ac:dyDescent="0.3">
      <c r="A1189" s="527">
        <v>2</v>
      </c>
      <c r="B1189" s="649" t="s">
        <v>4985</v>
      </c>
      <c r="C1189" s="520" t="s">
        <v>4966</v>
      </c>
      <c r="D1189" s="519" t="s">
        <v>306</v>
      </c>
      <c r="E1189" s="519" t="s">
        <v>322</v>
      </c>
      <c r="F1189" s="519" t="s">
        <v>307</v>
      </c>
      <c r="G1189" s="520" t="s">
        <v>3058</v>
      </c>
      <c r="H1189" s="519" t="s">
        <v>3061</v>
      </c>
      <c r="I1189" s="520" t="s">
        <v>696</v>
      </c>
      <c r="J1189" s="519" t="s">
        <v>664</v>
      </c>
      <c r="K1189" s="519" t="s">
        <v>3176</v>
      </c>
      <c r="L1189" s="519"/>
      <c r="M1189" s="538">
        <v>750000</v>
      </c>
      <c r="N1189" s="519" t="s">
        <v>4967</v>
      </c>
    </row>
    <row r="1190" spans="1:14" x14ac:dyDescent="0.3">
      <c r="A1190" s="527">
        <v>2</v>
      </c>
      <c r="B1190" s="649"/>
      <c r="C1190" s="520" t="s">
        <v>4968</v>
      </c>
      <c r="D1190" s="519" t="s">
        <v>306</v>
      </c>
      <c r="E1190" s="519" t="s">
        <v>322</v>
      </c>
      <c r="F1190" s="519" t="s">
        <v>307</v>
      </c>
      <c r="G1190" s="520" t="s">
        <v>3058</v>
      </c>
      <c r="H1190" s="519" t="s">
        <v>3061</v>
      </c>
      <c r="I1190" s="520" t="s">
        <v>696</v>
      </c>
      <c r="J1190" s="519" t="s">
        <v>664</v>
      </c>
      <c r="K1190" s="519" t="s">
        <v>698</v>
      </c>
      <c r="L1190" s="519"/>
      <c r="M1190" s="538">
        <v>250000</v>
      </c>
      <c r="N1190" s="519" t="s">
        <v>4967</v>
      </c>
    </row>
    <row r="1191" spans="1:14" x14ac:dyDescent="0.3">
      <c r="A1191" s="527">
        <v>2</v>
      </c>
      <c r="B1191" s="649"/>
      <c r="C1191" s="520" t="s">
        <v>4969</v>
      </c>
      <c r="D1191" s="519" t="s">
        <v>306</v>
      </c>
      <c r="E1191" s="519" t="s">
        <v>322</v>
      </c>
      <c r="F1191" s="519" t="s">
        <v>307</v>
      </c>
      <c r="G1191" s="520" t="s">
        <v>4948</v>
      </c>
      <c r="H1191" s="519" t="s">
        <v>3117</v>
      </c>
      <c r="I1191" s="520" t="s">
        <v>4970</v>
      </c>
      <c r="J1191" s="519" t="s">
        <v>664</v>
      </c>
      <c r="K1191" s="519" t="s">
        <v>4971</v>
      </c>
      <c r="L1191" s="519"/>
      <c r="M1191" s="538">
        <v>1000000</v>
      </c>
      <c r="N1191" s="519"/>
    </row>
    <row r="1192" spans="1:14" x14ac:dyDescent="0.3">
      <c r="A1192" s="527">
        <v>2</v>
      </c>
      <c r="B1192" s="649"/>
      <c r="C1192" s="520" t="s">
        <v>4972</v>
      </c>
      <c r="D1192" s="519" t="s">
        <v>306</v>
      </c>
      <c r="E1192" s="519" t="s">
        <v>322</v>
      </c>
      <c r="F1192" s="519" t="s">
        <v>307</v>
      </c>
      <c r="G1192" s="520">
        <v>1569</v>
      </c>
      <c r="H1192" s="519" t="s">
        <v>3179</v>
      </c>
      <c r="I1192" s="520" t="s">
        <v>4925</v>
      </c>
      <c r="J1192" s="519" t="s">
        <v>664</v>
      </c>
      <c r="K1192" s="519" t="s">
        <v>3105</v>
      </c>
      <c r="L1192" s="519"/>
      <c r="M1192" s="538">
        <v>500000</v>
      </c>
      <c r="N1192" s="519"/>
    </row>
    <row r="1193" spans="1:14" x14ac:dyDescent="0.3">
      <c r="A1193" s="527">
        <v>2</v>
      </c>
      <c r="B1193" s="649"/>
      <c r="C1193" s="520" t="s">
        <v>4973</v>
      </c>
      <c r="D1193" s="519" t="s">
        <v>306</v>
      </c>
      <c r="E1193" s="519" t="s">
        <v>322</v>
      </c>
      <c r="F1193" s="519" t="s">
        <v>307</v>
      </c>
      <c r="G1193" s="520" t="s">
        <v>4974</v>
      </c>
      <c r="H1193" s="519" t="s">
        <v>347</v>
      </c>
      <c r="I1193" s="520" t="s">
        <v>4975</v>
      </c>
      <c r="J1193" s="519" t="s">
        <v>664</v>
      </c>
      <c r="K1193" s="519" t="s">
        <v>4953</v>
      </c>
      <c r="L1193" s="519"/>
      <c r="M1193" s="538">
        <v>750000</v>
      </c>
      <c r="N1193" s="519"/>
    </row>
    <row r="1194" spans="1:14" x14ac:dyDescent="0.3">
      <c r="A1194" s="527">
        <v>2</v>
      </c>
      <c r="B1194" s="649"/>
      <c r="C1194" s="520" t="s">
        <v>4969</v>
      </c>
      <c r="D1194" s="519" t="s">
        <v>306</v>
      </c>
      <c r="E1194" s="519" t="s">
        <v>322</v>
      </c>
      <c r="F1194" s="519" t="s">
        <v>307</v>
      </c>
      <c r="G1194" s="520" t="s">
        <v>4976</v>
      </c>
      <c r="H1194" s="519" t="s">
        <v>4977</v>
      </c>
      <c r="I1194" s="520" t="s">
        <v>4978</v>
      </c>
      <c r="J1194" s="519" t="s">
        <v>664</v>
      </c>
      <c r="K1194" s="519" t="s">
        <v>4979</v>
      </c>
      <c r="L1194" s="519"/>
      <c r="M1194" s="538">
        <v>750000</v>
      </c>
      <c r="N1194" s="519"/>
    </row>
    <row r="1195" spans="1:14" x14ac:dyDescent="0.3">
      <c r="A1195" s="527">
        <v>2</v>
      </c>
      <c r="B1195" s="649"/>
      <c r="C1195" s="520" t="s">
        <v>4972</v>
      </c>
      <c r="D1195" s="519" t="s">
        <v>306</v>
      </c>
      <c r="E1195" s="519" t="s">
        <v>322</v>
      </c>
      <c r="F1195" s="519" t="s">
        <v>307</v>
      </c>
      <c r="G1195" s="520" t="s">
        <v>3405</v>
      </c>
      <c r="H1195" s="519" t="s">
        <v>347</v>
      </c>
      <c r="I1195" s="520" t="s">
        <v>4980</v>
      </c>
      <c r="J1195" s="519" t="s">
        <v>664</v>
      </c>
      <c r="K1195" s="519" t="s">
        <v>4981</v>
      </c>
      <c r="L1195" s="519"/>
      <c r="M1195" s="538">
        <v>500000</v>
      </c>
      <c r="N1195" s="519"/>
    </row>
    <row r="1196" spans="1:14" x14ac:dyDescent="0.3">
      <c r="A1196" s="527">
        <v>2</v>
      </c>
      <c r="B1196" s="649"/>
      <c r="C1196" s="520" t="s">
        <v>4982</v>
      </c>
      <c r="D1196" s="519" t="s">
        <v>306</v>
      </c>
      <c r="E1196" s="519" t="s">
        <v>322</v>
      </c>
      <c r="F1196" s="519" t="s">
        <v>307</v>
      </c>
      <c r="G1196" s="520" t="s">
        <v>3405</v>
      </c>
      <c r="H1196" s="519" t="s">
        <v>662</v>
      </c>
      <c r="I1196" s="520" t="s">
        <v>4983</v>
      </c>
      <c r="J1196" s="519" t="s">
        <v>664</v>
      </c>
      <c r="K1196" s="519" t="s">
        <v>4984</v>
      </c>
      <c r="L1196" s="519"/>
      <c r="M1196" s="538">
        <v>1000000</v>
      </c>
      <c r="N1196" s="519"/>
    </row>
    <row r="1197" spans="1:14" x14ac:dyDescent="0.3">
      <c r="A1197" s="527">
        <v>2</v>
      </c>
      <c r="B1197" s="649" t="s">
        <v>21</v>
      </c>
      <c r="C1197" s="520" t="s">
        <v>4986</v>
      </c>
      <c r="D1197" s="519" t="s">
        <v>311</v>
      </c>
      <c r="E1197" s="519" t="s">
        <v>320</v>
      </c>
      <c r="F1197" s="520" t="s">
        <v>709</v>
      </c>
      <c r="G1197" s="520" t="s">
        <v>3102</v>
      </c>
      <c r="H1197" s="520" t="s">
        <v>3103</v>
      </c>
      <c r="I1197" s="520" t="s">
        <v>4987</v>
      </c>
      <c r="J1197" s="520"/>
      <c r="K1197" s="520" t="s">
        <v>4988</v>
      </c>
      <c r="L1197" s="519" t="s">
        <v>309</v>
      </c>
      <c r="M1197" s="544">
        <v>900000</v>
      </c>
      <c r="N1197" s="519" t="s">
        <v>4989</v>
      </c>
    </row>
    <row r="1198" spans="1:14" x14ac:dyDescent="0.3">
      <c r="A1198" s="527">
        <v>2</v>
      </c>
      <c r="B1198" s="649"/>
      <c r="C1198" s="520" t="s">
        <v>4986</v>
      </c>
      <c r="D1198" s="519" t="s">
        <v>311</v>
      </c>
      <c r="E1198" s="519" t="s">
        <v>320</v>
      </c>
      <c r="F1198" s="520" t="s">
        <v>709</v>
      </c>
      <c r="G1198" s="520" t="s">
        <v>3102</v>
      </c>
      <c r="H1198" s="520" t="s">
        <v>3103</v>
      </c>
      <c r="I1198" s="520" t="s">
        <v>4990</v>
      </c>
      <c r="J1198" s="520"/>
      <c r="K1198" s="520" t="s">
        <v>692</v>
      </c>
      <c r="L1198" s="519" t="s">
        <v>309</v>
      </c>
      <c r="M1198" s="544">
        <v>500000</v>
      </c>
      <c r="N1198" s="519" t="s">
        <v>4989</v>
      </c>
    </row>
    <row r="1199" spans="1:14" x14ac:dyDescent="0.3">
      <c r="A1199" s="527">
        <v>2</v>
      </c>
      <c r="B1199" s="649"/>
      <c r="C1199" s="520" t="s">
        <v>4991</v>
      </c>
      <c r="D1199" s="519" t="s">
        <v>311</v>
      </c>
      <c r="E1199" s="519" t="s">
        <v>320</v>
      </c>
      <c r="F1199" s="520" t="s">
        <v>4992</v>
      </c>
      <c r="G1199" s="520">
        <v>7064</v>
      </c>
      <c r="H1199" s="520" t="s">
        <v>1238</v>
      </c>
      <c r="I1199" s="520" t="s">
        <v>4993</v>
      </c>
      <c r="J1199" s="520"/>
      <c r="K1199" s="520" t="s">
        <v>1102</v>
      </c>
      <c r="L1199" s="519" t="s">
        <v>309</v>
      </c>
      <c r="M1199" s="544">
        <v>250000</v>
      </c>
      <c r="N1199" s="519" t="s">
        <v>4989</v>
      </c>
    </row>
    <row r="1200" spans="1:14" x14ac:dyDescent="0.3">
      <c r="A1200" s="527">
        <v>2</v>
      </c>
      <c r="B1200" s="649"/>
      <c r="C1200" s="520" t="s">
        <v>4991</v>
      </c>
      <c r="D1200" s="519" t="s">
        <v>311</v>
      </c>
      <c r="E1200" s="519" t="s">
        <v>320</v>
      </c>
      <c r="F1200" s="520" t="s">
        <v>4992</v>
      </c>
      <c r="G1200" s="520">
        <v>7064</v>
      </c>
      <c r="H1200" s="520" t="s">
        <v>1238</v>
      </c>
      <c r="I1200" s="520" t="s">
        <v>4994</v>
      </c>
      <c r="J1200" s="520"/>
      <c r="K1200" s="520" t="s">
        <v>731</v>
      </c>
      <c r="L1200" s="519" t="s">
        <v>309</v>
      </c>
      <c r="M1200" s="544">
        <v>300000</v>
      </c>
      <c r="N1200" s="519" t="s">
        <v>4989</v>
      </c>
    </row>
    <row r="1201" spans="1:14" x14ac:dyDescent="0.3">
      <c r="A1201" s="527">
        <v>2</v>
      </c>
      <c r="B1201" s="649"/>
      <c r="C1201" s="520" t="s">
        <v>4995</v>
      </c>
      <c r="D1201" s="519" t="s">
        <v>311</v>
      </c>
      <c r="E1201" s="519" t="s">
        <v>320</v>
      </c>
      <c r="F1201" s="520" t="s">
        <v>4996</v>
      </c>
      <c r="G1201" s="520">
        <v>1017</v>
      </c>
      <c r="H1201" s="520" t="s">
        <v>347</v>
      </c>
      <c r="I1201" s="520" t="s">
        <v>4997</v>
      </c>
      <c r="J1201" s="520"/>
      <c r="K1201" s="520" t="s">
        <v>4946</v>
      </c>
      <c r="L1201" s="519" t="s">
        <v>309</v>
      </c>
      <c r="M1201" s="544">
        <v>600000</v>
      </c>
      <c r="N1201" s="519" t="s">
        <v>4989</v>
      </c>
    </row>
    <row r="1202" spans="1:14" x14ac:dyDescent="0.3">
      <c r="A1202" s="527">
        <v>2</v>
      </c>
      <c r="B1202" s="649"/>
      <c r="C1202" s="520" t="s">
        <v>4998</v>
      </c>
      <c r="D1202" s="519" t="s">
        <v>311</v>
      </c>
      <c r="E1202" s="519" t="s">
        <v>675</v>
      </c>
      <c r="F1202" s="520" t="s">
        <v>2605</v>
      </c>
      <c r="G1202" s="520" t="s">
        <v>4999</v>
      </c>
      <c r="H1202" s="520" t="s">
        <v>3064</v>
      </c>
      <c r="I1202" s="520" t="s">
        <v>5000</v>
      </c>
      <c r="J1202" s="520" t="s">
        <v>702</v>
      </c>
      <c r="K1202" s="520" t="s">
        <v>692</v>
      </c>
      <c r="L1202" s="519" t="s">
        <v>309</v>
      </c>
      <c r="M1202" s="544">
        <v>500000</v>
      </c>
      <c r="N1202" s="519" t="s">
        <v>5000</v>
      </c>
    </row>
    <row r="1203" spans="1:14" ht="22.5" x14ac:dyDescent="0.3">
      <c r="A1203" s="527">
        <v>2</v>
      </c>
      <c r="B1203" s="649"/>
      <c r="C1203" s="520" t="s">
        <v>5001</v>
      </c>
      <c r="D1203" s="519" t="s">
        <v>311</v>
      </c>
      <c r="E1203" s="519" t="s">
        <v>675</v>
      </c>
      <c r="F1203" s="528" t="s">
        <v>5002</v>
      </c>
      <c r="G1203" s="520" t="s">
        <v>5003</v>
      </c>
      <c r="H1203" s="520" t="s">
        <v>5004</v>
      </c>
      <c r="I1203" s="520" t="s">
        <v>5005</v>
      </c>
      <c r="J1203" s="520"/>
      <c r="K1203" s="520" t="s">
        <v>5006</v>
      </c>
      <c r="L1203" s="519" t="s">
        <v>309</v>
      </c>
      <c r="M1203" s="544">
        <v>1000000</v>
      </c>
      <c r="N1203" s="159" t="s">
        <v>5007</v>
      </c>
    </row>
    <row r="1204" spans="1:14" x14ac:dyDescent="0.3">
      <c r="A1204" s="527">
        <v>2</v>
      </c>
      <c r="B1204" s="649"/>
      <c r="C1204" s="520" t="s">
        <v>5008</v>
      </c>
      <c r="D1204" s="519" t="s">
        <v>311</v>
      </c>
      <c r="E1204" s="519" t="s">
        <v>675</v>
      </c>
      <c r="F1204" s="520" t="s">
        <v>720</v>
      </c>
      <c r="G1204" s="520" t="s">
        <v>1412</v>
      </c>
      <c r="H1204" s="520" t="s">
        <v>3117</v>
      </c>
      <c r="I1204" s="520" t="s">
        <v>5009</v>
      </c>
      <c r="J1204" s="520"/>
      <c r="K1204" s="520" t="s">
        <v>5010</v>
      </c>
      <c r="L1204" s="519" t="s">
        <v>309</v>
      </c>
      <c r="M1204" s="544">
        <v>500000</v>
      </c>
      <c r="N1204" s="519" t="s">
        <v>1206</v>
      </c>
    </row>
    <row r="1205" spans="1:14" x14ac:dyDescent="0.3">
      <c r="A1205" s="527">
        <v>2</v>
      </c>
      <c r="B1205" s="649"/>
      <c r="C1205" s="520" t="s">
        <v>5011</v>
      </c>
      <c r="D1205" s="519" t="s">
        <v>311</v>
      </c>
      <c r="E1205" s="519" t="s">
        <v>320</v>
      </c>
      <c r="F1205" s="520" t="s">
        <v>690</v>
      </c>
      <c r="G1205" s="520" t="s">
        <v>3070</v>
      </c>
      <c r="H1205" s="520" t="s">
        <v>1198</v>
      </c>
      <c r="I1205" s="520" t="s">
        <v>5012</v>
      </c>
      <c r="J1205" s="520" t="s">
        <v>638</v>
      </c>
      <c r="K1205" s="520" t="s">
        <v>3196</v>
      </c>
      <c r="L1205" s="519" t="s">
        <v>309</v>
      </c>
      <c r="M1205" s="544">
        <v>300000</v>
      </c>
      <c r="N1205" s="519" t="s">
        <v>1206</v>
      </c>
    </row>
    <row r="1206" spans="1:14" x14ac:dyDescent="0.3">
      <c r="A1206" s="527">
        <v>2</v>
      </c>
      <c r="B1206" s="649"/>
      <c r="C1206" s="520" t="s">
        <v>5013</v>
      </c>
      <c r="D1206" s="519" t="s">
        <v>311</v>
      </c>
      <c r="E1206" s="519" t="s">
        <v>320</v>
      </c>
      <c r="F1206" s="520" t="s">
        <v>690</v>
      </c>
      <c r="G1206" s="520" t="s">
        <v>5014</v>
      </c>
      <c r="H1206" s="520" t="s">
        <v>3173</v>
      </c>
      <c r="I1206" s="520" t="s">
        <v>5015</v>
      </c>
      <c r="J1206" s="520"/>
      <c r="K1206" s="520" t="s">
        <v>3196</v>
      </c>
      <c r="L1206" s="519" t="s">
        <v>309</v>
      </c>
      <c r="M1206" s="544">
        <v>300000</v>
      </c>
      <c r="N1206" s="519" t="s">
        <v>1206</v>
      </c>
    </row>
    <row r="1207" spans="1:14" x14ac:dyDescent="0.3">
      <c r="A1207" s="527">
        <v>2</v>
      </c>
      <c r="B1207" s="649"/>
      <c r="C1207" s="520" t="s">
        <v>5013</v>
      </c>
      <c r="D1207" s="519" t="s">
        <v>311</v>
      </c>
      <c r="E1207" s="519" t="s">
        <v>320</v>
      </c>
      <c r="F1207" s="520" t="s">
        <v>690</v>
      </c>
      <c r="G1207" s="520" t="s">
        <v>5014</v>
      </c>
      <c r="H1207" s="520" t="s">
        <v>1198</v>
      </c>
      <c r="I1207" s="520" t="s">
        <v>5016</v>
      </c>
      <c r="J1207" s="520"/>
      <c r="K1207" s="520" t="s">
        <v>705</v>
      </c>
      <c r="L1207" s="519" t="s">
        <v>309</v>
      </c>
      <c r="M1207" s="544">
        <v>500000</v>
      </c>
      <c r="N1207" s="519" t="s">
        <v>1206</v>
      </c>
    </row>
    <row r="1208" spans="1:14" x14ac:dyDescent="0.3">
      <c r="A1208" s="527">
        <v>2</v>
      </c>
      <c r="B1208" s="649"/>
      <c r="C1208" s="796" t="s">
        <v>5017</v>
      </c>
      <c r="D1208" s="794" t="s">
        <v>311</v>
      </c>
      <c r="E1208" s="794" t="s">
        <v>675</v>
      </c>
      <c r="F1208" s="796" t="s">
        <v>337</v>
      </c>
      <c r="G1208" s="796" t="s">
        <v>353</v>
      </c>
      <c r="H1208" s="796" t="s">
        <v>5018</v>
      </c>
      <c r="I1208" s="529" t="s">
        <v>5019</v>
      </c>
      <c r="J1208" s="796" t="s">
        <v>638</v>
      </c>
      <c r="K1208" s="796" t="s">
        <v>713</v>
      </c>
      <c r="L1208" s="794" t="s">
        <v>309</v>
      </c>
      <c r="M1208" s="795">
        <v>250000</v>
      </c>
      <c r="N1208" s="794" t="s">
        <v>5000</v>
      </c>
    </row>
    <row r="1209" spans="1:14" x14ac:dyDescent="0.3">
      <c r="A1209" s="527">
        <v>2</v>
      </c>
      <c r="B1209" s="649"/>
      <c r="C1209" s="796"/>
      <c r="D1209" s="794"/>
      <c r="E1209" s="794"/>
      <c r="F1209" s="796"/>
      <c r="G1209" s="796"/>
      <c r="H1209" s="796"/>
      <c r="I1209" s="529" t="s">
        <v>5020</v>
      </c>
      <c r="J1209" s="796"/>
      <c r="K1209" s="796"/>
      <c r="L1209" s="794"/>
      <c r="M1209" s="795"/>
      <c r="N1209" s="794"/>
    </row>
    <row r="1210" spans="1:14" x14ac:dyDescent="0.3">
      <c r="A1210" s="527">
        <v>2</v>
      </c>
      <c r="B1210" s="649"/>
      <c r="C1210" s="520" t="s">
        <v>5017</v>
      </c>
      <c r="D1210" s="519" t="s">
        <v>311</v>
      </c>
      <c r="E1210" s="519" t="s">
        <v>320</v>
      </c>
      <c r="F1210" s="520" t="s">
        <v>337</v>
      </c>
      <c r="G1210" s="520" t="s">
        <v>3405</v>
      </c>
      <c r="H1210" s="520" t="s">
        <v>1818</v>
      </c>
      <c r="I1210" s="520" t="s">
        <v>5021</v>
      </c>
      <c r="J1210" s="520"/>
      <c r="K1210" s="520" t="s">
        <v>5022</v>
      </c>
      <c r="L1210" s="519" t="s">
        <v>309</v>
      </c>
      <c r="M1210" s="538">
        <v>250000</v>
      </c>
      <c r="N1210" s="519" t="s">
        <v>5000</v>
      </c>
    </row>
    <row r="1211" spans="1:14" x14ac:dyDescent="0.3">
      <c r="A1211" s="527">
        <v>3</v>
      </c>
      <c r="B1211" s="649" t="s">
        <v>20</v>
      </c>
      <c r="C1211" s="520" t="s">
        <v>5011</v>
      </c>
      <c r="D1211" s="519" t="s">
        <v>306</v>
      </c>
      <c r="E1211" s="519" t="s">
        <v>322</v>
      </c>
      <c r="F1211" s="519" t="s">
        <v>307</v>
      </c>
      <c r="G1211" s="520" t="s">
        <v>5023</v>
      </c>
      <c r="H1211" s="520" t="s">
        <v>3173</v>
      </c>
      <c r="I1211" s="520" t="s">
        <v>5024</v>
      </c>
      <c r="J1211" s="519" t="s">
        <v>702</v>
      </c>
      <c r="K1211" s="519" t="s">
        <v>713</v>
      </c>
      <c r="L1211" s="519"/>
      <c r="M1211" s="538">
        <v>250000</v>
      </c>
      <c r="N1211" s="519" t="s">
        <v>5025</v>
      </c>
    </row>
    <row r="1212" spans="1:14" x14ac:dyDescent="0.3">
      <c r="A1212" s="527">
        <v>3</v>
      </c>
      <c r="B1212" s="649"/>
      <c r="C1212" s="520" t="s">
        <v>5017</v>
      </c>
      <c r="D1212" s="519" t="s">
        <v>306</v>
      </c>
      <c r="E1212" s="519" t="s">
        <v>322</v>
      </c>
      <c r="F1212" s="519" t="s">
        <v>307</v>
      </c>
      <c r="G1212" s="520" t="s">
        <v>3405</v>
      </c>
      <c r="H1212" s="520" t="s">
        <v>347</v>
      </c>
      <c r="I1212" s="520" t="s">
        <v>5026</v>
      </c>
      <c r="J1212" s="519" t="s">
        <v>664</v>
      </c>
      <c r="K1212" s="519" t="s">
        <v>705</v>
      </c>
      <c r="L1212" s="519"/>
      <c r="M1212" s="538">
        <v>500000</v>
      </c>
      <c r="N1212" s="519" t="s">
        <v>5025</v>
      </c>
    </row>
    <row r="1213" spans="1:14" x14ac:dyDescent="0.3">
      <c r="A1213" s="527">
        <v>3</v>
      </c>
      <c r="B1213" s="649"/>
      <c r="C1213" s="520" t="s">
        <v>5027</v>
      </c>
      <c r="D1213" s="519" t="s">
        <v>306</v>
      </c>
      <c r="E1213" s="519" t="s">
        <v>322</v>
      </c>
      <c r="F1213" s="519" t="s">
        <v>307</v>
      </c>
      <c r="G1213" s="520" t="s">
        <v>3058</v>
      </c>
      <c r="H1213" s="520" t="s">
        <v>3061</v>
      </c>
      <c r="I1213" s="520" t="s">
        <v>5028</v>
      </c>
      <c r="J1213" s="519" t="s">
        <v>664</v>
      </c>
      <c r="K1213" s="519" t="s">
        <v>3186</v>
      </c>
      <c r="L1213" s="519"/>
      <c r="M1213" s="538">
        <v>1250000</v>
      </c>
      <c r="N1213" s="519"/>
    </row>
    <row r="1214" spans="1:14" x14ac:dyDescent="0.3">
      <c r="A1214" s="527">
        <v>3</v>
      </c>
      <c r="B1214" s="649"/>
      <c r="C1214" s="520" t="s">
        <v>5029</v>
      </c>
      <c r="D1214" s="519" t="s">
        <v>306</v>
      </c>
      <c r="E1214" s="519" t="s">
        <v>322</v>
      </c>
      <c r="F1214" s="519" t="s">
        <v>307</v>
      </c>
      <c r="G1214" s="520">
        <v>1569</v>
      </c>
      <c r="H1214" s="520" t="s">
        <v>3179</v>
      </c>
      <c r="I1214" s="520" t="s">
        <v>4925</v>
      </c>
      <c r="J1214" s="519" t="s">
        <v>664</v>
      </c>
      <c r="K1214" s="519" t="s">
        <v>3105</v>
      </c>
      <c r="L1214" s="519"/>
      <c r="M1214" s="538">
        <v>500000</v>
      </c>
      <c r="N1214" s="519"/>
    </row>
    <row r="1215" spans="1:14" x14ac:dyDescent="0.3">
      <c r="A1215" s="527">
        <v>3</v>
      </c>
      <c r="B1215" s="649"/>
      <c r="C1215" s="520" t="s">
        <v>5030</v>
      </c>
      <c r="D1215" s="519" t="s">
        <v>306</v>
      </c>
      <c r="E1215" s="519" t="s">
        <v>322</v>
      </c>
      <c r="F1215" s="519" t="s">
        <v>307</v>
      </c>
      <c r="G1215" s="520" t="s">
        <v>4812</v>
      </c>
      <c r="H1215" s="520" t="s">
        <v>662</v>
      </c>
      <c r="I1215" s="520" t="s">
        <v>4925</v>
      </c>
      <c r="J1215" s="519" t="s">
        <v>664</v>
      </c>
      <c r="K1215" s="519" t="s">
        <v>4953</v>
      </c>
      <c r="L1215" s="519"/>
      <c r="M1215" s="538">
        <v>750000</v>
      </c>
      <c r="N1215" s="519"/>
    </row>
    <row r="1216" spans="1:14" x14ac:dyDescent="0.3">
      <c r="A1216" s="527">
        <v>3</v>
      </c>
      <c r="B1216" s="649"/>
      <c r="C1216" s="520" t="s">
        <v>5031</v>
      </c>
      <c r="D1216" s="519" t="s">
        <v>306</v>
      </c>
      <c r="E1216" s="519" t="s">
        <v>322</v>
      </c>
      <c r="F1216" s="519" t="s">
        <v>307</v>
      </c>
      <c r="G1216" s="520" t="s">
        <v>4974</v>
      </c>
      <c r="H1216" s="519" t="s">
        <v>347</v>
      </c>
      <c r="I1216" s="520" t="s">
        <v>5028</v>
      </c>
      <c r="J1216" s="519" t="s">
        <v>664</v>
      </c>
      <c r="K1216" s="519" t="s">
        <v>4979</v>
      </c>
      <c r="L1216" s="519"/>
      <c r="M1216" s="538">
        <v>750000</v>
      </c>
      <c r="N1216" s="519"/>
    </row>
    <row r="1217" spans="1:14" x14ac:dyDescent="0.3">
      <c r="A1217" s="527">
        <v>3</v>
      </c>
      <c r="B1217" s="649"/>
      <c r="C1217" s="520" t="s">
        <v>5032</v>
      </c>
      <c r="D1217" s="519" t="s">
        <v>306</v>
      </c>
      <c r="E1217" s="519" t="s">
        <v>322</v>
      </c>
      <c r="F1217" s="519" t="s">
        <v>307</v>
      </c>
      <c r="G1217" s="520">
        <v>594</v>
      </c>
      <c r="H1217" s="519" t="s">
        <v>3173</v>
      </c>
      <c r="I1217" s="520" t="s">
        <v>5033</v>
      </c>
      <c r="J1217" s="519" t="s">
        <v>664</v>
      </c>
      <c r="K1217" s="519" t="s">
        <v>4981</v>
      </c>
      <c r="L1217" s="519"/>
      <c r="M1217" s="538">
        <v>500000</v>
      </c>
      <c r="N1217" s="519"/>
    </row>
    <row r="1218" spans="1:14" x14ac:dyDescent="0.3">
      <c r="A1218" s="527">
        <v>3</v>
      </c>
      <c r="B1218" s="649" t="s">
        <v>5057</v>
      </c>
      <c r="C1218" s="520" t="s">
        <v>5011</v>
      </c>
      <c r="D1218" s="519" t="s">
        <v>311</v>
      </c>
      <c r="E1218" s="519" t="s">
        <v>320</v>
      </c>
      <c r="F1218" s="529" t="s">
        <v>2605</v>
      </c>
      <c r="G1218" s="520" t="s">
        <v>3063</v>
      </c>
      <c r="H1218" s="520" t="s">
        <v>3064</v>
      </c>
      <c r="I1218" s="520" t="s">
        <v>5034</v>
      </c>
      <c r="J1218" s="520" t="s">
        <v>702</v>
      </c>
      <c r="K1218" s="520" t="s">
        <v>713</v>
      </c>
      <c r="L1218" s="519" t="s">
        <v>309</v>
      </c>
      <c r="M1218" s="544">
        <v>250000</v>
      </c>
      <c r="N1218" s="519" t="s">
        <v>5035</v>
      </c>
    </row>
    <row r="1219" spans="1:14" x14ac:dyDescent="0.3">
      <c r="A1219" s="527">
        <v>3</v>
      </c>
      <c r="B1219" s="649"/>
      <c r="C1219" s="520" t="s">
        <v>4972</v>
      </c>
      <c r="D1219" s="519" t="s">
        <v>311</v>
      </c>
      <c r="E1219" s="519" t="s">
        <v>320</v>
      </c>
      <c r="F1219" s="519" t="s">
        <v>4996</v>
      </c>
      <c r="G1219" s="519">
        <v>1017</v>
      </c>
      <c r="H1219" s="519" t="s">
        <v>347</v>
      </c>
      <c r="I1219" s="520" t="s">
        <v>5036</v>
      </c>
      <c r="J1219" s="520"/>
      <c r="K1219" s="520" t="s">
        <v>1054</v>
      </c>
      <c r="L1219" s="519" t="s">
        <v>309</v>
      </c>
      <c r="M1219" s="544">
        <v>1000000</v>
      </c>
      <c r="N1219" s="519" t="s">
        <v>5035</v>
      </c>
    </row>
    <row r="1220" spans="1:14" x14ac:dyDescent="0.3">
      <c r="A1220" s="527">
        <v>3</v>
      </c>
      <c r="B1220" s="649"/>
      <c r="C1220" s="520" t="s">
        <v>5037</v>
      </c>
      <c r="D1220" s="519" t="s">
        <v>311</v>
      </c>
      <c r="E1220" s="519" t="s">
        <v>675</v>
      </c>
      <c r="F1220" s="520" t="s">
        <v>5038</v>
      </c>
      <c r="G1220" s="520" t="s">
        <v>403</v>
      </c>
      <c r="H1220" s="520" t="s">
        <v>5039</v>
      </c>
      <c r="I1220" s="520" t="s">
        <v>5040</v>
      </c>
      <c r="J1220" s="520"/>
      <c r="K1220" s="520" t="s">
        <v>4946</v>
      </c>
      <c r="L1220" s="519" t="s">
        <v>309</v>
      </c>
      <c r="M1220" s="544">
        <v>600000</v>
      </c>
      <c r="N1220" s="519" t="s">
        <v>1929</v>
      </c>
    </row>
    <row r="1221" spans="1:14" x14ac:dyDescent="0.3">
      <c r="A1221" s="527">
        <v>3</v>
      </c>
      <c r="B1221" s="649"/>
      <c r="C1221" s="520" t="s">
        <v>5037</v>
      </c>
      <c r="D1221" s="519" t="s">
        <v>311</v>
      </c>
      <c r="E1221" s="519" t="s">
        <v>320</v>
      </c>
      <c r="F1221" s="529" t="s">
        <v>2605</v>
      </c>
      <c r="G1221" s="520" t="s">
        <v>4999</v>
      </c>
      <c r="H1221" s="520" t="s">
        <v>3064</v>
      </c>
      <c r="I1221" s="520" t="s">
        <v>5041</v>
      </c>
      <c r="J1221" s="520"/>
      <c r="K1221" s="520" t="s">
        <v>692</v>
      </c>
      <c r="L1221" s="519" t="s">
        <v>309</v>
      </c>
      <c r="M1221" s="544">
        <v>500000</v>
      </c>
      <c r="N1221" s="519" t="s">
        <v>5042</v>
      </c>
    </row>
    <row r="1222" spans="1:14" x14ac:dyDescent="0.3">
      <c r="A1222" s="527">
        <v>3</v>
      </c>
      <c r="B1222" s="649"/>
      <c r="C1222" s="796" t="s">
        <v>5043</v>
      </c>
      <c r="D1222" s="794" t="s">
        <v>311</v>
      </c>
      <c r="E1222" s="794" t="s">
        <v>675</v>
      </c>
      <c r="F1222" s="520" t="s">
        <v>5044</v>
      </c>
      <c r="G1222" s="520" t="s">
        <v>5046</v>
      </c>
      <c r="H1222" s="796" t="s">
        <v>347</v>
      </c>
      <c r="I1222" s="520" t="s">
        <v>5048</v>
      </c>
      <c r="J1222" s="796"/>
      <c r="K1222" s="796" t="s">
        <v>705</v>
      </c>
      <c r="L1222" s="794" t="s">
        <v>309</v>
      </c>
      <c r="M1222" s="795">
        <v>500000</v>
      </c>
      <c r="N1222" s="794" t="s">
        <v>5042</v>
      </c>
    </row>
    <row r="1223" spans="1:14" x14ac:dyDescent="0.3">
      <c r="A1223" s="527">
        <v>3</v>
      </c>
      <c r="B1223" s="649"/>
      <c r="C1223" s="796"/>
      <c r="D1223" s="794"/>
      <c r="E1223" s="794"/>
      <c r="F1223" s="520" t="s">
        <v>5045</v>
      </c>
      <c r="G1223" s="520" t="s">
        <v>5047</v>
      </c>
      <c r="H1223" s="796"/>
      <c r="I1223" s="520" t="s">
        <v>5049</v>
      </c>
      <c r="J1223" s="796"/>
      <c r="K1223" s="796"/>
      <c r="L1223" s="794"/>
      <c r="M1223" s="795"/>
      <c r="N1223" s="794"/>
    </row>
    <row r="1224" spans="1:14" x14ac:dyDescent="0.3">
      <c r="A1224" s="527">
        <v>3</v>
      </c>
      <c r="B1224" s="649"/>
      <c r="C1224" s="520" t="s">
        <v>5043</v>
      </c>
      <c r="D1224" s="519" t="s">
        <v>311</v>
      </c>
      <c r="E1224" s="519" t="s">
        <v>320</v>
      </c>
      <c r="F1224" s="520" t="s">
        <v>337</v>
      </c>
      <c r="G1224" s="520" t="s">
        <v>3405</v>
      </c>
      <c r="H1224" s="520" t="s">
        <v>1818</v>
      </c>
      <c r="I1224" s="520" t="s">
        <v>5021</v>
      </c>
      <c r="J1224" s="520"/>
      <c r="K1224" s="520" t="s">
        <v>5022</v>
      </c>
      <c r="L1224" s="519" t="s">
        <v>309</v>
      </c>
      <c r="M1224" s="544">
        <v>300000</v>
      </c>
      <c r="N1224" s="519" t="s">
        <v>5042</v>
      </c>
    </row>
    <row r="1225" spans="1:14" x14ac:dyDescent="0.3">
      <c r="A1225" s="527">
        <v>3</v>
      </c>
      <c r="B1225" s="649"/>
      <c r="C1225" s="520" t="s">
        <v>5043</v>
      </c>
      <c r="D1225" s="519" t="s">
        <v>311</v>
      </c>
      <c r="E1225" s="519" t="s">
        <v>675</v>
      </c>
      <c r="F1225" s="520" t="s">
        <v>337</v>
      </c>
      <c r="G1225" s="520" t="s">
        <v>353</v>
      </c>
      <c r="H1225" s="520" t="s">
        <v>347</v>
      </c>
      <c r="I1225" s="529" t="s">
        <v>5050</v>
      </c>
      <c r="J1225" s="520" t="s">
        <v>638</v>
      </c>
      <c r="K1225" s="519" t="s">
        <v>713</v>
      </c>
      <c r="L1225" s="519" t="s">
        <v>309</v>
      </c>
      <c r="M1225" s="544">
        <v>250000</v>
      </c>
      <c r="N1225" s="519" t="s">
        <v>1929</v>
      </c>
    </row>
    <row r="1226" spans="1:14" x14ac:dyDescent="0.3">
      <c r="A1226" s="527">
        <v>3</v>
      </c>
      <c r="B1226" s="649"/>
      <c r="C1226" s="520" t="s">
        <v>5051</v>
      </c>
      <c r="D1226" s="519" t="s">
        <v>311</v>
      </c>
      <c r="E1226" s="519" t="s">
        <v>675</v>
      </c>
      <c r="F1226" s="520" t="s">
        <v>720</v>
      </c>
      <c r="G1226" s="520">
        <v>7060</v>
      </c>
      <c r="H1226" s="520" t="s">
        <v>5052</v>
      </c>
      <c r="I1226" s="529" t="s">
        <v>5053</v>
      </c>
      <c r="J1226" s="520" t="s">
        <v>638</v>
      </c>
      <c r="K1226" s="520" t="s">
        <v>692</v>
      </c>
      <c r="L1226" s="519" t="s">
        <v>309</v>
      </c>
      <c r="M1226" s="544">
        <v>500000</v>
      </c>
      <c r="N1226" s="519" t="s">
        <v>1929</v>
      </c>
    </row>
    <row r="1227" spans="1:14" x14ac:dyDescent="0.3">
      <c r="A1227" s="527">
        <v>3</v>
      </c>
      <c r="B1227" s="649"/>
      <c r="C1227" s="520" t="s">
        <v>5051</v>
      </c>
      <c r="D1227" s="519" t="s">
        <v>311</v>
      </c>
      <c r="E1227" s="519" t="s">
        <v>675</v>
      </c>
      <c r="F1227" s="520" t="s">
        <v>720</v>
      </c>
      <c r="G1227" s="520">
        <v>7060</v>
      </c>
      <c r="H1227" s="520" t="s">
        <v>717</v>
      </c>
      <c r="I1227" s="529" t="s">
        <v>5054</v>
      </c>
      <c r="J1227" s="520" t="s">
        <v>638</v>
      </c>
      <c r="K1227" s="520" t="s">
        <v>731</v>
      </c>
      <c r="L1227" s="519" t="s">
        <v>309</v>
      </c>
      <c r="M1227" s="544">
        <v>300000</v>
      </c>
      <c r="N1227" s="519" t="s">
        <v>1929</v>
      </c>
    </row>
    <row r="1228" spans="1:14" x14ac:dyDescent="0.3">
      <c r="A1228" s="527">
        <v>3</v>
      </c>
      <c r="B1228" s="649"/>
      <c r="C1228" s="520" t="s">
        <v>5055</v>
      </c>
      <c r="D1228" s="519" t="s">
        <v>311</v>
      </c>
      <c r="E1228" s="519" t="s">
        <v>320</v>
      </c>
      <c r="F1228" s="520" t="s">
        <v>690</v>
      </c>
      <c r="G1228" s="520" t="s">
        <v>3070</v>
      </c>
      <c r="H1228" s="520" t="s">
        <v>347</v>
      </c>
      <c r="I1228" s="520" t="s">
        <v>5056</v>
      </c>
      <c r="J1228" s="519" t="s">
        <v>638</v>
      </c>
      <c r="K1228" s="520" t="s">
        <v>692</v>
      </c>
      <c r="L1228" s="519" t="s">
        <v>309</v>
      </c>
      <c r="M1228" s="544">
        <v>500000</v>
      </c>
      <c r="N1228" s="519" t="s">
        <v>5042</v>
      </c>
    </row>
    <row r="1229" spans="1:14" x14ac:dyDescent="0.3">
      <c r="A1229" s="527">
        <v>4</v>
      </c>
      <c r="B1229" s="649" t="s">
        <v>20</v>
      </c>
      <c r="C1229" s="520" t="s">
        <v>5072</v>
      </c>
      <c r="D1229" s="519" t="s">
        <v>306</v>
      </c>
      <c r="E1229" s="519" t="s">
        <v>322</v>
      </c>
      <c r="F1229" s="519" t="s">
        <v>307</v>
      </c>
      <c r="G1229" s="520" t="s">
        <v>3405</v>
      </c>
      <c r="H1229" s="520" t="s">
        <v>347</v>
      </c>
      <c r="I1229" s="520" t="s">
        <v>5026</v>
      </c>
      <c r="J1229" s="519" t="s">
        <v>664</v>
      </c>
      <c r="K1229" s="519" t="s">
        <v>5058</v>
      </c>
      <c r="L1229" s="519"/>
      <c r="M1229" s="538">
        <v>1250000</v>
      </c>
      <c r="N1229" s="519" t="s">
        <v>5059</v>
      </c>
    </row>
    <row r="1230" spans="1:14" x14ac:dyDescent="0.3">
      <c r="A1230" s="527">
        <v>4</v>
      </c>
      <c r="B1230" s="649"/>
      <c r="C1230" s="520" t="s">
        <v>5060</v>
      </c>
      <c r="D1230" s="519" t="s">
        <v>306</v>
      </c>
      <c r="E1230" s="519" t="s">
        <v>322</v>
      </c>
      <c r="F1230" s="519" t="s">
        <v>307</v>
      </c>
      <c r="G1230" s="520" t="s">
        <v>5061</v>
      </c>
      <c r="H1230" s="520" t="s">
        <v>4977</v>
      </c>
      <c r="I1230" s="520" t="s">
        <v>5062</v>
      </c>
      <c r="J1230" s="519" t="s">
        <v>664</v>
      </c>
      <c r="K1230" s="519" t="s">
        <v>3186</v>
      </c>
      <c r="L1230" s="519"/>
      <c r="M1230" s="538">
        <v>1250000</v>
      </c>
      <c r="N1230" s="519"/>
    </row>
    <row r="1231" spans="1:14" x14ac:dyDescent="0.3">
      <c r="A1231" s="527">
        <v>4</v>
      </c>
      <c r="B1231" s="649"/>
      <c r="C1231" s="520" t="s">
        <v>5063</v>
      </c>
      <c r="D1231" s="519" t="s">
        <v>306</v>
      </c>
      <c r="E1231" s="519" t="s">
        <v>322</v>
      </c>
      <c r="F1231" s="519" t="s">
        <v>307</v>
      </c>
      <c r="G1231" s="520" t="s">
        <v>3405</v>
      </c>
      <c r="H1231" s="520" t="s">
        <v>347</v>
      </c>
      <c r="I1231" s="520" t="s">
        <v>5064</v>
      </c>
      <c r="J1231" s="519" t="s">
        <v>664</v>
      </c>
      <c r="K1231" s="519" t="s">
        <v>3109</v>
      </c>
      <c r="L1231" s="519"/>
      <c r="M1231" s="538">
        <v>250000</v>
      </c>
      <c r="N1231" s="519"/>
    </row>
    <row r="1232" spans="1:14" x14ac:dyDescent="0.3">
      <c r="A1232" s="527">
        <v>4</v>
      </c>
      <c r="B1232" s="649"/>
      <c r="C1232" s="520" t="s">
        <v>5065</v>
      </c>
      <c r="D1232" s="519" t="s">
        <v>306</v>
      </c>
      <c r="E1232" s="519" t="s">
        <v>322</v>
      </c>
      <c r="F1232" s="519" t="s">
        <v>307</v>
      </c>
      <c r="G1232" s="520" t="s">
        <v>3058</v>
      </c>
      <c r="H1232" s="520" t="s">
        <v>354</v>
      </c>
      <c r="I1232" s="520" t="s">
        <v>5066</v>
      </c>
      <c r="J1232" s="519" t="s">
        <v>664</v>
      </c>
      <c r="K1232" s="519" t="s">
        <v>4953</v>
      </c>
      <c r="L1232" s="519"/>
      <c r="M1232" s="538">
        <v>750000</v>
      </c>
      <c r="N1232" s="519"/>
    </row>
    <row r="1233" spans="1:14" x14ac:dyDescent="0.3">
      <c r="A1233" s="527">
        <v>4</v>
      </c>
      <c r="B1233" s="649"/>
      <c r="C1233" s="520" t="s">
        <v>5067</v>
      </c>
      <c r="D1233" s="519" t="s">
        <v>306</v>
      </c>
      <c r="E1233" s="519" t="s">
        <v>322</v>
      </c>
      <c r="F1233" s="519" t="s">
        <v>307</v>
      </c>
      <c r="G1233" s="520" t="s">
        <v>5068</v>
      </c>
      <c r="H1233" s="519" t="s">
        <v>1047</v>
      </c>
      <c r="I1233" s="520" t="s">
        <v>5069</v>
      </c>
      <c r="J1233" s="519" t="s">
        <v>664</v>
      </c>
      <c r="K1233" s="519" t="s">
        <v>4981</v>
      </c>
      <c r="L1233" s="519"/>
      <c r="M1233" s="538">
        <v>750000</v>
      </c>
      <c r="N1233" s="519"/>
    </row>
    <row r="1234" spans="1:14" x14ac:dyDescent="0.3">
      <c r="A1234" s="527">
        <v>4</v>
      </c>
      <c r="B1234" s="649"/>
      <c r="C1234" s="520" t="s">
        <v>5065</v>
      </c>
      <c r="D1234" s="519" t="s">
        <v>306</v>
      </c>
      <c r="E1234" s="519" t="s">
        <v>322</v>
      </c>
      <c r="F1234" s="519" t="s">
        <v>307</v>
      </c>
      <c r="G1234" s="520" t="s">
        <v>5070</v>
      </c>
      <c r="H1234" s="519" t="s">
        <v>354</v>
      </c>
      <c r="I1234" s="520" t="s">
        <v>5071</v>
      </c>
      <c r="J1234" s="519" t="s">
        <v>664</v>
      </c>
      <c r="K1234" s="519" t="s">
        <v>4979</v>
      </c>
      <c r="L1234" s="519"/>
      <c r="M1234" s="538">
        <v>500000</v>
      </c>
      <c r="N1234" s="519"/>
    </row>
    <row r="1235" spans="1:14" x14ac:dyDescent="0.3">
      <c r="A1235" s="527">
        <v>4</v>
      </c>
      <c r="B1235" s="649" t="s">
        <v>5057</v>
      </c>
      <c r="C1235" s="520" t="s">
        <v>5073</v>
      </c>
      <c r="D1235" s="519" t="s">
        <v>311</v>
      </c>
      <c r="E1235" s="519" t="s">
        <v>675</v>
      </c>
      <c r="F1235" s="520" t="s">
        <v>720</v>
      </c>
      <c r="G1235" s="520">
        <v>7060</v>
      </c>
      <c r="H1235" s="520" t="s">
        <v>717</v>
      </c>
      <c r="I1235" s="520" t="s">
        <v>5074</v>
      </c>
      <c r="J1235" s="520"/>
      <c r="K1235" s="520" t="s">
        <v>692</v>
      </c>
      <c r="L1235" s="519" t="s">
        <v>309</v>
      </c>
      <c r="M1235" s="544">
        <v>500000</v>
      </c>
      <c r="N1235" s="519" t="s">
        <v>5075</v>
      </c>
    </row>
    <row r="1236" spans="1:14" x14ac:dyDescent="0.3">
      <c r="A1236" s="527">
        <v>4</v>
      </c>
      <c r="B1236" s="649"/>
      <c r="C1236" s="520" t="s">
        <v>5073</v>
      </c>
      <c r="D1236" s="519" t="s">
        <v>311</v>
      </c>
      <c r="E1236" s="519" t="s">
        <v>675</v>
      </c>
      <c r="F1236" s="520" t="s">
        <v>720</v>
      </c>
      <c r="G1236" s="520">
        <v>7060</v>
      </c>
      <c r="H1236" s="520" t="s">
        <v>1413</v>
      </c>
      <c r="I1236" s="520" t="s">
        <v>5076</v>
      </c>
      <c r="J1236" s="520"/>
      <c r="K1236" s="520" t="s">
        <v>731</v>
      </c>
      <c r="L1236" s="519" t="s">
        <v>309</v>
      </c>
      <c r="M1236" s="544">
        <v>300000</v>
      </c>
      <c r="N1236" s="519" t="s">
        <v>5075</v>
      </c>
    </row>
    <row r="1237" spans="1:14" x14ac:dyDescent="0.3">
      <c r="A1237" s="527">
        <v>4</v>
      </c>
      <c r="B1237" s="649"/>
      <c r="C1237" s="520" t="s">
        <v>5055</v>
      </c>
      <c r="D1237" s="519" t="s">
        <v>311</v>
      </c>
      <c r="E1237" s="519" t="s">
        <v>320</v>
      </c>
      <c r="F1237" s="520" t="s">
        <v>337</v>
      </c>
      <c r="G1237" s="520" t="s">
        <v>3405</v>
      </c>
      <c r="H1237" s="520" t="s">
        <v>662</v>
      </c>
      <c r="I1237" s="520" t="s">
        <v>5077</v>
      </c>
      <c r="J1237" s="520"/>
      <c r="K1237" s="520" t="s">
        <v>3176</v>
      </c>
      <c r="L1237" s="519" t="s">
        <v>309</v>
      </c>
      <c r="M1237" s="544">
        <v>750000</v>
      </c>
      <c r="N1237" s="519" t="s">
        <v>5078</v>
      </c>
    </row>
    <row r="1238" spans="1:14" x14ac:dyDescent="0.3">
      <c r="A1238" s="527">
        <v>4</v>
      </c>
      <c r="B1238" s="649"/>
      <c r="C1238" s="520" t="s">
        <v>5079</v>
      </c>
      <c r="D1238" s="519" t="s">
        <v>311</v>
      </c>
      <c r="E1238" s="519" t="s">
        <v>675</v>
      </c>
      <c r="F1238" s="520" t="s">
        <v>5080</v>
      </c>
      <c r="G1238" s="520">
        <v>3006</v>
      </c>
      <c r="H1238" s="520" t="s">
        <v>347</v>
      </c>
      <c r="I1238" s="529" t="s">
        <v>5081</v>
      </c>
      <c r="J1238" s="520"/>
      <c r="K1238" s="520" t="s">
        <v>5006</v>
      </c>
      <c r="L1238" s="519" t="s">
        <v>309</v>
      </c>
      <c r="M1238" s="544">
        <v>1000000</v>
      </c>
      <c r="N1238" s="519" t="s">
        <v>1776</v>
      </c>
    </row>
    <row r="1239" spans="1:14" ht="25.5" x14ac:dyDescent="0.3">
      <c r="A1239" s="527">
        <v>4</v>
      </c>
      <c r="B1239" s="649"/>
      <c r="C1239" s="520" t="s">
        <v>5063</v>
      </c>
      <c r="D1239" s="519" t="s">
        <v>311</v>
      </c>
      <c r="E1239" s="519" t="s">
        <v>675</v>
      </c>
      <c r="F1239" s="520" t="s">
        <v>5082</v>
      </c>
      <c r="G1239" s="520">
        <v>222003</v>
      </c>
      <c r="H1239" s="520" t="s">
        <v>3073</v>
      </c>
      <c r="I1239" s="529" t="s">
        <v>5083</v>
      </c>
      <c r="J1239" s="520" t="s">
        <v>5084</v>
      </c>
      <c r="K1239" s="520" t="s">
        <v>692</v>
      </c>
      <c r="L1239" s="519" t="s">
        <v>309</v>
      </c>
      <c r="M1239" s="544">
        <v>500000</v>
      </c>
      <c r="N1239" s="519" t="s">
        <v>1776</v>
      </c>
    </row>
    <row r="1240" spans="1:14" x14ac:dyDescent="0.3">
      <c r="A1240" s="527">
        <v>4</v>
      </c>
      <c r="B1240" s="649"/>
      <c r="C1240" s="520" t="s">
        <v>5085</v>
      </c>
      <c r="D1240" s="519" t="s">
        <v>311</v>
      </c>
      <c r="E1240" s="519" t="s">
        <v>320</v>
      </c>
      <c r="F1240" s="520" t="s">
        <v>709</v>
      </c>
      <c r="G1240" s="520" t="s">
        <v>3102</v>
      </c>
      <c r="H1240" s="520" t="s">
        <v>3103</v>
      </c>
      <c r="I1240" s="520" t="s">
        <v>5086</v>
      </c>
      <c r="J1240" s="520" t="s">
        <v>5087</v>
      </c>
      <c r="K1240" s="520" t="s">
        <v>713</v>
      </c>
      <c r="L1240" s="519" t="s">
        <v>309</v>
      </c>
      <c r="M1240" s="544">
        <v>250000</v>
      </c>
      <c r="N1240" s="519" t="s">
        <v>3216</v>
      </c>
    </row>
    <row r="1241" spans="1:14" x14ac:dyDescent="0.3">
      <c r="A1241" s="527">
        <v>4</v>
      </c>
      <c r="B1241" s="649"/>
      <c r="C1241" s="520" t="s">
        <v>5088</v>
      </c>
      <c r="D1241" s="519" t="s">
        <v>311</v>
      </c>
      <c r="E1241" s="519" t="s">
        <v>320</v>
      </c>
      <c r="F1241" s="520" t="s">
        <v>2605</v>
      </c>
      <c r="G1241" s="520" t="s">
        <v>4934</v>
      </c>
      <c r="H1241" s="520"/>
      <c r="I1241" s="520" t="s">
        <v>5089</v>
      </c>
      <c r="J1241" s="520"/>
      <c r="K1241" s="520" t="s">
        <v>5090</v>
      </c>
      <c r="L1241" s="519" t="s">
        <v>5091</v>
      </c>
      <c r="M1241" s="544">
        <v>1500000</v>
      </c>
      <c r="N1241" s="519" t="s">
        <v>3216</v>
      </c>
    </row>
    <row r="1242" spans="1:14" ht="22.5" x14ac:dyDescent="0.3">
      <c r="A1242" s="527">
        <v>4</v>
      </c>
      <c r="B1242" s="649"/>
      <c r="C1242" s="520" t="s">
        <v>5092</v>
      </c>
      <c r="D1242" s="519" t="s">
        <v>311</v>
      </c>
      <c r="E1242" s="519" t="s">
        <v>320</v>
      </c>
      <c r="F1242" s="520" t="s">
        <v>690</v>
      </c>
      <c r="G1242" s="520" t="s">
        <v>5014</v>
      </c>
      <c r="H1242" s="520" t="s">
        <v>5093</v>
      </c>
      <c r="I1242" s="528" t="s">
        <v>5094</v>
      </c>
      <c r="J1242" s="520" t="s">
        <v>638</v>
      </c>
      <c r="K1242" s="520" t="s">
        <v>3196</v>
      </c>
      <c r="L1242" s="519" t="s">
        <v>309</v>
      </c>
      <c r="M1242" s="544">
        <v>300000</v>
      </c>
      <c r="N1242" s="519" t="s">
        <v>3216</v>
      </c>
    </row>
    <row r="1243" spans="1:14" x14ac:dyDescent="0.3">
      <c r="A1243" s="527">
        <v>5</v>
      </c>
      <c r="B1243" s="649" t="s">
        <v>5117</v>
      </c>
      <c r="C1243" s="520" t="s">
        <v>5095</v>
      </c>
      <c r="D1243" s="519" t="s">
        <v>306</v>
      </c>
      <c r="E1243" s="519" t="s">
        <v>322</v>
      </c>
      <c r="F1243" s="519" t="s">
        <v>307</v>
      </c>
      <c r="G1243" s="520" t="s">
        <v>3405</v>
      </c>
      <c r="H1243" s="520" t="s">
        <v>347</v>
      </c>
      <c r="I1243" s="520" t="s">
        <v>5096</v>
      </c>
      <c r="J1243" s="519" t="s">
        <v>664</v>
      </c>
      <c r="K1243" s="519" t="s">
        <v>5006</v>
      </c>
      <c r="L1243" s="519"/>
      <c r="M1243" s="538">
        <v>1000000</v>
      </c>
      <c r="N1243" s="519" t="s">
        <v>5097</v>
      </c>
    </row>
    <row r="1244" spans="1:14" x14ac:dyDescent="0.3">
      <c r="A1244" s="527">
        <v>5</v>
      </c>
      <c r="B1244" s="649"/>
      <c r="C1244" s="520" t="s">
        <v>5098</v>
      </c>
      <c r="D1244" s="519" t="s">
        <v>306</v>
      </c>
      <c r="E1244" s="519" t="s">
        <v>322</v>
      </c>
      <c r="F1244" s="519" t="s">
        <v>307</v>
      </c>
      <c r="G1244" s="520" t="s">
        <v>5099</v>
      </c>
      <c r="H1244" s="520" t="s">
        <v>1047</v>
      </c>
      <c r="I1244" s="520" t="s">
        <v>5100</v>
      </c>
      <c r="J1244" s="519" t="s">
        <v>664</v>
      </c>
      <c r="K1244" s="519" t="s">
        <v>3186</v>
      </c>
      <c r="L1244" s="519"/>
      <c r="M1244" s="538">
        <v>1250000</v>
      </c>
      <c r="N1244" s="519"/>
    </row>
    <row r="1245" spans="1:14" x14ac:dyDescent="0.3">
      <c r="A1245" s="527">
        <v>5</v>
      </c>
      <c r="B1245" s="649"/>
      <c r="C1245" s="520" t="s">
        <v>5101</v>
      </c>
      <c r="D1245" s="519" t="s">
        <v>306</v>
      </c>
      <c r="E1245" s="519" t="s">
        <v>322</v>
      </c>
      <c r="F1245" s="519" t="s">
        <v>307</v>
      </c>
      <c r="G1245" s="520" t="s">
        <v>5102</v>
      </c>
      <c r="H1245" s="520" t="s">
        <v>347</v>
      </c>
      <c r="I1245" s="520" t="s">
        <v>1096</v>
      </c>
      <c r="J1245" s="519" t="s">
        <v>664</v>
      </c>
      <c r="K1245" s="519" t="s">
        <v>3105</v>
      </c>
      <c r="L1245" s="519"/>
      <c r="M1245" s="538">
        <v>500000</v>
      </c>
      <c r="N1245" s="519"/>
    </row>
    <row r="1246" spans="1:14" x14ac:dyDescent="0.3">
      <c r="A1246" s="527">
        <v>5</v>
      </c>
      <c r="B1246" s="649"/>
      <c r="C1246" s="520" t="s">
        <v>5103</v>
      </c>
      <c r="D1246" s="519" t="s">
        <v>306</v>
      </c>
      <c r="E1246" s="519" t="s">
        <v>322</v>
      </c>
      <c r="F1246" s="519" t="s">
        <v>307</v>
      </c>
      <c r="G1246" s="520" t="s">
        <v>5104</v>
      </c>
      <c r="H1246" s="520" t="s">
        <v>5105</v>
      </c>
      <c r="I1246" s="520" t="s">
        <v>5106</v>
      </c>
      <c r="J1246" s="519" t="s">
        <v>664</v>
      </c>
      <c r="K1246" s="519" t="s">
        <v>4953</v>
      </c>
      <c r="L1246" s="519"/>
      <c r="M1246" s="538">
        <v>750000</v>
      </c>
      <c r="N1246" s="519"/>
    </row>
    <row r="1247" spans="1:14" x14ac:dyDescent="0.3">
      <c r="A1247" s="527">
        <v>5</v>
      </c>
      <c r="B1247" s="649"/>
      <c r="C1247" s="520" t="s">
        <v>5101</v>
      </c>
      <c r="D1247" s="519" t="s">
        <v>306</v>
      </c>
      <c r="E1247" s="519" t="s">
        <v>322</v>
      </c>
      <c r="F1247" s="519" t="s">
        <v>307</v>
      </c>
      <c r="G1247" s="520">
        <v>7062</v>
      </c>
      <c r="H1247" s="520" t="s">
        <v>1818</v>
      </c>
      <c r="I1247" s="520" t="s">
        <v>310</v>
      </c>
      <c r="J1247" s="519" t="s">
        <v>664</v>
      </c>
      <c r="K1247" s="519" t="s">
        <v>4981</v>
      </c>
      <c r="L1247" s="519"/>
      <c r="M1247" s="538">
        <v>500000</v>
      </c>
      <c r="N1247" s="519"/>
    </row>
    <row r="1248" spans="1:14" x14ac:dyDescent="0.3">
      <c r="A1248" s="527">
        <v>5</v>
      </c>
      <c r="B1248" s="649"/>
      <c r="C1248" s="520" t="s">
        <v>5103</v>
      </c>
      <c r="D1248" s="519" t="s">
        <v>306</v>
      </c>
      <c r="E1248" s="519" t="s">
        <v>322</v>
      </c>
      <c r="F1248" s="519" t="s">
        <v>307</v>
      </c>
      <c r="G1248" s="520">
        <v>1570</v>
      </c>
      <c r="H1248" s="519" t="s">
        <v>3179</v>
      </c>
      <c r="I1248" s="520" t="s">
        <v>1096</v>
      </c>
      <c r="J1248" s="519" t="s">
        <v>664</v>
      </c>
      <c r="K1248" s="519" t="s">
        <v>4979</v>
      </c>
      <c r="L1248" s="519"/>
      <c r="M1248" s="538">
        <v>750000</v>
      </c>
      <c r="N1248" s="519"/>
    </row>
    <row r="1249" spans="1:14" x14ac:dyDescent="0.3">
      <c r="A1249" s="527">
        <v>5</v>
      </c>
      <c r="B1249" s="649" t="s">
        <v>5057</v>
      </c>
      <c r="C1249" s="520" t="s">
        <v>5107</v>
      </c>
      <c r="D1249" s="519" t="s">
        <v>311</v>
      </c>
      <c r="E1249" s="519" t="s">
        <v>675</v>
      </c>
      <c r="F1249" s="519" t="s">
        <v>4996</v>
      </c>
      <c r="G1249" s="519">
        <v>1017</v>
      </c>
      <c r="H1249" s="519" t="s">
        <v>347</v>
      </c>
      <c r="I1249" s="520" t="s">
        <v>5069</v>
      </c>
      <c r="J1249" s="520"/>
      <c r="K1249" s="520" t="s">
        <v>692</v>
      </c>
      <c r="L1249" s="519" t="s">
        <v>309</v>
      </c>
      <c r="M1249" s="544">
        <v>500000</v>
      </c>
      <c r="N1249" s="519" t="s">
        <v>1206</v>
      </c>
    </row>
    <row r="1250" spans="1:14" x14ac:dyDescent="0.3">
      <c r="A1250" s="527">
        <v>5</v>
      </c>
      <c r="B1250" s="649"/>
      <c r="C1250" s="796" t="s">
        <v>5108</v>
      </c>
      <c r="D1250" s="794" t="s">
        <v>311</v>
      </c>
      <c r="E1250" s="794" t="s">
        <v>675</v>
      </c>
      <c r="F1250" s="794" t="s">
        <v>4996</v>
      </c>
      <c r="G1250" s="794">
        <v>1017</v>
      </c>
      <c r="H1250" s="794" t="s">
        <v>347</v>
      </c>
      <c r="I1250" s="520" t="s">
        <v>5109</v>
      </c>
      <c r="J1250" s="796"/>
      <c r="K1250" s="796" t="s">
        <v>692</v>
      </c>
      <c r="L1250" s="794" t="s">
        <v>309</v>
      </c>
      <c r="M1250" s="795">
        <v>500000</v>
      </c>
      <c r="N1250" s="794" t="s">
        <v>5042</v>
      </c>
    </row>
    <row r="1251" spans="1:14" x14ac:dyDescent="0.3">
      <c r="A1251" s="527">
        <v>5</v>
      </c>
      <c r="B1251" s="649"/>
      <c r="C1251" s="796"/>
      <c r="D1251" s="794"/>
      <c r="E1251" s="794"/>
      <c r="F1251" s="794"/>
      <c r="G1251" s="794"/>
      <c r="H1251" s="794"/>
      <c r="I1251" s="520" t="s">
        <v>5110</v>
      </c>
      <c r="J1251" s="796"/>
      <c r="K1251" s="796"/>
      <c r="L1251" s="794"/>
      <c r="M1251" s="795"/>
      <c r="N1251" s="794"/>
    </row>
    <row r="1252" spans="1:14" x14ac:dyDescent="0.3">
      <c r="A1252" s="527">
        <v>5</v>
      </c>
      <c r="B1252" s="649"/>
      <c r="C1252" s="520" t="s">
        <v>5111</v>
      </c>
      <c r="D1252" s="519" t="s">
        <v>311</v>
      </c>
      <c r="E1252" s="519" t="s">
        <v>320</v>
      </c>
      <c r="F1252" s="520" t="s">
        <v>5112</v>
      </c>
      <c r="G1252" s="520" t="s">
        <v>5014</v>
      </c>
      <c r="H1252" s="520" t="s">
        <v>5093</v>
      </c>
      <c r="I1252" s="529" t="s">
        <v>1426</v>
      </c>
      <c r="J1252" s="520" t="s">
        <v>638</v>
      </c>
      <c r="K1252" s="520" t="s">
        <v>713</v>
      </c>
      <c r="L1252" s="519" t="s">
        <v>309</v>
      </c>
      <c r="M1252" s="544">
        <v>250000</v>
      </c>
      <c r="N1252" s="519" t="s">
        <v>1206</v>
      </c>
    </row>
    <row r="1253" spans="1:14" x14ac:dyDescent="0.3">
      <c r="A1253" s="527">
        <v>5</v>
      </c>
      <c r="B1253" s="649"/>
      <c r="C1253" s="520" t="s">
        <v>5111</v>
      </c>
      <c r="D1253" s="519" t="s">
        <v>311</v>
      </c>
      <c r="E1253" s="519" t="s">
        <v>320</v>
      </c>
      <c r="F1253" s="520" t="s">
        <v>5112</v>
      </c>
      <c r="G1253" s="520" t="s">
        <v>5014</v>
      </c>
      <c r="H1253" s="520" t="s">
        <v>5093</v>
      </c>
      <c r="I1253" s="529" t="s">
        <v>1426</v>
      </c>
      <c r="J1253" s="520" t="s">
        <v>638</v>
      </c>
      <c r="K1253" s="520" t="s">
        <v>3196</v>
      </c>
      <c r="L1253" s="519" t="s">
        <v>309</v>
      </c>
      <c r="M1253" s="544">
        <v>300000</v>
      </c>
      <c r="N1253" s="519" t="s">
        <v>1206</v>
      </c>
    </row>
    <row r="1254" spans="1:14" x14ac:dyDescent="0.3">
      <c r="A1254" s="527">
        <v>5</v>
      </c>
      <c r="B1254" s="649"/>
      <c r="C1254" s="796" t="s">
        <v>5113</v>
      </c>
      <c r="D1254" s="794" t="s">
        <v>311</v>
      </c>
      <c r="E1254" s="794" t="s">
        <v>675</v>
      </c>
      <c r="F1254" s="796" t="s">
        <v>5080</v>
      </c>
      <c r="G1254" s="796">
        <v>3006</v>
      </c>
      <c r="H1254" s="796" t="s">
        <v>347</v>
      </c>
      <c r="I1254" s="529" t="s">
        <v>5114</v>
      </c>
      <c r="J1254" s="796"/>
      <c r="K1254" s="796" t="s">
        <v>705</v>
      </c>
      <c r="L1254" s="794" t="s">
        <v>309</v>
      </c>
      <c r="M1254" s="795">
        <v>500000</v>
      </c>
      <c r="N1254" s="794" t="s">
        <v>5042</v>
      </c>
    </row>
    <row r="1255" spans="1:14" x14ac:dyDescent="0.3">
      <c r="A1255" s="527">
        <v>5</v>
      </c>
      <c r="B1255" s="649"/>
      <c r="C1255" s="796"/>
      <c r="D1255" s="794"/>
      <c r="E1255" s="794"/>
      <c r="F1255" s="796"/>
      <c r="G1255" s="796"/>
      <c r="H1255" s="796"/>
      <c r="I1255" s="529" t="s">
        <v>5115</v>
      </c>
      <c r="J1255" s="796"/>
      <c r="K1255" s="796"/>
      <c r="L1255" s="794"/>
      <c r="M1255" s="795"/>
      <c r="N1255" s="794"/>
    </row>
    <row r="1256" spans="1:14" x14ac:dyDescent="0.3">
      <c r="A1256" s="527">
        <v>5</v>
      </c>
      <c r="B1256" s="649"/>
      <c r="C1256" s="796" t="s">
        <v>5113</v>
      </c>
      <c r="D1256" s="794" t="s">
        <v>311</v>
      </c>
      <c r="E1256" s="794" t="s">
        <v>675</v>
      </c>
      <c r="F1256" s="796" t="s">
        <v>5080</v>
      </c>
      <c r="G1256" s="796">
        <v>3006</v>
      </c>
      <c r="H1256" s="796" t="s">
        <v>347</v>
      </c>
      <c r="I1256" s="529" t="s">
        <v>5114</v>
      </c>
      <c r="J1256" s="796"/>
      <c r="K1256" s="796" t="s">
        <v>4946</v>
      </c>
      <c r="L1256" s="794" t="s">
        <v>309</v>
      </c>
      <c r="M1256" s="795">
        <v>600000</v>
      </c>
      <c r="N1256" s="794" t="s">
        <v>5042</v>
      </c>
    </row>
    <row r="1257" spans="1:14" x14ac:dyDescent="0.3">
      <c r="A1257" s="527">
        <v>5</v>
      </c>
      <c r="B1257" s="649"/>
      <c r="C1257" s="796"/>
      <c r="D1257" s="794"/>
      <c r="E1257" s="794"/>
      <c r="F1257" s="796"/>
      <c r="G1257" s="796"/>
      <c r="H1257" s="796"/>
      <c r="I1257" s="529" t="s">
        <v>5115</v>
      </c>
      <c r="J1257" s="796"/>
      <c r="K1257" s="796"/>
      <c r="L1257" s="794"/>
      <c r="M1257" s="795"/>
      <c r="N1257" s="794"/>
    </row>
    <row r="1258" spans="1:14" x14ac:dyDescent="0.3">
      <c r="A1258" s="527">
        <v>5</v>
      </c>
      <c r="B1258" s="649"/>
      <c r="C1258" s="520" t="s">
        <v>5113</v>
      </c>
      <c r="D1258" s="519" t="s">
        <v>311</v>
      </c>
      <c r="E1258" s="519" t="s">
        <v>320</v>
      </c>
      <c r="F1258" s="520" t="s">
        <v>690</v>
      </c>
      <c r="G1258" s="520" t="s">
        <v>3070</v>
      </c>
      <c r="H1258" s="520" t="s">
        <v>347</v>
      </c>
      <c r="I1258" s="520" t="s">
        <v>5116</v>
      </c>
      <c r="J1258" s="520" t="s">
        <v>638</v>
      </c>
      <c r="K1258" s="520" t="s">
        <v>692</v>
      </c>
      <c r="L1258" s="519" t="s">
        <v>309</v>
      </c>
      <c r="M1258" s="544">
        <v>500000</v>
      </c>
      <c r="N1258" s="519" t="s">
        <v>5042</v>
      </c>
    </row>
    <row r="1259" spans="1:14" x14ac:dyDescent="0.3">
      <c r="A1259" s="527">
        <v>6</v>
      </c>
      <c r="B1259" s="649" t="s">
        <v>4985</v>
      </c>
      <c r="C1259" s="520" t="s">
        <v>5118</v>
      </c>
      <c r="D1259" s="519" t="s">
        <v>306</v>
      </c>
      <c r="E1259" s="519" t="s">
        <v>322</v>
      </c>
      <c r="F1259" s="519" t="s">
        <v>307</v>
      </c>
      <c r="G1259" s="520">
        <v>7062</v>
      </c>
      <c r="H1259" s="520" t="s">
        <v>1818</v>
      </c>
      <c r="I1259" s="520" t="s">
        <v>5028</v>
      </c>
      <c r="J1259" s="519" t="s">
        <v>664</v>
      </c>
      <c r="K1259" s="519" t="s">
        <v>3105</v>
      </c>
      <c r="L1259" s="519"/>
      <c r="M1259" s="538">
        <v>500000</v>
      </c>
      <c r="N1259" s="519"/>
    </row>
    <row r="1260" spans="1:14" x14ac:dyDescent="0.3">
      <c r="A1260" s="527">
        <v>6</v>
      </c>
      <c r="B1260" s="649"/>
      <c r="C1260" s="520" t="s">
        <v>5119</v>
      </c>
      <c r="D1260" s="519" t="s">
        <v>306</v>
      </c>
      <c r="E1260" s="519" t="s">
        <v>322</v>
      </c>
      <c r="F1260" s="519" t="s">
        <v>307</v>
      </c>
      <c r="G1260" s="520">
        <v>1570</v>
      </c>
      <c r="H1260" s="520" t="s">
        <v>3179</v>
      </c>
      <c r="I1260" s="520" t="s">
        <v>1096</v>
      </c>
      <c r="J1260" s="519" t="s">
        <v>664</v>
      </c>
      <c r="K1260" s="519" t="s">
        <v>4953</v>
      </c>
      <c r="L1260" s="519"/>
      <c r="M1260" s="538">
        <v>750000</v>
      </c>
      <c r="N1260" s="519"/>
    </row>
    <row r="1261" spans="1:14" x14ac:dyDescent="0.3">
      <c r="A1261" s="527">
        <v>6</v>
      </c>
      <c r="B1261" s="649"/>
      <c r="C1261" s="520" t="s">
        <v>5118</v>
      </c>
      <c r="D1261" s="519" t="s">
        <v>306</v>
      </c>
      <c r="E1261" s="519" t="s">
        <v>322</v>
      </c>
      <c r="F1261" s="519" t="s">
        <v>307</v>
      </c>
      <c r="G1261" s="520" t="s">
        <v>5070</v>
      </c>
      <c r="H1261" s="520" t="s">
        <v>354</v>
      </c>
      <c r="I1261" s="520" t="s">
        <v>4925</v>
      </c>
      <c r="J1261" s="519" t="s">
        <v>664</v>
      </c>
      <c r="K1261" s="519" t="s">
        <v>3105</v>
      </c>
      <c r="L1261" s="519"/>
      <c r="M1261" s="538">
        <v>500000</v>
      </c>
      <c r="N1261" s="519"/>
    </row>
    <row r="1262" spans="1:14" x14ac:dyDescent="0.3">
      <c r="A1262" s="527">
        <v>6</v>
      </c>
      <c r="B1262" s="649"/>
      <c r="C1262" s="520" t="s">
        <v>5119</v>
      </c>
      <c r="D1262" s="519" t="s">
        <v>306</v>
      </c>
      <c r="E1262" s="519" t="s">
        <v>322</v>
      </c>
      <c r="F1262" s="519" t="s">
        <v>307</v>
      </c>
      <c r="G1262" s="520" t="s">
        <v>5099</v>
      </c>
      <c r="H1262" s="520" t="s">
        <v>1047</v>
      </c>
      <c r="I1262" s="520" t="s">
        <v>4925</v>
      </c>
      <c r="J1262" s="519" t="s">
        <v>664</v>
      </c>
      <c r="K1262" s="519" t="s">
        <v>4953</v>
      </c>
      <c r="L1262" s="519"/>
      <c r="M1262" s="538">
        <v>750000</v>
      </c>
      <c r="N1262" s="519"/>
    </row>
    <row r="1263" spans="1:14" x14ac:dyDescent="0.3">
      <c r="A1263" s="527">
        <v>6</v>
      </c>
      <c r="B1263" s="649"/>
      <c r="C1263" s="520" t="s">
        <v>5120</v>
      </c>
      <c r="D1263" s="519" t="s">
        <v>306</v>
      </c>
      <c r="E1263" s="519" t="s">
        <v>322</v>
      </c>
      <c r="F1263" s="519" t="s">
        <v>307</v>
      </c>
      <c r="G1263" s="520" t="s">
        <v>4976</v>
      </c>
      <c r="H1263" s="520" t="s">
        <v>4977</v>
      </c>
      <c r="I1263" s="520" t="s">
        <v>5071</v>
      </c>
      <c r="J1263" s="519" t="s">
        <v>664</v>
      </c>
      <c r="K1263" s="519" t="s">
        <v>5121</v>
      </c>
      <c r="L1263" s="519"/>
      <c r="M1263" s="538">
        <v>1250000</v>
      </c>
      <c r="N1263" s="519"/>
    </row>
    <row r="1264" spans="1:14" x14ac:dyDescent="0.3">
      <c r="A1264" s="527">
        <v>6</v>
      </c>
      <c r="B1264" s="649" t="s">
        <v>21</v>
      </c>
      <c r="C1264" s="520" t="s">
        <v>5111</v>
      </c>
      <c r="D1264" s="519" t="s">
        <v>311</v>
      </c>
      <c r="E1264" s="519" t="s">
        <v>675</v>
      </c>
      <c r="F1264" s="520" t="s">
        <v>5082</v>
      </c>
      <c r="G1264" s="520">
        <v>222003</v>
      </c>
      <c r="H1264" s="520" t="s">
        <v>347</v>
      </c>
      <c r="I1264" s="529" t="s">
        <v>5122</v>
      </c>
      <c r="J1264" s="520"/>
      <c r="K1264" s="520" t="s">
        <v>713</v>
      </c>
      <c r="L1264" s="519" t="s">
        <v>309</v>
      </c>
      <c r="M1264" s="544">
        <v>250000</v>
      </c>
      <c r="N1264" s="519" t="s">
        <v>5123</v>
      </c>
    </row>
    <row r="1265" spans="1:14" x14ac:dyDescent="0.3">
      <c r="A1265" s="527">
        <v>6</v>
      </c>
      <c r="B1265" s="649"/>
      <c r="C1265" s="520" t="s">
        <v>5124</v>
      </c>
      <c r="D1265" s="519" t="s">
        <v>311</v>
      </c>
      <c r="E1265" s="519" t="s">
        <v>320</v>
      </c>
      <c r="F1265" s="520" t="s">
        <v>5112</v>
      </c>
      <c r="G1265" s="520" t="s">
        <v>5014</v>
      </c>
      <c r="H1265" s="520" t="s">
        <v>1198</v>
      </c>
      <c r="I1265" s="520" t="s">
        <v>5125</v>
      </c>
      <c r="J1265" s="520"/>
      <c r="K1265" s="520" t="s">
        <v>705</v>
      </c>
      <c r="L1265" s="519" t="s">
        <v>309</v>
      </c>
      <c r="M1265" s="544">
        <v>500000</v>
      </c>
      <c r="N1265" s="519" t="s">
        <v>5123</v>
      </c>
    </row>
    <row r="1266" spans="1:14" x14ac:dyDescent="0.3">
      <c r="A1266" s="527">
        <v>6</v>
      </c>
      <c r="B1266" s="649"/>
      <c r="C1266" s="520" t="s">
        <v>5126</v>
      </c>
      <c r="D1266" s="519" t="s">
        <v>311</v>
      </c>
      <c r="E1266" s="519" t="s">
        <v>320</v>
      </c>
      <c r="F1266" s="520" t="s">
        <v>5112</v>
      </c>
      <c r="G1266" s="520" t="s">
        <v>5014</v>
      </c>
      <c r="H1266" s="520" t="s">
        <v>1198</v>
      </c>
      <c r="I1266" s="529" t="s">
        <v>1426</v>
      </c>
      <c r="J1266" s="520"/>
      <c r="K1266" s="520" t="s">
        <v>713</v>
      </c>
      <c r="L1266" s="519" t="s">
        <v>309</v>
      </c>
      <c r="M1266" s="544">
        <v>250000</v>
      </c>
      <c r="N1266" s="519" t="s">
        <v>5127</v>
      </c>
    </row>
    <row r="1267" spans="1:14" x14ac:dyDescent="0.3">
      <c r="A1267" s="527">
        <v>6</v>
      </c>
      <c r="B1267" s="649"/>
      <c r="C1267" s="520" t="s">
        <v>5128</v>
      </c>
      <c r="D1267" s="519" t="s">
        <v>311</v>
      </c>
      <c r="E1267" s="519" t="s">
        <v>675</v>
      </c>
      <c r="F1267" s="520" t="s">
        <v>720</v>
      </c>
      <c r="G1267" s="520">
        <v>7060</v>
      </c>
      <c r="H1267" s="520" t="s">
        <v>5129</v>
      </c>
      <c r="I1267" s="529" t="s">
        <v>5130</v>
      </c>
      <c r="J1267" s="520" t="s">
        <v>638</v>
      </c>
      <c r="K1267" s="520" t="s">
        <v>5131</v>
      </c>
      <c r="L1267" s="519" t="s">
        <v>309</v>
      </c>
      <c r="M1267" s="544">
        <v>300000</v>
      </c>
      <c r="N1267" s="519" t="s">
        <v>1929</v>
      </c>
    </row>
    <row r="1268" spans="1:14" x14ac:dyDescent="0.3">
      <c r="A1268" s="527">
        <v>6</v>
      </c>
      <c r="B1268" s="649"/>
      <c r="C1268" s="796" t="s">
        <v>5132</v>
      </c>
      <c r="D1268" s="794" t="s">
        <v>311</v>
      </c>
      <c r="E1268" s="794" t="s">
        <v>675</v>
      </c>
      <c r="F1268" s="520" t="s">
        <v>5133</v>
      </c>
      <c r="G1268" s="528" t="s">
        <v>5135</v>
      </c>
      <c r="H1268" s="402" t="s">
        <v>347</v>
      </c>
      <c r="I1268" s="796" t="s">
        <v>5138</v>
      </c>
      <c r="J1268" s="796" t="s">
        <v>638</v>
      </c>
      <c r="K1268" s="796" t="s">
        <v>692</v>
      </c>
      <c r="L1268" s="794" t="s">
        <v>309</v>
      </c>
      <c r="M1268" s="795">
        <v>500000</v>
      </c>
      <c r="N1268" s="794" t="s">
        <v>1776</v>
      </c>
    </row>
    <row r="1269" spans="1:14" x14ac:dyDescent="0.3">
      <c r="A1269" s="527">
        <v>6</v>
      </c>
      <c r="B1269" s="649"/>
      <c r="C1269" s="796"/>
      <c r="D1269" s="794"/>
      <c r="E1269" s="794"/>
      <c r="F1269" s="520" t="s">
        <v>5134</v>
      </c>
      <c r="G1269" s="528" t="s">
        <v>5136</v>
      </c>
      <c r="H1269" s="402" t="s">
        <v>5137</v>
      </c>
      <c r="I1269" s="796"/>
      <c r="J1269" s="796"/>
      <c r="K1269" s="796"/>
      <c r="L1269" s="794"/>
      <c r="M1269" s="795"/>
      <c r="N1269" s="794"/>
    </row>
    <row r="1270" spans="1:14" ht="24" x14ac:dyDescent="0.3">
      <c r="A1270" s="527">
        <v>6</v>
      </c>
      <c r="B1270" s="649"/>
      <c r="C1270" s="520" t="s">
        <v>5132</v>
      </c>
      <c r="D1270" s="519" t="s">
        <v>311</v>
      </c>
      <c r="E1270" s="519" t="s">
        <v>320</v>
      </c>
      <c r="F1270" s="529" t="s">
        <v>720</v>
      </c>
      <c r="G1270" s="520" t="s">
        <v>5139</v>
      </c>
      <c r="H1270" s="520" t="s">
        <v>3064</v>
      </c>
      <c r="I1270" s="529" t="s">
        <v>5140</v>
      </c>
      <c r="J1270" s="520" t="s">
        <v>702</v>
      </c>
      <c r="K1270" s="520" t="s">
        <v>5141</v>
      </c>
      <c r="L1270" s="519" t="s">
        <v>309</v>
      </c>
      <c r="M1270" s="544">
        <v>550000</v>
      </c>
      <c r="N1270" s="519" t="s">
        <v>1929</v>
      </c>
    </row>
    <row r="1271" spans="1:14" x14ac:dyDescent="0.3">
      <c r="A1271" s="527">
        <v>6</v>
      </c>
      <c r="B1271" s="649"/>
      <c r="C1271" s="520" t="s">
        <v>5132</v>
      </c>
      <c r="D1271" s="519" t="s">
        <v>311</v>
      </c>
      <c r="E1271" s="519" t="s">
        <v>320</v>
      </c>
      <c r="F1271" s="528" t="s">
        <v>337</v>
      </c>
      <c r="G1271" s="520" t="s">
        <v>3405</v>
      </c>
      <c r="H1271" s="520" t="s">
        <v>347</v>
      </c>
      <c r="I1271" s="520" t="s">
        <v>5142</v>
      </c>
      <c r="J1271" s="520"/>
      <c r="K1271" s="520" t="s">
        <v>705</v>
      </c>
      <c r="L1271" s="519" t="s">
        <v>309</v>
      </c>
      <c r="M1271" s="544">
        <v>500000</v>
      </c>
      <c r="N1271" s="519" t="s">
        <v>1206</v>
      </c>
    </row>
    <row r="1272" spans="1:14" x14ac:dyDescent="0.3">
      <c r="A1272" s="527">
        <v>7</v>
      </c>
      <c r="B1272" s="649" t="s">
        <v>5117</v>
      </c>
      <c r="C1272" s="520" t="s">
        <v>5143</v>
      </c>
      <c r="D1272" s="519" t="s">
        <v>306</v>
      </c>
      <c r="E1272" s="519" t="s">
        <v>322</v>
      </c>
      <c r="F1272" s="519" t="s">
        <v>307</v>
      </c>
      <c r="G1272" s="520" t="s">
        <v>3058</v>
      </c>
      <c r="H1272" s="520" t="s">
        <v>3061</v>
      </c>
      <c r="I1272" s="520" t="s">
        <v>5144</v>
      </c>
      <c r="J1272" s="519" t="s">
        <v>664</v>
      </c>
      <c r="K1272" s="519" t="s">
        <v>705</v>
      </c>
      <c r="L1272" s="519"/>
      <c r="M1272" s="538">
        <v>500000</v>
      </c>
      <c r="N1272" s="519" t="s">
        <v>5145</v>
      </c>
    </row>
    <row r="1273" spans="1:14" x14ac:dyDescent="0.3">
      <c r="A1273" s="527">
        <v>7</v>
      </c>
      <c r="B1273" s="649"/>
      <c r="C1273" s="520" t="s">
        <v>5146</v>
      </c>
      <c r="D1273" s="519" t="s">
        <v>306</v>
      </c>
      <c r="E1273" s="519" t="s">
        <v>322</v>
      </c>
      <c r="F1273" s="519" t="s">
        <v>307</v>
      </c>
      <c r="G1273" s="520" t="s">
        <v>5147</v>
      </c>
      <c r="H1273" s="520" t="s">
        <v>347</v>
      </c>
      <c r="I1273" s="520" t="s">
        <v>4925</v>
      </c>
      <c r="J1273" s="519" t="s">
        <v>664</v>
      </c>
      <c r="K1273" s="519" t="s">
        <v>3105</v>
      </c>
      <c r="L1273" s="519"/>
      <c r="M1273" s="538">
        <v>500000</v>
      </c>
      <c r="N1273" s="519"/>
    </row>
    <row r="1274" spans="1:14" x14ac:dyDescent="0.3">
      <c r="A1274" s="527">
        <v>7</v>
      </c>
      <c r="B1274" s="649"/>
      <c r="C1274" s="520" t="s">
        <v>5146</v>
      </c>
      <c r="D1274" s="519" t="s">
        <v>306</v>
      </c>
      <c r="E1274" s="519" t="s">
        <v>322</v>
      </c>
      <c r="F1274" s="519" t="s">
        <v>307</v>
      </c>
      <c r="G1274" s="520" t="s">
        <v>3058</v>
      </c>
      <c r="H1274" s="520" t="s">
        <v>354</v>
      </c>
      <c r="I1274" s="520" t="s">
        <v>310</v>
      </c>
      <c r="J1274" s="519" t="s">
        <v>664</v>
      </c>
      <c r="K1274" s="519" t="s">
        <v>3105</v>
      </c>
      <c r="L1274" s="519"/>
      <c r="M1274" s="538">
        <v>500000</v>
      </c>
      <c r="N1274" s="519"/>
    </row>
    <row r="1275" spans="1:14" x14ac:dyDescent="0.3">
      <c r="A1275" s="527">
        <v>7</v>
      </c>
      <c r="B1275" s="649"/>
      <c r="C1275" s="520" t="s">
        <v>5146</v>
      </c>
      <c r="D1275" s="519" t="s">
        <v>306</v>
      </c>
      <c r="E1275" s="519" t="s">
        <v>322</v>
      </c>
      <c r="F1275" s="519" t="s">
        <v>307</v>
      </c>
      <c r="G1275" s="520" t="s">
        <v>5061</v>
      </c>
      <c r="H1275" s="520" t="s">
        <v>4977</v>
      </c>
      <c r="I1275" s="520" t="s">
        <v>5069</v>
      </c>
      <c r="J1275" s="519" t="s">
        <v>664</v>
      </c>
      <c r="K1275" s="519" t="s">
        <v>4981</v>
      </c>
      <c r="L1275" s="519"/>
      <c r="M1275" s="538">
        <v>500000</v>
      </c>
      <c r="N1275" s="519"/>
    </row>
    <row r="1276" spans="1:14" x14ac:dyDescent="0.3">
      <c r="A1276" s="527">
        <v>7</v>
      </c>
      <c r="B1276" s="649"/>
      <c r="C1276" s="520" t="s">
        <v>5148</v>
      </c>
      <c r="D1276" s="519" t="s">
        <v>306</v>
      </c>
      <c r="E1276" s="519" t="s">
        <v>322</v>
      </c>
      <c r="F1276" s="519" t="s">
        <v>307</v>
      </c>
      <c r="G1276" s="520" t="s">
        <v>5099</v>
      </c>
      <c r="H1276" s="520" t="s">
        <v>1047</v>
      </c>
      <c r="I1276" s="520" t="s">
        <v>5149</v>
      </c>
      <c r="J1276" s="519" t="s">
        <v>664</v>
      </c>
      <c r="K1276" s="519" t="s">
        <v>4984</v>
      </c>
      <c r="L1276" s="519"/>
      <c r="M1276" s="538">
        <v>1000000</v>
      </c>
      <c r="N1276" s="519"/>
    </row>
    <row r="1277" spans="1:14" x14ac:dyDescent="0.3">
      <c r="A1277" s="527">
        <v>7</v>
      </c>
      <c r="B1277" s="649" t="s">
        <v>5160</v>
      </c>
      <c r="C1277" s="520" t="s">
        <v>5150</v>
      </c>
      <c r="D1277" s="519" t="s">
        <v>311</v>
      </c>
      <c r="E1277" s="519" t="s">
        <v>320</v>
      </c>
      <c r="F1277" s="520" t="s">
        <v>690</v>
      </c>
      <c r="G1277" s="520" t="s">
        <v>3070</v>
      </c>
      <c r="H1277" s="520" t="s">
        <v>347</v>
      </c>
      <c r="I1277" s="520" t="s">
        <v>5056</v>
      </c>
      <c r="J1277" s="519" t="s">
        <v>638</v>
      </c>
      <c r="K1277" s="520" t="s">
        <v>692</v>
      </c>
      <c r="L1277" s="519" t="s">
        <v>309</v>
      </c>
      <c r="M1277" s="544">
        <v>500000</v>
      </c>
      <c r="N1277" s="519" t="s">
        <v>1776</v>
      </c>
    </row>
    <row r="1278" spans="1:14" ht="25.5" x14ac:dyDescent="0.3">
      <c r="A1278" s="527">
        <v>7</v>
      </c>
      <c r="B1278" s="649"/>
      <c r="C1278" s="520" t="s">
        <v>5150</v>
      </c>
      <c r="D1278" s="519" t="s">
        <v>311</v>
      </c>
      <c r="E1278" s="519" t="s">
        <v>320</v>
      </c>
      <c r="F1278" s="520" t="s">
        <v>690</v>
      </c>
      <c r="G1278" s="520" t="s">
        <v>3070</v>
      </c>
      <c r="H1278" s="520" t="s">
        <v>3173</v>
      </c>
      <c r="I1278" s="520" t="s">
        <v>5151</v>
      </c>
      <c r="J1278" s="519" t="s">
        <v>638</v>
      </c>
      <c r="K1278" s="520" t="s">
        <v>3196</v>
      </c>
      <c r="L1278" s="519" t="s">
        <v>309</v>
      </c>
      <c r="M1278" s="544">
        <v>300000</v>
      </c>
      <c r="N1278" s="519" t="s">
        <v>1776</v>
      </c>
    </row>
    <row r="1279" spans="1:14" x14ac:dyDescent="0.3">
      <c r="A1279" s="527">
        <v>7</v>
      </c>
      <c r="B1279" s="649"/>
      <c r="C1279" s="520" t="s">
        <v>5152</v>
      </c>
      <c r="D1279" s="519" t="s">
        <v>311</v>
      </c>
      <c r="E1279" s="519" t="s">
        <v>320</v>
      </c>
      <c r="F1279" s="520" t="s">
        <v>690</v>
      </c>
      <c r="G1279" s="520" t="s">
        <v>5014</v>
      </c>
      <c r="H1279" s="520" t="s">
        <v>1198</v>
      </c>
      <c r="I1279" s="520" t="s">
        <v>5153</v>
      </c>
      <c r="J1279" s="520"/>
      <c r="K1279" s="520" t="s">
        <v>5154</v>
      </c>
      <c r="L1279" s="519" t="s">
        <v>309</v>
      </c>
      <c r="M1279" s="544">
        <v>500000</v>
      </c>
      <c r="N1279" s="519" t="s">
        <v>1776</v>
      </c>
    </row>
    <row r="1280" spans="1:14" x14ac:dyDescent="0.3">
      <c r="A1280" s="527">
        <v>7</v>
      </c>
      <c r="B1280" s="649"/>
      <c r="C1280" s="520" t="s">
        <v>5152</v>
      </c>
      <c r="D1280" s="519" t="s">
        <v>311</v>
      </c>
      <c r="E1280" s="519" t="s">
        <v>320</v>
      </c>
      <c r="F1280" s="520" t="s">
        <v>5082</v>
      </c>
      <c r="G1280" s="520">
        <v>222003</v>
      </c>
      <c r="H1280" s="520" t="s">
        <v>3073</v>
      </c>
      <c r="I1280" s="520" t="s">
        <v>5155</v>
      </c>
      <c r="J1280" s="520"/>
      <c r="K1280" s="520" t="s">
        <v>5131</v>
      </c>
      <c r="L1280" s="519" t="s">
        <v>309</v>
      </c>
      <c r="M1280" s="544">
        <v>300000</v>
      </c>
      <c r="N1280" s="519" t="s">
        <v>1776</v>
      </c>
    </row>
    <row r="1281" spans="1:14" x14ac:dyDescent="0.3">
      <c r="A1281" s="527">
        <v>8</v>
      </c>
      <c r="B1281" s="649" t="s">
        <v>20</v>
      </c>
      <c r="C1281" s="602" t="s">
        <v>5156</v>
      </c>
      <c r="D1281" s="594" t="s">
        <v>306</v>
      </c>
      <c r="E1281" s="594" t="s">
        <v>322</v>
      </c>
      <c r="F1281" s="594" t="s">
        <v>307</v>
      </c>
      <c r="G1281" s="602" t="s">
        <v>5070</v>
      </c>
      <c r="H1281" s="602" t="s">
        <v>354</v>
      </c>
      <c r="I1281" s="602" t="s">
        <v>4925</v>
      </c>
      <c r="J1281" s="594" t="s">
        <v>664</v>
      </c>
      <c r="K1281" s="594" t="s">
        <v>3186</v>
      </c>
      <c r="L1281" s="594"/>
      <c r="M1281" s="595">
        <v>1250000</v>
      </c>
      <c r="N1281" s="519"/>
    </row>
    <row r="1282" spans="1:14" x14ac:dyDescent="0.3">
      <c r="A1282" s="527">
        <v>8</v>
      </c>
      <c r="B1282" s="649"/>
      <c r="C1282" s="520" t="s">
        <v>5156</v>
      </c>
      <c r="D1282" s="519" t="s">
        <v>306</v>
      </c>
      <c r="E1282" s="519" t="s">
        <v>322</v>
      </c>
      <c r="F1282" s="519" t="s">
        <v>307</v>
      </c>
      <c r="G1282" s="520">
        <v>1570</v>
      </c>
      <c r="H1282" s="520" t="s">
        <v>3179</v>
      </c>
      <c r="I1282" s="520" t="s">
        <v>5157</v>
      </c>
      <c r="J1282" s="519" t="s">
        <v>664</v>
      </c>
      <c r="K1282" s="519" t="s">
        <v>5121</v>
      </c>
      <c r="L1282" s="519"/>
      <c r="M1282" s="538">
        <v>1250000</v>
      </c>
      <c r="N1282" s="519"/>
    </row>
    <row r="1283" spans="1:14" x14ac:dyDescent="0.3">
      <c r="A1283" s="527">
        <v>8</v>
      </c>
      <c r="B1283" s="649"/>
      <c r="C1283" s="602" t="s">
        <v>5158</v>
      </c>
      <c r="D1283" s="594" t="s">
        <v>306</v>
      </c>
      <c r="E1283" s="594" t="s">
        <v>322</v>
      </c>
      <c r="F1283" s="594" t="s">
        <v>307</v>
      </c>
      <c r="G1283" s="602" t="s">
        <v>3058</v>
      </c>
      <c r="H1283" s="602" t="s">
        <v>354</v>
      </c>
      <c r="I1283" s="602" t="s">
        <v>310</v>
      </c>
      <c r="J1283" s="594" t="s">
        <v>664</v>
      </c>
      <c r="K1283" s="594" t="s">
        <v>4953</v>
      </c>
      <c r="L1283" s="594"/>
      <c r="M1283" s="595">
        <v>750000</v>
      </c>
      <c r="N1283" s="519"/>
    </row>
    <row r="1284" spans="1:14" x14ac:dyDescent="0.3">
      <c r="A1284" s="527">
        <v>8</v>
      </c>
      <c r="B1284" s="649"/>
      <c r="C1284" s="602" t="s">
        <v>5159</v>
      </c>
      <c r="D1284" s="594" t="s">
        <v>306</v>
      </c>
      <c r="E1284" s="594" t="s">
        <v>322</v>
      </c>
      <c r="F1284" s="594" t="s">
        <v>307</v>
      </c>
      <c r="G1284" s="602" t="s">
        <v>4812</v>
      </c>
      <c r="H1284" s="602" t="s">
        <v>662</v>
      </c>
      <c r="I1284" s="602" t="s">
        <v>1096</v>
      </c>
      <c r="J1284" s="594" t="s">
        <v>664</v>
      </c>
      <c r="K1284" s="594" t="s">
        <v>3105</v>
      </c>
      <c r="L1284" s="594"/>
      <c r="M1284" s="595">
        <v>500000</v>
      </c>
      <c r="N1284" s="519"/>
    </row>
    <row r="1285" spans="1:14" x14ac:dyDescent="0.3">
      <c r="A1285" s="527">
        <v>8</v>
      </c>
      <c r="B1285" s="649" t="s">
        <v>5173</v>
      </c>
      <c r="C1285" s="520" t="s">
        <v>5152</v>
      </c>
      <c r="D1285" s="519" t="s">
        <v>311</v>
      </c>
      <c r="E1285" s="519" t="s">
        <v>320</v>
      </c>
      <c r="F1285" s="520" t="s">
        <v>5082</v>
      </c>
      <c r="G1285" s="520">
        <v>222003</v>
      </c>
      <c r="H1285" s="520" t="s">
        <v>3073</v>
      </c>
      <c r="I1285" s="520" t="s">
        <v>5161</v>
      </c>
      <c r="J1285" s="520"/>
      <c r="K1285" s="520" t="s">
        <v>713</v>
      </c>
      <c r="L1285" s="519" t="s">
        <v>309</v>
      </c>
      <c r="M1285" s="544">
        <v>250000</v>
      </c>
      <c r="N1285" s="519" t="s">
        <v>5162</v>
      </c>
    </row>
    <row r="1286" spans="1:14" x14ac:dyDescent="0.3">
      <c r="A1286" s="527">
        <v>8</v>
      </c>
      <c r="B1286" s="649"/>
      <c r="C1286" s="520" t="s">
        <v>5152</v>
      </c>
      <c r="D1286" s="519" t="s">
        <v>311</v>
      </c>
      <c r="E1286" s="519" t="s">
        <v>320</v>
      </c>
      <c r="F1286" s="520" t="s">
        <v>690</v>
      </c>
      <c r="G1286" s="520" t="s">
        <v>5163</v>
      </c>
      <c r="H1286" s="520" t="s">
        <v>5164</v>
      </c>
      <c r="I1286" s="520" t="s">
        <v>5165</v>
      </c>
      <c r="J1286" s="520"/>
      <c r="K1286" s="520" t="s">
        <v>698</v>
      </c>
      <c r="L1286" s="519" t="s">
        <v>309</v>
      </c>
      <c r="M1286" s="544">
        <v>250000</v>
      </c>
      <c r="N1286" s="519" t="s">
        <v>5162</v>
      </c>
    </row>
    <row r="1287" spans="1:14" x14ac:dyDescent="0.3">
      <c r="A1287" s="527">
        <v>8</v>
      </c>
      <c r="B1287" s="649"/>
      <c r="C1287" s="520" t="s">
        <v>5166</v>
      </c>
      <c r="D1287" s="519" t="s">
        <v>311</v>
      </c>
      <c r="E1287" s="519" t="s">
        <v>320</v>
      </c>
      <c r="F1287" s="520" t="s">
        <v>690</v>
      </c>
      <c r="G1287" s="520" t="s">
        <v>5014</v>
      </c>
      <c r="H1287" s="520" t="s">
        <v>1198</v>
      </c>
      <c r="I1287" s="520" t="s">
        <v>5167</v>
      </c>
      <c r="J1287" s="520"/>
      <c r="K1287" s="520" t="s">
        <v>3196</v>
      </c>
      <c r="L1287" s="519" t="s">
        <v>309</v>
      </c>
      <c r="M1287" s="544">
        <v>300000</v>
      </c>
      <c r="N1287" s="519" t="s">
        <v>1206</v>
      </c>
    </row>
    <row r="1288" spans="1:14" x14ac:dyDescent="0.3">
      <c r="A1288" s="527">
        <v>8</v>
      </c>
      <c r="B1288" s="649"/>
      <c r="C1288" s="520" t="s">
        <v>5168</v>
      </c>
      <c r="D1288" s="519" t="s">
        <v>311</v>
      </c>
      <c r="E1288" s="519" t="s">
        <v>320</v>
      </c>
      <c r="F1288" s="520" t="s">
        <v>690</v>
      </c>
      <c r="G1288" s="520" t="s">
        <v>5014</v>
      </c>
      <c r="H1288" s="520" t="s">
        <v>1198</v>
      </c>
      <c r="I1288" s="520" t="s">
        <v>5012</v>
      </c>
      <c r="J1288" s="520"/>
      <c r="K1288" s="520" t="s">
        <v>3196</v>
      </c>
      <c r="L1288" s="519" t="s">
        <v>309</v>
      </c>
      <c r="M1288" s="544">
        <v>300000</v>
      </c>
      <c r="N1288" s="519" t="s">
        <v>1206</v>
      </c>
    </row>
    <row r="1289" spans="1:14" x14ac:dyDescent="0.3">
      <c r="A1289" s="527">
        <v>8</v>
      </c>
      <c r="B1289" s="649"/>
      <c r="C1289" s="797" t="s">
        <v>5168</v>
      </c>
      <c r="D1289" s="798" t="s">
        <v>311</v>
      </c>
      <c r="E1289" s="798" t="s">
        <v>675</v>
      </c>
      <c r="F1289" s="577" t="s">
        <v>5133</v>
      </c>
      <c r="G1289" s="578" t="s">
        <v>5135</v>
      </c>
      <c r="H1289" s="578" t="s">
        <v>347</v>
      </c>
      <c r="I1289" s="797" t="s">
        <v>5138</v>
      </c>
      <c r="J1289" s="797"/>
      <c r="K1289" s="797" t="s">
        <v>692</v>
      </c>
      <c r="L1289" s="798" t="s">
        <v>309</v>
      </c>
      <c r="M1289" s="799">
        <v>500000</v>
      </c>
      <c r="N1289" s="794" t="s">
        <v>5042</v>
      </c>
    </row>
    <row r="1290" spans="1:14" ht="19.5" x14ac:dyDescent="0.3">
      <c r="A1290" s="527">
        <v>8</v>
      </c>
      <c r="B1290" s="649"/>
      <c r="C1290" s="796"/>
      <c r="D1290" s="794"/>
      <c r="E1290" s="794"/>
      <c r="F1290" s="520" t="s">
        <v>5134</v>
      </c>
      <c r="G1290" s="528" t="s">
        <v>5136</v>
      </c>
      <c r="H1290" s="530" t="s">
        <v>5137</v>
      </c>
      <c r="I1290" s="796"/>
      <c r="J1290" s="796"/>
      <c r="K1290" s="796"/>
      <c r="L1290" s="794"/>
      <c r="M1290" s="795"/>
      <c r="N1290" s="794"/>
    </row>
    <row r="1291" spans="1:14" x14ac:dyDescent="0.3">
      <c r="A1291" s="527">
        <v>8</v>
      </c>
      <c r="B1291" s="649"/>
      <c r="C1291" s="797" t="s">
        <v>5169</v>
      </c>
      <c r="D1291" s="798" t="s">
        <v>311</v>
      </c>
      <c r="E1291" s="798" t="s">
        <v>320</v>
      </c>
      <c r="F1291" s="800" t="s">
        <v>709</v>
      </c>
      <c r="G1291" s="797" t="s">
        <v>3102</v>
      </c>
      <c r="H1291" s="797" t="s">
        <v>3103</v>
      </c>
      <c r="I1291" s="577" t="s">
        <v>5348</v>
      </c>
      <c r="J1291" s="797" t="s">
        <v>638</v>
      </c>
      <c r="K1291" s="797" t="s">
        <v>713</v>
      </c>
      <c r="L1291" s="798" t="s">
        <v>309</v>
      </c>
      <c r="M1291" s="799">
        <v>250000</v>
      </c>
      <c r="N1291" s="794" t="s">
        <v>5042</v>
      </c>
    </row>
    <row r="1292" spans="1:14" x14ac:dyDescent="0.3">
      <c r="A1292" s="527">
        <v>8</v>
      </c>
      <c r="B1292" s="649"/>
      <c r="C1292" s="796"/>
      <c r="D1292" s="794"/>
      <c r="E1292" s="794"/>
      <c r="F1292" s="801"/>
      <c r="G1292" s="796"/>
      <c r="H1292" s="796"/>
      <c r="I1292" s="520" t="s">
        <v>5170</v>
      </c>
      <c r="J1292" s="796"/>
      <c r="K1292" s="796"/>
      <c r="L1292" s="794"/>
      <c r="M1292" s="795"/>
      <c r="N1292" s="794"/>
    </row>
    <row r="1293" spans="1:14" x14ac:dyDescent="0.3">
      <c r="A1293" s="527">
        <v>8</v>
      </c>
      <c r="B1293" s="649"/>
      <c r="C1293" s="797" t="s">
        <v>5171</v>
      </c>
      <c r="D1293" s="798" t="s">
        <v>311</v>
      </c>
      <c r="E1293" s="798" t="s">
        <v>320</v>
      </c>
      <c r="F1293" s="797" t="s">
        <v>337</v>
      </c>
      <c r="G1293" s="797" t="s">
        <v>3172</v>
      </c>
      <c r="H1293" s="797" t="s">
        <v>3061</v>
      </c>
      <c r="I1293" s="577" t="s">
        <v>5349</v>
      </c>
      <c r="J1293" s="797" t="s">
        <v>638</v>
      </c>
      <c r="K1293" s="797" t="s">
        <v>692</v>
      </c>
      <c r="L1293" s="798" t="s">
        <v>309</v>
      </c>
      <c r="M1293" s="799">
        <v>500000</v>
      </c>
      <c r="N1293" s="794" t="s">
        <v>1206</v>
      </c>
    </row>
    <row r="1294" spans="1:14" x14ac:dyDescent="0.3">
      <c r="A1294" s="527">
        <v>8</v>
      </c>
      <c r="B1294" s="649"/>
      <c r="C1294" s="796"/>
      <c r="D1294" s="794"/>
      <c r="E1294" s="794"/>
      <c r="F1294" s="796"/>
      <c r="G1294" s="796"/>
      <c r="H1294" s="796"/>
      <c r="I1294" s="520" t="s">
        <v>5172</v>
      </c>
      <c r="J1294" s="796"/>
      <c r="K1294" s="796"/>
      <c r="L1294" s="794"/>
      <c r="M1294" s="795"/>
      <c r="N1294" s="794"/>
    </row>
    <row r="1295" spans="1:14" x14ac:dyDescent="0.3">
      <c r="A1295" s="527">
        <v>9</v>
      </c>
      <c r="B1295" s="649" t="s">
        <v>5180</v>
      </c>
      <c r="C1295" s="520" t="s">
        <v>5174</v>
      </c>
      <c r="D1295" s="519" t="s">
        <v>306</v>
      </c>
      <c r="E1295" s="519" t="s">
        <v>322</v>
      </c>
      <c r="F1295" s="519" t="s">
        <v>307</v>
      </c>
      <c r="G1295" s="520" t="s">
        <v>5104</v>
      </c>
      <c r="H1295" s="520" t="s">
        <v>5105</v>
      </c>
      <c r="I1295" s="520" t="s">
        <v>5069</v>
      </c>
      <c r="J1295" s="519" t="s">
        <v>664</v>
      </c>
      <c r="K1295" s="519" t="s">
        <v>1100</v>
      </c>
      <c r="L1295" s="519"/>
      <c r="M1295" s="538">
        <v>600000</v>
      </c>
      <c r="N1295" s="519" t="s">
        <v>5145</v>
      </c>
    </row>
    <row r="1296" spans="1:14" x14ac:dyDescent="0.3">
      <c r="A1296" s="527">
        <v>9</v>
      </c>
      <c r="B1296" s="649"/>
      <c r="C1296" s="520" t="s">
        <v>5169</v>
      </c>
      <c r="D1296" s="519" t="s">
        <v>306</v>
      </c>
      <c r="E1296" s="519" t="s">
        <v>322</v>
      </c>
      <c r="F1296" s="519" t="s">
        <v>307</v>
      </c>
      <c r="G1296" s="520" t="s">
        <v>5061</v>
      </c>
      <c r="H1296" s="520" t="s">
        <v>4977</v>
      </c>
      <c r="I1296" s="520" t="s">
        <v>5069</v>
      </c>
      <c r="J1296" s="519" t="s">
        <v>664</v>
      </c>
      <c r="K1296" s="519" t="s">
        <v>5131</v>
      </c>
      <c r="L1296" s="519"/>
      <c r="M1296" s="538">
        <v>300000</v>
      </c>
      <c r="N1296" s="519" t="s">
        <v>5175</v>
      </c>
    </row>
    <row r="1297" spans="1:14" x14ac:dyDescent="0.3">
      <c r="A1297" s="527">
        <v>9</v>
      </c>
      <c r="B1297" s="649"/>
      <c r="C1297" s="564" t="s">
        <v>5176</v>
      </c>
      <c r="D1297" s="565" t="s">
        <v>306</v>
      </c>
      <c r="E1297" s="565" t="s">
        <v>322</v>
      </c>
      <c r="F1297" s="565" t="s">
        <v>307</v>
      </c>
      <c r="G1297" s="564" t="s">
        <v>5177</v>
      </c>
      <c r="H1297" s="564" t="s">
        <v>662</v>
      </c>
      <c r="I1297" s="564" t="s">
        <v>1096</v>
      </c>
      <c r="J1297" s="565" t="s">
        <v>664</v>
      </c>
      <c r="K1297" s="565" t="s">
        <v>4981</v>
      </c>
      <c r="L1297" s="565"/>
      <c r="M1297" s="566">
        <v>500000</v>
      </c>
      <c r="N1297" s="519"/>
    </row>
    <row r="1298" spans="1:14" x14ac:dyDescent="0.3">
      <c r="A1298" s="527">
        <v>9</v>
      </c>
      <c r="B1298" s="649"/>
      <c r="C1298" s="564" t="s">
        <v>5178</v>
      </c>
      <c r="D1298" s="565" t="s">
        <v>306</v>
      </c>
      <c r="E1298" s="565" t="s">
        <v>322</v>
      </c>
      <c r="F1298" s="565" t="s">
        <v>307</v>
      </c>
      <c r="G1298" s="564">
        <v>1570</v>
      </c>
      <c r="H1298" s="564" t="s">
        <v>3179</v>
      </c>
      <c r="I1298" s="564" t="s">
        <v>5028</v>
      </c>
      <c r="J1298" s="565" t="s">
        <v>664</v>
      </c>
      <c r="K1298" s="565" t="s">
        <v>4981</v>
      </c>
      <c r="L1298" s="565"/>
      <c r="M1298" s="566">
        <v>500000</v>
      </c>
      <c r="N1298" s="519"/>
    </row>
    <row r="1299" spans="1:14" x14ac:dyDescent="0.3">
      <c r="A1299" s="527">
        <v>9</v>
      </c>
      <c r="B1299" s="649"/>
      <c r="C1299" s="602" t="s">
        <v>5179</v>
      </c>
      <c r="D1299" s="594" t="s">
        <v>306</v>
      </c>
      <c r="E1299" s="594" t="s">
        <v>322</v>
      </c>
      <c r="F1299" s="594" t="s">
        <v>307</v>
      </c>
      <c r="G1299" s="602">
        <v>8263</v>
      </c>
      <c r="H1299" s="602" t="s">
        <v>3179</v>
      </c>
      <c r="I1299" s="602" t="s">
        <v>1096</v>
      </c>
      <c r="J1299" s="594" t="s">
        <v>664</v>
      </c>
      <c r="K1299" s="594" t="s">
        <v>4971</v>
      </c>
      <c r="L1299" s="594"/>
      <c r="M1299" s="595">
        <v>1000000</v>
      </c>
      <c r="N1299" s="519"/>
    </row>
    <row r="1300" spans="1:14" x14ac:dyDescent="0.3">
      <c r="A1300" s="527">
        <v>9</v>
      </c>
      <c r="B1300" s="649"/>
      <c r="C1300" s="602" t="s">
        <v>5176</v>
      </c>
      <c r="D1300" s="594" t="s">
        <v>306</v>
      </c>
      <c r="E1300" s="594" t="s">
        <v>322</v>
      </c>
      <c r="F1300" s="594" t="s">
        <v>307</v>
      </c>
      <c r="G1300" s="602">
        <v>594</v>
      </c>
      <c r="H1300" s="602" t="s">
        <v>1047</v>
      </c>
      <c r="I1300" s="602" t="s">
        <v>4925</v>
      </c>
      <c r="J1300" s="594" t="s">
        <v>664</v>
      </c>
      <c r="K1300" s="594" t="s">
        <v>3105</v>
      </c>
      <c r="L1300" s="594"/>
      <c r="M1300" s="595">
        <v>500000</v>
      </c>
      <c r="N1300" s="519"/>
    </row>
    <row r="1301" spans="1:14" x14ac:dyDescent="0.3">
      <c r="A1301" s="527">
        <v>9</v>
      </c>
      <c r="B1301" s="649"/>
      <c r="C1301" s="602" t="s">
        <v>5178</v>
      </c>
      <c r="D1301" s="594" t="s">
        <v>306</v>
      </c>
      <c r="E1301" s="594" t="s">
        <v>322</v>
      </c>
      <c r="F1301" s="594" t="s">
        <v>307</v>
      </c>
      <c r="G1301" s="602" t="s">
        <v>4948</v>
      </c>
      <c r="H1301" s="602" t="s">
        <v>1915</v>
      </c>
      <c r="I1301" s="602" t="s">
        <v>1096</v>
      </c>
      <c r="J1301" s="594" t="s">
        <v>664</v>
      </c>
      <c r="K1301" s="594" t="s">
        <v>3105</v>
      </c>
      <c r="L1301" s="594"/>
      <c r="M1301" s="595">
        <v>500000</v>
      </c>
      <c r="N1301" s="519"/>
    </row>
    <row r="1302" spans="1:14" x14ac:dyDescent="0.3">
      <c r="A1302" s="527">
        <v>9</v>
      </c>
      <c r="B1302" s="649" t="s">
        <v>5206</v>
      </c>
      <c r="C1302" s="577" t="s">
        <v>5181</v>
      </c>
      <c r="D1302" s="579" t="s">
        <v>311</v>
      </c>
      <c r="E1302" s="579" t="s">
        <v>320</v>
      </c>
      <c r="F1302" s="577" t="s">
        <v>337</v>
      </c>
      <c r="G1302" s="577" t="s">
        <v>3172</v>
      </c>
      <c r="H1302" s="577" t="s">
        <v>3061</v>
      </c>
      <c r="I1302" s="577" t="s">
        <v>5350</v>
      </c>
      <c r="J1302" s="577"/>
      <c r="K1302" s="577" t="s">
        <v>692</v>
      </c>
      <c r="L1302" s="579" t="s">
        <v>309</v>
      </c>
      <c r="M1302" s="580">
        <v>600000</v>
      </c>
      <c r="N1302" s="519" t="s">
        <v>5182</v>
      </c>
    </row>
    <row r="1303" spans="1:14" x14ac:dyDescent="0.3">
      <c r="A1303" s="527">
        <v>9</v>
      </c>
      <c r="B1303" s="649"/>
      <c r="C1303" s="520" t="s">
        <v>5171</v>
      </c>
      <c r="D1303" s="519" t="s">
        <v>311</v>
      </c>
      <c r="E1303" s="519" t="s">
        <v>675</v>
      </c>
      <c r="F1303" s="520" t="s">
        <v>5183</v>
      </c>
      <c r="G1303" s="520" t="s">
        <v>403</v>
      </c>
      <c r="H1303" s="520" t="s">
        <v>5039</v>
      </c>
      <c r="I1303" s="520" t="s">
        <v>5184</v>
      </c>
      <c r="J1303" s="520"/>
      <c r="K1303" s="520" t="s">
        <v>4946</v>
      </c>
      <c r="L1303" s="519" t="s">
        <v>309</v>
      </c>
      <c r="M1303" s="544">
        <v>600000</v>
      </c>
      <c r="N1303" s="519" t="s">
        <v>5182</v>
      </c>
    </row>
    <row r="1304" spans="1:14" x14ac:dyDescent="0.3">
      <c r="A1304" s="527">
        <v>9</v>
      </c>
      <c r="B1304" s="649"/>
      <c r="C1304" s="797" t="s">
        <v>5185</v>
      </c>
      <c r="D1304" s="798" t="s">
        <v>311</v>
      </c>
      <c r="E1304" s="798" t="s">
        <v>320</v>
      </c>
      <c r="F1304" s="797" t="s">
        <v>337</v>
      </c>
      <c r="G1304" s="797" t="s">
        <v>3172</v>
      </c>
      <c r="H1304" s="797" t="s">
        <v>3061</v>
      </c>
      <c r="I1304" s="581" t="s">
        <v>5186</v>
      </c>
      <c r="J1304" s="797" t="s">
        <v>638</v>
      </c>
      <c r="K1304" s="797" t="s">
        <v>713</v>
      </c>
      <c r="L1304" s="798" t="s">
        <v>309</v>
      </c>
      <c r="M1304" s="799">
        <v>250000</v>
      </c>
      <c r="N1304" s="794" t="s">
        <v>5042</v>
      </c>
    </row>
    <row r="1305" spans="1:14" x14ac:dyDescent="0.3">
      <c r="A1305" s="527">
        <v>9</v>
      </c>
      <c r="B1305" s="649"/>
      <c r="C1305" s="796"/>
      <c r="D1305" s="794"/>
      <c r="E1305" s="794"/>
      <c r="F1305" s="796"/>
      <c r="G1305" s="796"/>
      <c r="H1305" s="796"/>
      <c r="I1305" s="529" t="s">
        <v>5187</v>
      </c>
      <c r="J1305" s="796"/>
      <c r="K1305" s="796"/>
      <c r="L1305" s="794"/>
      <c r="M1305" s="795"/>
      <c r="N1305" s="794"/>
    </row>
    <row r="1306" spans="1:14" x14ac:dyDescent="0.3">
      <c r="A1306" s="527">
        <v>9</v>
      </c>
      <c r="B1306" s="649"/>
      <c r="C1306" s="797" t="s">
        <v>5185</v>
      </c>
      <c r="D1306" s="798" t="s">
        <v>311</v>
      </c>
      <c r="E1306" s="798" t="s">
        <v>320</v>
      </c>
      <c r="F1306" s="797" t="s">
        <v>5188</v>
      </c>
      <c r="G1306" s="577" t="s">
        <v>689</v>
      </c>
      <c r="H1306" s="797" t="s">
        <v>5190</v>
      </c>
      <c r="I1306" s="577" t="s">
        <v>5351</v>
      </c>
      <c r="J1306" s="797"/>
      <c r="K1306" s="797" t="s">
        <v>713</v>
      </c>
      <c r="L1306" s="798" t="s">
        <v>309</v>
      </c>
      <c r="M1306" s="799">
        <v>250000</v>
      </c>
      <c r="N1306" s="794" t="s">
        <v>5042</v>
      </c>
    </row>
    <row r="1307" spans="1:14" x14ac:dyDescent="0.3">
      <c r="A1307" s="527">
        <v>9</v>
      </c>
      <c r="B1307" s="649"/>
      <c r="C1307" s="796"/>
      <c r="D1307" s="794"/>
      <c r="E1307" s="794"/>
      <c r="F1307" s="796"/>
      <c r="G1307" s="520" t="s">
        <v>5189</v>
      </c>
      <c r="H1307" s="796"/>
      <c r="I1307" s="520" t="s">
        <v>5191</v>
      </c>
      <c r="J1307" s="796"/>
      <c r="K1307" s="796"/>
      <c r="L1307" s="794"/>
      <c r="M1307" s="795"/>
      <c r="N1307" s="794"/>
    </row>
    <row r="1308" spans="1:14" x14ac:dyDescent="0.3">
      <c r="A1308" s="527">
        <v>9</v>
      </c>
      <c r="B1308" s="649"/>
      <c r="C1308" s="520" t="s">
        <v>5185</v>
      </c>
      <c r="D1308" s="519" t="s">
        <v>311</v>
      </c>
      <c r="E1308" s="519" t="s">
        <v>320</v>
      </c>
      <c r="F1308" s="520" t="s">
        <v>720</v>
      </c>
      <c r="G1308" s="520" t="s">
        <v>1201</v>
      </c>
      <c r="H1308" s="520" t="s">
        <v>3173</v>
      </c>
      <c r="I1308" s="529" t="s">
        <v>5192</v>
      </c>
      <c r="J1308" s="520"/>
      <c r="K1308" s="520" t="s">
        <v>3196</v>
      </c>
      <c r="L1308" s="519" t="s">
        <v>309</v>
      </c>
      <c r="M1308" s="544">
        <v>300000</v>
      </c>
      <c r="N1308" s="519" t="s">
        <v>1929</v>
      </c>
    </row>
    <row r="1309" spans="1:14" x14ac:dyDescent="0.3">
      <c r="A1309" s="527">
        <v>9</v>
      </c>
      <c r="B1309" s="649"/>
      <c r="C1309" s="797" t="s">
        <v>5193</v>
      </c>
      <c r="D1309" s="798" t="s">
        <v>311</v>
      </c>
      <c r="E1309" s="798" t="s">
        <v>320</v>
      </c>
      <c r="F1309" s="797" t="s">
        <v>337</v>
      </c>
      <c r="G1309" s="577" t="s">
        <v>3405</v>
      </c>
      <c r="H1309" s="797" t="s">
        <v>5039</v>
      </c>
      <c r="I1309" s="797" t="s">
        <v>5352</v>
      </c>
      <c r="J1309" s="797"/>
      <c r="K1309" s="797" t="s">
        <v>692</v>
      </c>
      <c r="L1309" s="798" t="s">
        <v>309</v>
      </c>
      <c r="M1309" s="799">
        <v>500000</v>
      </c>
      <c r="N1309" s="794" t="s">
        <v>5042</v>
      </c>
    </row>
    <row r="1310" spans="1:14" x14ac:dyDescent="0.3">
      <c r="A1310" s="527">
        <v>9</v>
      </c>
      <c r="B1310" s="649"/>
      <c r="C1310" s="796"/>
      <c r="D1310" s="794"/>
      <c r="E1310" s="794"/>
      <c r="F1310" s="796"/>
      <c r="G1310" s="520" t="s">
        <v>5194</v>
      </c>
      <c r="H1310" s="796"/>
      <c r="I1310" s="796"/>
      <c r="J1310" s="796"/>
      <c r="K1310" s="796"/>
      <c r="L1310" s="794"/>
      <c r="M1310" s="795"/>
      <c r="N1310" s="794"/>
    </row>
    <row r="1311" spans="1:14" ht="24" x14ac:dyDescent="0.3">
      <c r="A1311" s="527">
        <v>9</v>
      </c>
      <c r="B1311" s="649"/>
      <c r="C1311" s="520" t="s">
        <v>5195</v>
      </c>
      <c r="D1311" s="519" t="s">
        <v>311</v>
      </c>
      <c r="E1311" s="519" t="s">
        <v>675</v>
      </c>
      <c r="F1311" s="520" t="s">
        <v>720</v>
      </c>
      <c r="G1311" s="520">
        <v>7060</v>
      </c>
      <c r="H1311" s="520" t="s">
        <v>717</v>
      </c>
      <c r="I1311" s="529" t="s">
        <v>5196</v>
      </c>
      <c r="J1311" s="520"/>
      <c r="K1311" s="520" t="s">
        <v>731</v>
      </c>
      <c r="L1311" s="519" t="s">
        <v>309</v>
      </c>
      <c r="M1311" s="544">
        <v>300000</v>
      </c>
      <c r="N1311" s="519" t="s">
        <v>5042</v>
      </c>
    </row>
    <row r="1312" spans="1:14" x14ac:dyDescent="0.3">
      <c r="A1312" s="527">
        <v>9</v>
      </c>
      <c r="B1312" s="649"/>
      <c r="C1312" s="797" t="s">
        <v>5197</v>
      </c>
      <c r="D1312" s="798" t="s">
        <v>311</v>
      </c>
      <c r="E1312" s="798" t="s">
        <v>675</v>
      </c>
      <c r="F1312" s="797" t="s">
        <v>5198</v>
      </c>
      <c r="G1312" s="578" t="s">
        <v>1923</v>
      </c>
      <c r="H1312" s="797" t="s">
        <v>347</v>
      </c>
      <c r="I1312" s="797" t="s">
        <v>5355</v>
      </c>
      <c r="J1312" s="797"/>
      <c r="K1312" s="797" t="s">
        <v>692</v>
      </c>
      <c r="L1312" s="798" t="s">
        <v>309</v>
      </c>
      <c r="M1312" s="802">
        <v>500000</v>
      </c>
      <c r="N1312" s="794" t="s">
        <v>1929</v>
      </c>
    </row>
    <row r="1313" spans="1:14" x14ac:dyDescent="0.3">
      <c r="A1313" s="527">
        <v>9</v>
      </c>
      <c r="B1313" s="649"/>
      <c r="C1313" s="796"/>
      <c r="D1313" s="794"/>
      <c r="E1313" s="794"/>
      <c r="F1313" s="796"/>
      <c r="G1313" s="528" t="s">
        <v>5199</v>
      </c>
      <c r="H1313" s="796"/>
      <c r="I1313" s="796"/>
      <c r="J1313" s="796"/>
      <c r="K1313" s="796"/>
      <c r="L1313" s="794"/>
      <c r="M1313" s="803"/>
      <c r="N1313" s="794"/>
    </row>
    <row r="1314" spans="1:14" x14ac:dyDescent="0.3">
      <c r="A1314" s="527">
        <v>10</v>
      </c>
      <c r="B1314" s="649" t="s">
        <v>5180</v>
      </c>
      <c r="C1314" s="564" t="s">
        <v>5200</v>
      </c>
      <c r="D1314" s="565" t="s">
        <v>306</v>
      </c>
      <c r="E1314" s="565" t="s">
        <v>322</v>
      </c>
      <c r="F1314" s="565" t="s">
        <v>307</v>
      </c>
      <c r="G1314" s="564">
        <v>8263</v>
      </c>
      <c r="H1314" s="564" t="s">
        <v>3179</v>
      </c>
      <c r="I1314" s="564" t="s">
        <v>1096</v>
      </c>
      <c r="J1314" s="565" t="s">
        <v>664</v>
      </c>
      <c r="K1314" s="565" t="s">
        <v>4979</v>
      </c>
      <c r="L1314" s="565"/>
      <c r="M1314" s="566">
        <v>750000</v>
      </c>
      <c r="N1314" s="519"/>
    </row>
    <row r="1315" spans="1:14" x14ac:dyDescent="0.3">
      <c r="A1315" s="527">
        <v>10</v>
      </c>
      <c r="B1315" s="649"/>
      <c r="C1315" s="564" t="s">
        <v>5201</v>
      </c>
      <c r="D1315" s="565" t="s">
        <v>306</v>
      </c>
      <c r="E1315" s="565" t="s">
        <v>322</v>
      </c>
      <c r="F1315" s="565" t="s">
        <v>307</v>
      </c>
      <c r="G1315" s="564" t="s">
        <v>5202</v>
      </c>
      <c r="H1315" s="564" t="s">
        <v>5203</v>
      </c>
      <c r="I1315" s="564" t="s">
        <v>5204</v>
      </c>
      <c r="J1315" s="565" t="s">
        <v>664</v>
      </c>
      <c r="K1315" s="565" t="s">
        <v>4981</v>
      </c>
      <c r="L1315" s="565"/>
      <c r="M1315" s="566">
        <v>500000</v>
      </c>
      <c r="N1315" s="519"/>
    </row>
    <row r="1316" spans="1:14" x14ac:dyDescent="0.3">
      <c r="A1316" s="527">
        <v>10</v>
      </c>
      <c r="B1316" s="649"/>
      <c r="C1316" s="602" t="s">
        <v>5205</v>
      </c>
      <c r="D1316" s="594" t="s">
        <v>306</v>
      </c>
      <c r="E1316" s="594" t="s">
        <v>322</v>
      </c>
      <c r="F1316" s="594" t="s">
        <v>307</v>
      </c>
      <c r="G1316" s="602" t="s">
        <v>4974</v>
      </c>
      <c r="H1316" s="602" t="s">
        <v>347</v>
      </c>
      <c r="I1316" s="602" t="s">
        <v>4925</v>
      </c>
      <c r="J1316" s="594" t="s">
        <v>664</v>
      </c>
      <c r="K1316" s="594" t="s">
        <v>3186</v>
      </c>
      <c r="L1316" s="594"/>
      <c r="M1316" s="595">
        <v>1250000</v>
      </c>
      <c r="N1316" s="519"/>
    </row>
    <row r="1317" spans="1:14" x14ac:dyDescent="0.3">
      <c r="A1317" s="527">
        <v>10</v>
      </c>
      <c r="B1317" s="649"/>
      <c r="C1317" s="602" t="s">
        <v>5205</v>
      </c>
      <c r="D1317" s="594" t="s">
        <v>306</v>
      </c>
      <c r="E1317" s="594" t="s">
        <v>322</v>
      </c>
      <c r="F1317" s="594" t="s">
        <v>307</v>
      </c>
      <c r="G1317" s="602" t="s">
        <v>4812</v>
      </c>
      <c r="H1317" s="602" t="s">
        <v>662</v>
      </c>
      <c r="I1317" s="602" t="s">
        <v>1096</v>
      </c>
      <c r="J1317" s="594" t="s">
        <v>664</v>
      </c>
      <c r="K1317" s="594" t="s">
        <v>3186</v>
      </c>
      <c r="L1317" s="594"/>
      <c r="M1317" s="595">
        <v>1250000</v>
      </c>
      <c r="N1317" s="519"/>
    </row>
    <row r="1318" spans="1:14" x14ac:dyDescent="0.3">
      <c r="A1318" s="527">
        <v>10</v>
      </c>
      <c r="B1318" s="649" t="s">
        <v>5057</v>
      </c>
      <c r="C1318" s="520" t="s">
        <v>5193</v>
      </c>
      <c r="D1318" s="519" t="s">
        <v>311</v>
      </c>
      <c r="E1318" s="519" t="s">
        <v>320</v>
      </c>
      <c r="F1318" s="520" t="s">
        <v>337</v>
      </c>
      <c r="G1318" s="520" t="s">
        <v>3172</v>
      </c>
      <c r="H1318" s="520" t="s">
        <v>3061</v>
      </c>
      <c r="I1318" s="529" t="s">
        <v>5207</v>
      </c>
      <c r="J1318" s="520"/>
      <c r="K1318" s="520" t="s">
        <v>731</v>
      </c>
      <c r="L1318" s="519" t="s">
        <v>309</v>
      </c>
      <c r="M1318" s="544">
        <v>300000</v>
      </c>
      <c r="N1318" s="519" t="s">
        <v>5208</v>
      </c>
    </row>
    <row r="1319" spans="1:14" x14ac:dyDescent="0.3">
      <c r="A1319" s="527">
        <v>10</v>
      </c>
      <c r="B1319" s="649"/>
      <c r="C1319" s="577" t="s">
        <v>5353</v>
      </c>
      <c r="D1319" s="579" t="s">
        <v>311</v>
      </c>
      <c r="E1319" s="579" t="s">
        <v>320</v>
      </c>
      <c r="F1319" s="578" t="s">
        <v>337</v>
      </c>
      <c r="G1319" s="577" t="s">
        <v>3058</v>
      </c>
      <c r="H1319" s="577" t="s">
        <v>3061</v>
      </c>
      <c r="I1319" s="577" t="s">
        <v>5354</v>
      </c>
      <c r="J1319" s="577" t="s">
        <v>638</v>
      </c>
      <c r="K1319" s="577" t="s">
        <v>692</v>
      </c>
      <c r="L1319" s="579" t="s">
        <v>309</v>
      </c>
      <c r="M1319" s="580">
        <v>500000</v>
      </c>
      <c r="N1319" s="519" t="s">
        <v>5208</v>
      </c>
    </row>
    <row r="1320" spans="1:14" ht="25.5" x14ac:dyDescent="0.3">
      <c r="A1320" s="527">
        <v>10</v>
      </c>
      <c r="B1320" s="649"/>
      <c r="C1320" s="520" t="s">
        <v>5197</v>
      </c>
      <c r="D1320" s="519" t="s">
        <v>311</v>
      </c>
      <c r="E1320" s="519" t="s">
        <v>675</v>
      </c>
      <c r="F1320" s="520" t="s">
        <v>5209</v>
      </c>
      <c r="G1320" s="520">
        <v>7064</v>
      </c>
      <c r="H1320" s="520" t="s">
        <v>1238</v>
      </c>
      <c r="I1320" s="520" t="s">
        <v>5210</v>
      </c>
      <c r="J1320" s="520" t="s">
        <v>702</v>
      </c>
      <c r="K1320" s="520" t="s">
        <v>731</v>
      </c>
      <c r="L1320" s="519" t="s">
        <v>309</v>
      </c>
      <c r="M1320" s="544">
        <v>300000</v>
      </c>
      <c r="N1320" s="519" t="s">
        <v>5208</v>
      </c>
    </row>
    <row r="1321" spans="1:14" x14ac:dyDescent="0.3">
      <c r="A1321" s="527">
        <v>10</v>
      </c>
      <c r="B1321" s="649"/>
      <c r="C1321" s="796" t="s">
        <v>5211</v>
      </c>
      <c r="D1321" s="794" t="s">
        <v>311</v>
      </c>
      <c r="E1321" s="794" t="s">
        <v>320</v>
      </c>
      <c r="F1321" s="796" t="s">
        <v>337</v>
      </c>
      <c r="G1321" s="796" t="s">
        <v>3172</v>
      </c>
      <c r="H1321" s="796" t="s">
        <v>3061</v>
      </c>
      <c r="I1321" s="529" t="s">
        <v>5186</v>
      </c>
      <c r="J1321" s="796" t="s">
        <v>638</v>
      </c>
      <c r="K1321" s="796" t="s">
        <v>705</v>
      </c>
      <c r="L1321" s="794" t="s">
        <v>309</v>
      </c>
      <c r="M1321" s="795">
        <v>500000</v>
      </c>
      <c r="N1321" s="794" t="s">
        <v>1206</v>
      </c>
    </row>
    <row r="1322" spans="1:14" x14ac:dyDescent="0.3">
      <c r="A1322" s="527">
        <v>10</v>
      </c>
      <c r="B1322" s="649"/>
      <c r="C1322" s="796"/>
      <c r="D1322" s="794"/>
      <c r="E1322" s="794"/>
      <c r="F1322" s="796"/>
      <c r="G1322" s="796"/>
      <c r="H1322" s="796"/>
      <c r="I1322" s="529" t="s">
        <v>5187</v>
      </c>
      <c r="J1322" s="796"/>
      <c r="K1322" s="796"/>
      <c r="L1322" s="794"/>
      <c r="M1322" s="795"/>
      <c r="N1322" s="794"/>
    </row>
    <row r="1323" spans="1:14" x14ac:dyDescent="0.3">
      <c r="A1323" s="527">
        <v>10</v>
      </c>
      <c r="B1323" s="649"/>
      <c r="C1323" s="520" t="s">
        <v>5212</v>
      </c>
      <c r="D1323" s="519" t="s">
        <v>311</v>
      </c>
      <c r="E1323" s="519" t="s">
        <v>675</v>
      </c>
      <c r="F1323" s="520" t="s">
        <v>720</v>
      </c>
      <c r="G1323" s="520" t="s">
        <v>1760</v>
      </c>
      <c r="H1323" s="520" t="s">
        <v>347</v>
      </c>
      <c r="I1323" s="520" t="s">
        <v>5213</v>
      </c>
      <c r="J1323" s="520" t="s">
        <v>638</v>
      </c>
      <c r="K1323" s="520" t="s">
        <v>5214</v>
      </c>
      <c r="L1323" s="519" t="s">
        <v>309</v>
      </c>
      <c r="M1323" s="544">
        <v>250000</v>
      </c>
      <c r="N1323" s="519" t="s">
        <v>5042</v>
      </c>
    </row>
    <row r="1324" spans="1:14" x14ac:dyDescent="0.3">
      <c r="A1324" s="527">
        <v>10</v>
      </c>
      <c r="B1324" s="649"/>
      <c r="C1324" s="577" t="s">
        <v>5212</v>
      </c>
      <c r="D1324" s="579" t="s">
        <v>311</v>
      </c>
      <c r="E1324" s="579" t="s">
        <v>675</v>
      </c>
      <c r="F1324" s="577" t="s">
        <v>720</v>
      </c>
      <c r="G1324" s="577" t="s">
        <v>1760</v>
      </c>
      <c r="H1324" s="577" t="s">
        <v>347</v>
      </c>
      <c r="I1324" s="577" t="s">
        <v>5356</v>
      </c>
      <c r="J1324" s="577" t="s">
        <v>638</v>
      </c>
      <c r="K1324" s="577" t="s">
        <v>713</v>
      </c>
      <c r="L1324" s="579" t="s">
        <v>309</v>
      </c>
      <c r="M1324" s="580">
        <v>250000</v>
      </c>
      <c r="N1324" s="519" t="s">
        <v>5042</v>
      </c>
    </row>
    <row r="1325" spans="1:14" x14ac:dyDescent="0.3">
      <c r="A1325" s="527">
        <v>10</v>
      </c>
      <c r="B1325" s="649"/>
      <c r="C1325" s="520" t="s">
        <v>5212</v>
      </c>
      <c r="D1325" s="519" t="s">
        <v>311</v>
      </c>
      <c r="E1325" s="519" t="s">
        <v>675</v>
      </c>
      <c r="F1325" s="520" t="s">
        <v>720</v>
      </c>
      <c r="G1325" s="520" t="s">
        <v>5215</v>
      </c>
      <c r="H1325" s="520" t="s">
        <v>730</v>
      </c>
      <c r="I1325" s="520" t="s">
        <v>5216</v>
      </c>
      <c r="J1325" s="520" t="s">
        <v>638</v>
      </c>
      <c r="K1325" s="520" t="s">
        <v>713</v>
      </c>
      <c r="L1325" s="519" t="s">
        <v>309</v>
      </c>
      <c r="M1325" s="544">
        <v>250000</v>
      </c>
      <c r="N1325" s="519" t="s">
        <v>5042</v>
      </c>
    </row>
    <row r="1326" spans="1:14" x14ac:dyDescent="0.3">
      <c r="A1326" s="527">
        <v>10</v>
      </c>
      <c r="B1326" s="649"/>
      <c r="C1326" s="796" t="s">
        <v>5212</v>
      </c>
      <c r="D1326" s="794" t="s">
        <v>311</v>
      </c>
      <c r="E1326" s="794" t="s">
        <v>320</v>
      </c>
      <c r="F1326" s="796" t="s">
        <v>337</v>
      </c>
      <c r="G1326" s="796" t="s">
        <v>3172</v>
      </c>
      <c r="H1326" s="796" t="s">
        <v>3061</v>
      </c>
      <c r="I1326" s="529" t="s">
        <v>5186</v>
      </c>
      <c r="J1326" s="796"/>
      <c r="K1326" s="796" t="s">
        <v>705</v>
      </c>
      <c r="L1326" s="794" t="s">
        <v>309</v>
      </c>
      <c r="M1326" s="795">
        <v>500000</v>
      </c>
      <c r="N1326" s="794" t="s">
        <v>1206</v>
      </c>
    </row>
    <row r="1327" spans="1:14" x14ac:dyDescent="0.3">
      <c r="A1327" s="527">
        <v>10</v>
      </c>
      <c r="B1327" s="649"/>
      <c r="C1327" s="796"/>
      <c r="D1327" s="794"/>
      <c r="E1327" s="794"/>
      <c r="F1327" s="796"/>
      <c r="G1327" s="796"/>
      <c r="H1327" s="796"/>
      <c r="I1327" s="529" t="s">
        <v>5187</v>
      </c>
      <c r="J1327" s="796"/>
      <c r="K1327" s="796"/>
      <c r="L1327" s="794"/>
      <c r="M1327" s="795"/>
      <c r="N1327" s="794"/>
    </row>
    <row r="1328" spans="1:14" ht="25.5" x14ac:dyDescent="0.3">
      <c r="A1328" s="527">
        <v>10</v>
      </c>
      <c r="B1328" s="649"/>
      <c r="C1328" s="520" t="s">
        <v>5212</v>
      </c>
      <c r="D1328" s="519" t="s">
        <v>311</v>
      </c>
      <c r="E1328" s="519" t="s">
        <v>320</v>
      </c>
      <c r="F1328" s="520" t="s">
        <v>709</v>
      </c>
      <c r="G1328" s="520" t="s">
        <v>3102</v>
      </c>
      <c r="H1328" s="520" t="s">
        <v>3103</v>
      </c>
      <c r="I1328" s="520" t="s">
        <v>5217</v>
      </c>
      <c r="J1328" s="520"/>
      <c r="K1328" s="520" t="s">
        <v>5218</v>
      </c>
      <c r="L1328" s="519" t="s">
        <v>309</v>
      </c>
      <c r="M1328" s="544">
        <v>600000</v>
      </c>
      <c r="N1328" s="519" t="s">
        <v>5042</v>
      </c>
    </row>
    <row r="1329" spans="1:14" x14ac:dyDescent="0.3">
      <c r="A1329" s="527">
        <v>10</v>
      </c>
      <c r="B1329" s="649"/>
      <c r="C1329" s="797" t="s">
        <v>5219</v>
      </c>
      <c r="D1329" s="798" t="s">
        <v>311</v>
      </c>
      <c r="E1329" s="798" t="s">
        <v>675</v>
      </c>
      <c r="F1329" s="577" t="s">
        <v>5220</v>
      </c>
      <c r="G1329" s="797" t="s">
        <v>5222</v>
      </c>
      <c r="H1329" s="797" t="s">
        <v>662</v>
      </c>
      <c r="I1329" s="797" t="s">
        <v>5357</v>
      </c>
      <c r="J1329" s="797" t="s">
        <v>638</v>
      </c>
      <c r="K1329" s="797" t="s">
        <v>713</v>
      </c>
      <c r="L1329" s="798" t="s">
        <v>309</v>
      </c>
      <c r="M1329" s="799">
        <v>250000</v>
      </c>
      <c r="N1329" s="794" t="s">
        <v>5042</v>
      </c>
    </row>
    <row r="1330" spans="1:14" x14ac:dyDescent="0.3">
      <c r="A1330" s="527">
        <v>10</v>
      </c>
      <c r="B1330" s="649"/>
      <c r="C1330" s="796"/>
      <c r="D1330" s="794"/>
      <c r="E1330" s="794"/>
      <c r="F1330" s="520" t="s">
        <v>5221</v>
      </c>
      <c r="G1330" s="796"/>
      <c r="H1330" s="796"/>
      <c r="I1330" s="796"/>
      <c r="J1330" s="796"/>
      <c r="K1330" s="796"/>
      <c r="L1330" s="794"/>
      <c r="M1330" s="795"/>
      <c r="N1330" s="794"/>
    </row>
    <row r="1331" spans="1:14" x14ac:dyDescent="0.3">
      <c r="A1331" s="527">
        <v>10</v>
      </c>
      <c r="B1331" s="649"/>
      <c r="C1331" s="797" t="s">
        <v>5223</v>
      </c>
      <c r="D1331" s="798" t="s">
        <v>311</v>
      </c>
      <c r="E1331" s="798" t="s">
        <v>675</v>
      </c>
      <c r="F1331" s="797" t="s">
        <v>5224</v>
      </c>
      <c r="G1331" s="578" t="s">
        <v>5136</v>
      </c>
      <c r="H1331" s="804" t="s">
        <v>347</v>
      </c>
      <c r="I1331" s="577" t="s">
        <v>5358</v>
      </c>
      <c r="J1331" s="797"/>
      <c r="K1331" s="797" t="s">
        <v>692</v>
      </c>
      <c r="L1331" s="798" t="s">
        <v>309</v>
      </c>
      <c r="M1331" s="799">
        <v>500000</v>
      </c>
      <c r="N1331" s="794" t="s">
        <v>5042</v>
      </c>
    </row>
    <row r="1332" spans="1:14" x14ac:dyDescent="0.3">
      <c r="A1332" s="527">
        <v>10</v>
      </c>
      <c r="B1332" s="649"/>
      <c r="C1332" s="796"/>
      <c r="D1332" s="794"/>
      <c r="E1332" s="794"/>
      <c r="F1332" s="796"/>
      <c r="G1332" s="528" t="s">
        <v>5225</v>
      </c>
      <c r="H1332" s="805"/>
      <c r="I1332" s="520" t="s">
        <v>5227</v>
      </c>
      <c r="J1332" s="796"/>
      <c r="K1332" s="796"/>
      <c r="L1332" s="794"/>
      <c r="M1332" s="795"/>
      <c r="N1332" s="794"/>
    </row>
    <row r="1333" spans="1:14" x14ac:dyDescent="0.3">
      <c r="A1333" s="527">
        <v>11</v>
      </c>
      <c r="B1333" s="649" t="s">
        <v>5243</v>
      </c>
      <c r="C1333" s="529" t="s">
        <v>5228</v>
      </c>
      <c r="D1333" s="531" t="s">
        <v>306</v>
      </c>
      <c r="E1333" s="531" t="s">
        <v>322</v>
      </c>
      <c r="F1333" s="531" t="s">
        <v>307</v>
      </c>
      <c r="G1333" s="529">
        <v>7062</v>
      </c>
      <c r="H1333" s="529" t="s">
        <v>1818</v>
      </c>
      <c r="I1333" s="529" t="s">
        <v>5229</v>
      </c>
      <c r="J1333" s="531" t="s">
        <v>664</v>
      </c>
      <c r="K1333" s="531" t="s">
        <v>5131</v>
      </c>
      <c r="L1333" s="531"/>
      <c r="M1333" s="534">
        <v>300000</v>
      </c>
      <c r="N1333" s="531" t="s">
        <v>5230</v>
      </c>
    </row>
    <row r="1334" spans="1:14" x14ac:dyDescent="0.3">
      <c r="A1334" s="527">
        <v>11</v>
      </c>
      <c r="B1334" s="649"/>
      <c r="C1334" s="567" t="s">
        <v>5231</v>
      </c>
      <c r="D1334" s="568" t="s">
        <v>306</v>
      </c>
      <c r="E1334" s="568" t="s">
        <v>322</v>
      </c>
      <c r="F1334" s="568" t="s">
        <v>307</v>
      </c>
      <c r="G1334" s="567" t="s">
        <v>4948</v>
      </c>
      <c r="H1334" s="567" t="s">
        <v>3179</v>
      </c>
      <c r="I1334" s="567" t="s">
        <v>1096</v>
      </c>
      <c r="J1334" s="568" t="s">
        <v>664</v>
      </c>
      <c r="K1334" s="568" t="s">
        <v>5121</v>
      </c>
      <c r="L1334" s="568"/>
      <c r="M1334" s="569">
        <v>1250000</v>
      </c>
      <c r="N1334" s="531"/>
    </row>
    <row r="1335" spans="1:14" x14ac:dyDescent="0.3">
      <c r="A1335" s="527">
        <v>11</v>
      </c>
      <c r="B1335" s="649"/>
      <c r="C1335" s="603" t="s">
        <v>5231</v>
      </c>
      <c r="D1335" s="596" t="s">
        <v>306</v>
      </c>
      <c r="E1335" s="596" t="s">
        <v>322</v>
      </c>
      <c r="F1335" s="596" t="s">
        <v>307</v>
      </c>
      <c r="G1335" s="603" t="s">
        <v>4948</v>
      </c>
      <c r="H1335" s="603" t="s">
        <v>3179</v>
      </c>
      <c r="I1335" s="603" t="s">
        <v>5363</v>
      </c>
      <c r="J1335" s="596" t="s">
        <v>664</v>
      </c>
      <c r="K1335" s="596" t="s">
        <v>5232</v>
      </c>
      <c r="L1335" s="596"/>
      <c r="M1335" s="597">
        <v>750000</v>
      </c>
      <c r="N1335" s="531"/>
    </row>
    <row r="1336" spans="1:14" x14ac:dyDescent="0.3">
      <c r="A1336" s="527">
        <v>11</v>
      </c>
      <c r="B1336" s="649"/>
      <c r="C1336" s="603" t="s">
        <v>5231</v>
      </c>
      <c r="D1336" s="596" t="s">
        <v>306</v>
      </c>
      <c r="E1336" s="596" t="s">
        <v>322</v>
      </c>
      <c r="F1336" s="596" t="s">
        <v>307</v>
      </c>
      <c r="G1336" s="603" t="s">
        <v>4948</v>
      </c>
      <c r="H1336" s="603" t="s">
        <v>3179</v>
      </c>
      <c r="I1336" s="603" t="s">
        <v>5204</v>
      </c>
      <c r="J1336" s="596" t="s">
        <v>664</v>
      </c>
      <c r="K1336" s="596" t="s">
        <v>5233</v>
      </c>
      <c r="L1336" s="596"/>
      <c r="M1336" s="597">
        <v>500000</v>
      </c>
      <c r="N1336" s="531"/>
    </row>
    <row r="1337" spans="1:14" x14ac:dyDescent="0.3">
      <c r="A1337" s="527">
        <v>11</v>
      </c>
      <c r="B1337" s="649"/>
      <c r="C1337" s="603" t="s">
        <v>5231</v>
      </c>
      <c r="D1337" s="596" t="s">
        <v>306</v>
      </c>
      <c r="E1337" s="596" t="s">
        <v>322</v>
      </c>
      <c r="F1337" s="596" t="s">
        <v>307</v>
      </c>
      <c r="G1337" s="603" t="s">
        <v>5234</v>
      </c>
      <c r="H1337" s="603" t="s">
        <v>3117</v>
      </c>
      <c r="I1337" s="603" t="s">
        <v>4925</v>
      </c>
      <c r="J1337" s="596" t="s">
        <v>664</v>
      </c>
      <c r="K1337" s="596" t="s">
        <v>3186</v>
      </c>
      <c r="L1337" s="596"/>
      <c r="M1337" s="597">
        <v>1250000</v>
      </c>
      <c r="N1337" s="531"/>
    </row>
    <row r="1338" spans="1:14" x14ac:dyDescent="0.3">
      <c r="A1338" s="527">
        <v>11</v>
      </c>
      <c r="B1338" s="649"/>
      <c r="C1338" s="584" t="s">
        <v>5231</v>
      </c>
      <c r="D1338" s="585" t="s">
        <v>306</v>
      </c>
      <c r="E1338" s="585" t="s">
        <v>322</v>
      </c>
      <c r="F1338" s="585" t="s">
        <v>307</v>
      </c>
      <c r="G1338" s="584">
        <v>7062</v>
      </c>
      <c r="H1338" s="584" t="s">
        <v>347</v>
      </c>
      <c r="I1338" s="584" t="s">
        <v>4925</v>
      </c>
      <c r="J1338" s="585" t="s">
        <v>664</v>
      </c>
      <c r="K1338" s="585" t="s">
        <v>692</v>
      </c>
      <c r="L1338" s="585"/>
      <c r="M1338" s="586">
        <v>500000</v>
      </c>
      <c r="N1338" s="531"/>
    </row>
    <row r="1339" spans="1:14" x14ac:dyDescent="0.3">
      <c r="A1339" s="527">
        <v>11</v>
      </c>
      <c r="B1339" s="649" t="s">
        <v>5173</v>
      </c>
      <c r="C1339" s="804" t="s">
        <v>5228</v>
      </c>
      <c r="D1339" s="806" t="s">
        <v>311</v>
      </c>
      <c r="E1339" s="806" t="s">
        <v>675</v>
      </c>
      <c r="F1339" s="804" t="s">
        <v>5224</v>
      </c>
      <c r="G1339" s="581" t="s">
        <v>5136</v>
      </c>
      <c r="H1339" s="804" t="s">
        <v>347</v>
      </c>
      <c r="I1339" s="581" t="s">
        <v>5226</v>
      </c>
      <c r="J1339" s="804"/>
      <c r="K1339" s="804" t="s">
        <v>692</v>
      </c>
      <c r="L1339" s="806" t="s">
        <v>309</v>
      </c>
      <c r="M1339" s="808">
        <v>500000</v>
      </c>
      <c r="N1339" s="805" t="s">
        <v>5235</v>
      </c>
    </row>
    <row r="1340" spans="1:14" x14ac:dyDescent="0.3">
      <c r="A1340" s="527">
        <v>11</v>
      </c>
      <c r="B1340" s="649"/>
      <c r="C1340" s="805"/>
      <c r="D1340" s="807"/>
      <c r="E1340" s="807"/>
      <c r="F1340" s="805"/>
      <c r="G1340" s="529" t="s">
        <v>5225</v>
      </c>
      <c r="H1340" s="805"/>
      <c r="I1340" s="529" t="s">
        <v>5227</v>
      </c>
      <c r="J1340" s="805"/>
      <c r="K1340" s="805"/>
      <c r="L1340" s="807"/>
      <c r="M1340" s="809"/>
      <c r="N1340" s="805"/>
    </row>
    <row r="1341" spans="1:14" x14ac:dyDescent="0.3">
      <c r="A1341" s="527">
        <v>11</v>
      </c>
      <c r="B1341" s="649"/>
      <c r="C1341" s="603" t="s">
        <v>5359</v>
      </c>
      <c r="D1341" s="596" t="s">
        <v>311</v>
      </c>
      <c r="E1341" s="596" t="s">
        <v>320</v>
      </c>
      <c r="F1341" s="603" t="s">
        <v>2605</v>
      </c>
      <c r="G1341" s="603" t="s">
        <v>4934</v>
      </c>
      <c r="H1341" s="603" t="s">
        <v>3117</v>
      </c>
      <c r="I1341" s="603" t="s">
        <v>5360</v>
      </c>
      <c r="J1341" s="584" t="s">
        <v>1111</v>
      </c>
      <c r="K1341" s="584" t="s">
        <v>5236</v>
      </c>
      <c r="L1341" s="585" t="s">
        <v>309</v>
      </c>
      <c r="M1341" s="587">
        <v>500000</v>
      </c>
      <c r="N1341" s="529" t="s">
        <v>5237</v>
      </c>
    </row>
    <row r="1342" spans="1:14" x14ac:dyDescent="0.3">
      <c r="A1342" s="527">
        <v>11</v>
      </c>
      <c r="B1342" s="649"/>
      <c r="C1342" s="532" t="s">
        <v>5238</v>
      </c>
      <c r="D1342" s="533" t="s">
        <v>311</v>
      </c>
      <c r="E1342" s="533" t="s">
        <v>320</v>
      </c>
      <c r="F1342" s="532" t="s">
        <v>337</v>
      </c>
      <c r="G1342" s="532" t="s">
        <v>3172</v>
      </c>
      <c r="H1342" s="532" t="s">
        <v>3061</v>
      </c>
      <c r="I1342" s="532" t="s">
        <v>5239</v>
      </c>
      <c r="J1342" s="532" t="s">
        <v>702</v>
      </c>
      <c r="K1342" s="532" t="s">
        <v>5240</v>
      </c>
      <c r="L1342" s="533" t="s">
        <v>309</v>
      </c>
      <c r="M1342" s="545">
        <v>800000</v>
      </c>
      <c r="N1342" s="529" t="s">
        <v>5241</v>
      </c>
    </row>
    <row r="1343" spans="1:14" ht="36" x14ac:dyDescent="0.3">
      <c r="A1343" s="527">
        <v>11</v>
      </c>
      <c r="B1343" s="649"/>
      <c r="C1343" s="581" t="s">
        <v>5238</v>
      </c>
      <c r="D1343" s="582" t="s">
        <v>311</v>
      </c>
      <c r="E1343" s="582" t="s">
        <v>320</v>
      </c>
      <c r="F1343" s="581" t="s">
        <v>709</v>
      </c>
      <c r="G1343" s="581" t="s">
        <v>3102</v>
      </c>
      <c r="H1343" s="581" t="s">
        <v>3103</v>
      </c>
      <c r="I1343" s="581" t="s">
        <v>5361</v>
      </c>
      <c r="J1343" s="581" t="s">
        <v>638</v>
      </c>
      <c r="K1343" s="581" t="s">
        <v>713</v>
      </c>
      <c r="L1343" s="582" t="s">
        <v>309</v>
      </c>
      <c r="M1343" s="583">
        <v>250000</v>
      </c>
      <c r="N1343" s="529" t="s">
        <v>5242</v>
      </c>
    </row>
    <row r="1344" spans="1:14" x14ac:dyDescent="0.3">
      <c r="A1344" s="527">
        <v>12</v>
      </c>
      <c r="B1344" s="649" t="s">
        <v>5180</v>
      </c>
      <c r="C1344" s="604">
        <v>46102</v>
      </c>
      <c r="D1344" s="598" t="s">
        <v>19</v>
      </c>
      <c r="E1344" s="598" t="s">
        <v>25</v>
      </c>
      <c r="F1344" s="598" t="s">
        <v>307</v>
      </c>
      <c r="G1344" s="605">
        <v>7062</v>
      </c>
      <c r="H1344" s="606" t="s">
        <v>4924</v>
      </c>
      <c r="I1344" s="607" t="s">
        <v>4926</v>
      </c>
      <c r="J1344" s="598" t="s">
        <v>4928</v>
      </c>
      <c r="K1344" s="598" t="s">
        <v>4929</v>
      </c>
      <c r="L1344" s="598"/>
      <c r="M1344" s="599">
        <v>250000</v>
      </c>
      <c r="N1344" s="26"/>
    </row>
    <row r="1345" spans="1:14" x14ac:dyDescent="0.3">
      <c r="A1345" s="527">
        <v>12</v>
      </c>
      <c r="B1345" s="649"/>
      <c r="C1345" s="588">
        <v>46104</v>
      </c>
      <c r="D1345" s="589" t="s">
        <v>19</v>
      </c>
      <c r="E1345" s="589" t="s">
        <v>25</v>
      </c>
      <c r="F1345" s="589" t="s">
        <v>307</v>
      </c>
      <c r="G1345" s="590" t="s">
        <v>4935</v>
      </c>
      <c r="H1345" s="591" t="s">
        <v>4936</v>
      </c>
      <c r="I1345" s="592" t="s">
        <v>5362</v>
      </c>
      <c r="J1345" s="589" t="s">
        <v>4928</v>
      </c>
      <c r="K1345" s="589" t="s">
        <v>4947</v>
      </c>
      <c r="L1345" s="589"/>
      <c r="M1345" s="593">
        <f>250000*2</f>
        <v>500000</v>
      </c>
      <c r="N1345" s="26"/>
    </row>
    <row r="1346" spans="1:14" x14ac:dyDescent="0.3">
      <c r="A1346" s="527">
        <v>12</v>
      </c>
      <c r="B1346" s="649"/>
      <c r="C1346" s="588" t="s">
        <v>4932</v>
      </c>
      <c r="D1346" s="589" t="s">
        <v>19</v>
      </c>
      <c r="E1346" s="589" t="s">
        <v>25</v>
      </c>
      <c r="F1346" s="589" t="s">
        <v>307</v>
      </c>
      <c r="G1346" s="590" t="s">
        <v>4930</v>
      </c>
      <c r="H1346" s="591" t="s">
        <v>4931</v>
      </c>
      <c r="I1346" s="592" t="s">
        <v>4926</v>
      </c>
      <c r="J1346" s="589" t="s">
        <v>4928</v>
      </c>
      <c r="K1346" s="589" t="s">
        <v>4933</v>
      </c>
      <c r="L1346" s="589"/>
      <c r="M1346" s="593">
        <f>250000*4</f>
        <v>1000000</v>
      </c>
      <c r="N1346" s="26"/>
    </row>
    <row r="1347" spans="1:14" x14ac:dyDescent="0.3">
      <c r="A1347" s="527">
        <v>12</v>
      </c>
      <c r="B1347" s="649"/>
      <c r="C1347" s="604" t="s">
        <v>4923</v>
      </c>
      <c r="D1347" s="598" t="s">
        <v>19</v>
      </c>
      <c r="E1347" s="598" t="s">
        <v>25</v>
      </c>
      <c r="F1347" s="598" t="s">
        <v>307</v>
      </c>
      <c r="G1347" s="605" t="s">
        <v>4949</v>
      </c>
      <c r="H1347" s="606" t="s">
        <v>4950</v>
      </c>
      <c r="I1347" s="607" t="s">
        <v>4951</v>
      </c>
      <c r="J1347" s="598" t="s">
        <v>4927</v>
      </c>
      <c r="K1347" s="570" t="s">
        <v>5345</v>
      </c>
      <c r="L1347" s="521"/>
      <c r="M1347" s="576">
        <f>250000*10</f>
        <v>2500000</v>
      </c>
      <c r="N1347" s="26"/>
    </row>
    <row r="1348" spans="1:14" x14ac:dyDescent="0.3">
      <c r="A1348" s="527">
        <v>12</v>
      </c>
      <c r="B1348" s="649"/>
      <c r="C1348" s="510" t="s">
        <v>4955</v>
      </c>
      <c r="D1348" s="521" t="s">
        <v>19</v>
      </c>
      <c r="E1348" s="521" t="s">
        <v>25</v>
      </c>
      <c r="F1348" s="521" t="s">
        <v>307</v>
      </c>
      <c r="G1348" s="504" t="s">
        <v>4949</v>
      </c>
      <c r="H1348" s="505" t="s">
        <v>4960</v>
      </c>
      <c r="I1348" s="257" t="s">
        <v>4959</v>
      </c>
      <c r="J1348" s="521" t="s">
        <v>4952</v>
      </c>
      <c r="K1348" s="600" t="s">
        <v>4956</v>
      </c>
      <c r="L1348" s="600"/>
      <c r="M1348" s="601">
        <f>250000*2</f>
        <v>500000</v>
      </c>
      <c r="N1348" s="26"/>
    </row>
    <row r="1349" spans="1:14" x14ac:dyDescent="0.3">
      <c r="A1349" s="527">
        <v>12</v>
      </c>
      <c r="B1349" s="649"/>
      <c r="C1349" s="510" t="s">
        <v>4923</v>
      </c>
      <c r="D1349" s="521" t="s">
        <v>19</v>
      </c>
      <c r="E1349" s="521" t="s">
        <v>25</v>
      </c>
      <c r="F1349" s="521" t="s">
        <v>307</v>
      </c>
      <c r="G1349" s="504" t="s">
        <v>4957</v>
      </c>
      <c r="H1349" s="505" t="s">
        <v>4958</v>
      </c>
      <c r="I1349" s="257" t="s">
        <v>4959</v>
      </c>
      <c r="J1349" s="521" t="s">
        <v>4952</v>
      </c>
      <c r="K1349" s="600" t="s">
        <v>4954</v>
      </c>
      <c r="L1349" s="600"/>
      <c r="M1349" s="601">
        <f>250000*3</f>
        <v>750000</v>
      </c>
      <c r="N1349" s="26"/>
    </row>
    <row r="1350" spans="1:14" x14ac:dyDescent="0.3">
      <c r="A1350" s="527">
        <v>12</v>
      </c>
      <c r="B1350" s="649" t="s">
        <v>5206</v>
      </c>
      <c r="C1350" s="127">
        <v>46104</v>
      </c>
      <c r="D1350" s="3" t="s">
        <v>21</v>
      </c>
      <c r="E1350" s="3" t="s">
        <v>14</v>
      </c>
      <c r="F1350" s="480" t="s">
        <v>1791</v>
      </c>
      <c r="G1350" s="480" t="s">
        <v>2821</v>
      </c>
      <c r="H1350" s="485" t="s">
        <v>23</v>
      </c>
      <c r="I1350" s="479" t="s">
        <v>4943</v>
      </c>
      <c r="J1350" s="480"/>
      <c r="K1350" s="479" t="s">
        <v>4944</v>
      </c>
      <c r="L1350" s="136" t="s">
        <v>4945</v>
      </c>
      <c r="M1350" s="507">
        <v>500000</v>
      </c>
      <c r="N1350" s="508" t="s">
        <v>4962</v>
      </c>
    </row>
    <row r="1351" spans="1:14" x14ac:dyDescent="0.3">
      <c r="A1351" s="527">
        <v>12</v>
      </c>
      <c r="B1351" s="649"/>
      <c r="C1351" s="127">
        <v>46105</v>
      </c>
      <c r="D1351" s="3" t="s">
        <v>21</v>
      </c>
      <c r="E1351" s="3" t="s">
        <v>14</v>
      </c>
      <c r="F1351" s="480" t="s">
        <v>107</v>
      </c>
      <c r="G1351" s="480" t="s">
        <v>2963</v>
      </c>
      <c r="H1351" s="485" t="s">
        <v>376</v>
      </c>
      <c r="I1351" s="479" t="s">
        <v>4941</v>
      </c>
      <c r="J1351" s="480" t="s">
        <v>4940</v>
      </c>
      <c r="K1351" s="480" t="s">
        <v>487</v>
      </c>
      <c r="L1351" s="136" t="s">
        <v>15</v>
      </c>
      <c r="M1351" s="509">
        <v>500000</v>
      </c>
      <c r="N1351" s="508" t="s">
        <v>4963</v>
      </c>
    </row>
    <row r="1352" spans="1:14" ht="27" x14ac:dyDescent="0.3">
      <c r="A1352" s="527">
        <v>12</v>
      </c>
      <c r="B1352" s="649"/>
      <c r="C1352" s="127">
        <v>46105</v>
      </c>
      <c r="D1352" s="3" t="s">
        <v>21</v>
      </c>
      <c r="E1352" s="3" t="s">
        <v>14</v>
      </c>
      <c r="F1352" s="524" t="s">
        <v>107</v>
      </c>
      <c r="G1352" s="480" t="s">
        <v>3390</v>
      </c>
      <c r="H1352" s="485" t="s">
        <v>23</v>
      </c>
      <c r="I1352" s="479" t="s">
        <v>4942</v>
      </c>
      <c r="J1352" s="480" t="s">
        <v>90</v>
      </c>
      <c r="K1352" s="480" t="s">
        <v>3978</v>
      </c>
      <c r="L1352" s="136" t="s">
        <v>15</v>
      </c>
      <c r="M1352" s="509">
        <v>600000</v>
      </c>
      <c r="N1352" s="508" t="s">
        <v>4964</v>
      </c>
    </row>
    <row r="1353" spans="1:14" x14ac:dyDescent="0.3">
      <c r="A1353" s="527">
        <v>12</v>
      </c>
      <c r="B1353" s="649"/>
      <c r="C1353" s="127">
        <v>46106</v>
      </c>
      <c r="D1353" s="3" t="s">
        <v>21</v>
      </c>
      <c r="E1353" s="3" t="s">
        <v>14</v>
      </c>
      <c r="F1353" s="480" t="s">
        <v>1791</v>
      </c>
      <c r="G1353" s="480" t="s">
        <v>2821</v>
      </c>
      <c r="H1353" s="485" t="s">
        <v>23</v>
      </c>
      <c r="I1353" s="479" t="s">
        <v>4961</v>
      </c>
      <c r="J1353" s="480"/>
      <c r="K1353" s="479" t="s">
        <v>487</v>
      </c>
      <c r="L1353" s="136" t="s">
        <v>15</v>
      </c>
      <c r="M1353" s="507">
        <v>500000</v>
      </c>
      <c r="N1353" s="508" t="s">
        <v>4965</v>
      </c>
    </row>
    <row r="1354" spans="1:14" x14ac:dyDescent="0.3">
      <c r="A1354" s="527">
        <v>13</v>
      </c>
      <c r="B1354" s="649" t="s">
        <v>5344</v>
      </c>
      <c r="C1354" s="412">
        <v>46106</v>
      </c>
      <c r="D1354" s="558" t="s">
        <v>124</v>
      </c>
      <c r="E1354" s="558" t="s">
        <v>151</v>
      </c>
      <c r="F1354" s="558" t="s">
        <v>5265</v>
      </c>
      <c r="G1354" s="504">
        <v>594</v>
      </c>
      <c r="H1354" s="505" t="s">
        <v>264</v>
      </c>
      <c r="I1354" s="257" t="s">
        <v>5266</v>
      </c>
      <c r="J1354" s="558" t="s">
        <v>168</v>
      </c>
      <c r="K1354" s="558" t="s">
        <v>686</v>
      </c>
      <c r="L1354" s="558"/>
      <c r="M1354" s="506">
        <v>250000</v>
      </c>
    </row>
    <row r="1355" spans="1:14" x14ac:dyDescent="0.3">
      <c r="A1355" s="527">
        <v>13</v>
      </c>
      <c r="B1355" s="649"/>
      <c r="C1355" s="412">
        <v>46107</v>
      </c>
      <c r="D1355" s="558" t="s">
        <v>124</v>
      </c>
      <c r="E1355" s="558" t="s">
        <v>151</v>
      </c>
      <c r="F1355" s="558" t="s">
        <v>5265</v>
      </c>
      <c r="G1355" s="504" t="s">
        <v>3593</v>
      </c>
      <c r="H1355" s="505" t="s">
        <v>34</v>
      </c>
      <c r="I1355" s="257" t="s">
        <v>5301</v>
      </c>
      <c r="J1355" s="558"/>
      <c r="K1355" s="558" t="s">
        <v>999</v>
      </c>
      <c r="L1355" s="558"/>
      <c r="M1355" s="506">
        <v>300000</v>
      </c>
      <c r="N1355" s="26"/>
    </row>
    <row r="1356" spans="1:14" x14ac:dyDescent="0.3">
      <c r="A1356" s="527">
        <v>13</v>
      </c>
      <c r="B1356" s="649"/>
      <c r="C1356" s="412">
        <v>46107</v>
      </c>
      <c r="D1356" s="558" t="s">
        <v>49</v>
      </c>
      <c r="E1356" s="558" t="s">
        <v>151</v>
      </c>
      <c r="F1356" s="558" t="s">
        <v>5265</v>
      </c>
      <c r="G1356" s="504" t="s">
        <v>5302</v>
      </c>
      <c r="H1356" s="505" t="s">
        <v>102</v>
      </c>
      <c r="I1356" s="257" t="s">
        <v>4276</v>
      </c>
      <c r="J1356" s="558"/>
      <c r="K1356" s="558" t="s">
        <v>3079</v>
      </c>
      <c r="L1356" s="558"/>
      <c r="M1356" s="506">
        <v>300000</v>
      </c>
    </row>
    <row r="1357" spans="1:14" x14ac:dyDescent="0.3">
      <c r="A1357" s="527">
        <v>13</v>
      </c>
      <c r="B1357" s="649"/>
      <c r="C1357" s="412">
        <v>46108</v>
      </c>
      <c r="D1357" s="558" t="s">
        <v>49</v>
      </c>
      <c r="E1357" s="558" t="s">
        <v>151</v>
      </c>
      <c r="F1357" s="558" t="s">
        <v>5265</v>
      </c>
      <c r="G1357" s="504" t="s">
        <v>3593</v>
      </c>
      <c r="H1357" s="505" t="s">
        <v>34</v>
      </c>
      <c r="I1357" s="257" t="s">
        <v>5301</v>
      </c>
      <c r="J1357" s="558"/>
      <c r="K1357" s="558" t="s">
        <v>999</v>
      </c>
      <c r="L1357" s="558"/>
      <c r="M1357" s="506">
        <v>300000</v>
      </c>
      <c r="N1357" s="26"/>
    </row>
    <row r="1358" spans="1:14" ht="27" x14ac:dyDescent="0.3">
      <c r="A1358" s="527">
        <v>13</v>
      </c>
      <c r="B1358" s="649"/>
      <c r="C1358" s="574" t="s">
        <v>5325</v>
      </c>
      <c r="D1358" s="570" t="s">
        <v>49</v>
      </c>
      <c r="E1358" s="570" t="s">
        <v>151</v>
      </c>
      <c r="F1358" s="570" t="s">
        <v>5265</v>
      </c>
      <c r="G1358" s="571" t="s">
        <v>4949</v>
      </c>
      <c r="H1358" s="572" t="s">
        <v>482</v>
      </c>
      <c r="I1358" s="573" t="s">
        <v>5326</v>
      </c>
      <c r="J1358" s="570" t="s">
        <v>126</v>
      </c>
      <c r="K1358" s="570" t="s">
        <v>5346</v>
      </c>
      <c r="L1358" s="558"/>
      <c r="M1358" s="576">
        <f>250000*7</f>
        <v>1750000</v>
      </c>
      <c r="N1358" s="26"/>
    </row>
    <row r="1359" spans="1:14" ht="27" x14ac:dyDescent="0.3">
      <c r="A1359" s="527">
        <v>13</v>
      </c>
      <c r="B1359" s="649"/>
      <c r="C1359" s="412" t="s">
        <v>5327</v>
      </c>
      <c r="D1359" s="558" t="s">
        <v>49</v>
      </c>
      <c r="E1359" s="558" t="s">
        <v>151</v>
      </c>
      <c r="F1359" s="558" t="s">
        <v>5265</v>
      </c>
      <c r="G1359" s="504" t="s">
        <v>4949</v>
      </c>
      <c r="H1359" s="505" t="s">
        <v>482</v>
      </c>
      <c r="I1359" s="257" t="s">
        <v>5328</v>
      </c>
      <c r="J1359" s="558" t="s">
        <v>1952</v>
      </c>
      <c r="K1359" s="558" t="s">
        <v>3255</v>
      </c>
      <c r="L1359" s="558"/>
      <c r="M1359" s="506">
        <f>250000*5</f>
        <v>1250000</v>
      </c>
    </row>
    <row r="1360" spans="1:14" ht="27" x14ac:dyDescent="0.3">
      <c r="A1360" s="527">
        <v>13</v>
      </c>
      <c r="B1360" s="649"/>
      <c r="C1360" s="412" t="s">
        <v>5329</v>
      </c>
      <c r="D1360" s="558" t="s">
        <v>49</v>
      </c>
      <c r="E1360" s="558" t="s">
        <v>151</v>
      </c>
      <c r="F1360" s="558" t="s">
        <v>5265</v>
      </c>
      <c r="G1360" s="504" t="s">
        <v>3390</v>
      </c>
      <c r="H1360" s="505" t="s">
        <v>143</v>
      </c>
      <c r="I1360" s="257" t="s">
        <v>1105</v>
      </c>
      <c r="J1360" s="558" t="s">
        <v>1259</v>
      </c>
      <c r="K1360" s="558" t="s">
        <v>641</v>
      </c>
      <c r="L1360" s="558"/>
      <c r="M1360" s="506">
        <f>250000*2</f>
        <v>500000</v>
      </c>
    </row>
    <row r="1361" spans="1:14" ht="27" x14ac:dyDescent="0.3">
      <c r="A1361" s="527">
        <v>13</v>
      </c>
      <c r="B1361" s="649"/>
      <c r="C1361" s="412" t="s">
        <v>5330</v>
      </c>
      <c r="D1361" s="558" t="s">
        <v>49</v>
      </c>
      <c r="E1361" s="558" t="s">
        <v>151</v>
      </c>
      <c r="F1361" s="558" t="s">
        <v>5265</v>
      </c>
      <c r="G1361" s="504" t="s">
        <v>4957</v>
      </c>
      <c r="H1361" s="505" t="s">
        <v>102</v>
      </c>
      <c r="I1361" s="257" t="s">
        <v>2501</v>
      </c>
      <c r="J1361" s="558" t="s">
        <v>1259</v>
      </c>
      <c r="K1361" s="558" t="s">
        <v>5338</v>
      </c>
      <c r="L1361" s="558"/>
      <c r="M1361" s="506">
        <f>250000*4</f>
        <v>1000000</v>
      </c>
    </row>
    <row r="1362" spans="1:14" ht="27" x14ac:dyDescent="0.3">
      <c r="A1362" s="527">
        <v>13</v>
      </c>
      <c r="B1362" s="649"/>
      <c r="C1362" s="575" t="s">
        <v>5331</v>
      </c>
      <c r="D1362" s="570" t="s">
        <v>49</v>
      </c>
      <c r="E1362" s="570" t="s">
        <v>151</v>
      </c>
      <c r="F1362" s="570" t="s">
        <v>5265</v>
      </c>
      <c r="G1362" s="571">
        <v>1614</v>
      </c>
      <c r="H1362" s="572" t="s">
        <v>482</v>
      </c>
      <c r="I1362" s="573" t="s">
        <v>378</v>
      </c>
      <c r="J1362" s="570" t="s">
        <v>126</v>
      </c>
      <c r="K1362" s="570" t="s">
        <v>5347</v>
      </c>
      <c r="L1362" s="558"/>
      <c r="M1362" s="576">
        <f>250000*3</f>
        <v>750000</v>
      </c>
      <c r="N1362" s="26"/>
    </row>
    <row r="1363" spans="1:14" x14ac:dyDescent="0.3">
      <c r="A1363" s="527">
        <v>13</v>
      </c>
      <c r="B1363" s="649" t="s">
        <v>5343</v>
      </c>
      <c r="C1363" s="377">
        <v>46107</v>
      </c>
      <c r="D1363" s="3" t="s">
        <v>21</v>
      </c>
      <c r="E1363" s="3" t="s">
        <v>14</v>
      </c>
      <c r="F1363" s="480" t="s">
        <v>107</v>
      </c>
      <c r="G1363" s="480" t="s">
        <v>1972</v>
      </c>
      <c r="H1363" s="485" t="s">
        <v>376</v>
      </c>
      <c r="I1363" s="479" t="s">
        <v>303</v>
      </c>
      <c r="J1363" s="480" t="s">
        <v>90</v>
      </c>
      <c r="K1363" s="479" t="s">
        <v>686</v>
      </c>
      <c r="L1363" s="136" t="s">
        <v>66</v>
      </c>
      <c r="M1363" s="507">
        <v>250000</v>
      </c>
    </row>
    <row r="1364" spans="1:14" ht="27" x14ac:dyDescent="0.3">
      <c r="A1364" s="527">
        <v>13</v>
      </c>
      <c r="B1364" s="649"/>
      <c r="C1364" s="412">
        <v>46111</v>
      </c>
      <c r="D1364" s="4" t="s">
        <v>21</v>
      </c>
      <c r="E1364" s="4" t="s">
        <v>14</v>
      </c>
      <c r="F1364" s="557" t="s">
        <v>1791</v>
      </c>
      <c r="G1364" s="557" t="s">
        <v>2821</v>
      </c>
      <c r="H1364" s="16" t="s">
        <v>23</v>
      </c>
      <c r="I1364" s="559" t="s">
        <v>5316</v>
      </c>
      <c r="J1364" s="479" t="s">
        <v>90</v>
      </c>
      <c r="K1364" s="479" t="s">
        <v>41</v>
      </c>
      <c r="L1364" s="125" t="s">
        <v>15</v>
      </c>
      <c r="M1364" s="509">
        <v>250000</v>
      </c>
    </row>
    <row r="1365" spans="1:14" ht="27" x14ac:dyDescent="0.3">
      <c r="A1365" s="527">
        <v>13</v>
      </c>
      <c r="B1365" s="649"/>
      <c r="C1365" s="412">
        <v>46113</v>
      </c>
      <c r="D1365" s="3" t="s">
        <v>21</v>
      </c>
      <c r="E1365" s="3" t="s">
        <v>14</v>
      </c>
      <c r="F1365" s="480" t="s">
        <v>1792</v>
      </c>
      <c r="G1365" s="524" t="s">
        <v>3336</v>
      </c>
      <c r="H1365" s="485" t="s">
        <v>23</v>
      </c>
      <c r="I1365" s="479" t="s">
        <v>5244</v>
      </c>
      <c r="J1365" s="480"/>
      <c r="K1365" s="479" t="s">
        <v>487</v>
      </c>
      <c r="L1365" s="136" t="s">
        <v>15</v>
      </c>
      <c r="M1365" s="509">
        <v>500000</v>
      </c>
    </row>
    <row r="1366" spans="1:14" ht="27" x14ac:dyDescent="0.3">
      <c r="A1366" s="527">
        <v>13</v>
      </c>
      <c r="B1366" s="649"/>
      <c r="C1366" s="412">
        <v>46114</v>
      </c>
      <c r="D1366" s="550" t="s">
        <v>21</v>
      </c>
      <c r="E1366" s="550" t="s">
        <v>14</v>
      </c>
      <c r="F1366" s="551" t="s">
        <v>1792</v>
      </c>
      <c r="G1366" s="552" t="s">
        <v>3336</v>
      </c>
      <c r="H1366" s="553" t="s">
        <v>23</v>
      </c>
      <c r="I1366" s="554" t="s">
        <v>5244</v>
      </c>
      <c r="J1366" s="551"/>
      <c r="K1366" s="554" t="s">
        <v>487</v>
      </c>
      <c r="L1366" s="555" t="s">
        <v>15</v>
      </c>
      <c r="M1366" s="509">
        <v>500000</v>
      </c>
    </row>
    <row r="1367" spans="1:14" x14ac:dyDescent="0.3">
      <c r="A1367" s="527">
        <v>13</v>
      </c>
      <c r="B1367" s="649"/>
      <c r="C1367" s="412">
        <v>46114</v>
      </c>
      <c r="D1367" s="4" t="s">
        <v>21</v>
      </c>
      <c r="E1367" s="4" t="s">
        <v>14</v>
      </c>
      <c r="F1367" s="557" t="s">
        <v>1791</v>
      </c>
      <c r="G1367" s="559" t="s">
        <v>2821</v>
      </c>
      <c r="H1367" s="16" t="s">
        <v>205</v>
      </c>
      <c r="I1367" s="479" t="s">
        <v>5314</v>
      </c>
      <c r="J1367" s="480" t="s">
        <v>90</v>
      </c>
      <c r="K1367" s="480" t="s">
        <v>5300</v>
      </c>
      <c r="L1367" s="136" t="s">
        <v>15</v>
      </c>
      <c r="M1367" s="509">
        <f>450000+250000</f>
        <v>700000</v>
      </c>
    </row>
    <row r="1368" spans="1:14" x14ac:dyDescent="0.3">
      <c r="A1368" s="527">
        <v>13</v>
      </c>
      <c r="B1368" s="649"/>
      <c r="C1368" s="377">
        <v>46115</v>
      </c>
      <c r="D1368" s="3" t="s">
        <v>21</v>
      </c>
      <c r="E1368" s="3" t="s">
        <v>14</v>
      </c>
      <c r="F1368" s="480" t="s">
        <v>1897</v>
      </c>
      <c r="G1368" s="480" t="s">
        <v>4949</v>
      </c>
      <c r="H1368" s="485" t="s">
        <v>34</v>
      </c>
      <c r="I1368" s="479" t="s">
        <v>5324</v>
      </c>
      <c r="J1368" s="479" t="s">
        <v>202</v>
      </c>
      <c r="K1368" s="479" t="s">
        <v>487</v>
      </c>
      <c r="L1368" s="555" t="s">
        <v>15</v>
      </c>
      <c r="M1368" s="509">
        <f>250000*2</f>
        <v>500000</v>
      </c>
    </row>
  </sheetData>
  <autoFilter ref="A1:N1368"/>
  <mergeCells count="1008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 x14ac:dyDescent="0.3"/>
  <cols>
    <col min="1" max="1" width="12" style="492" customWidth="1"/>
    <col min="2" max="2" width="14.375" style="492" customWidth="1"/>
    <col min="3" max="3" width="12.5" style="492" customWidth="1"/>
    <col min="4" max="4" width="13.125" style="492" customWidth="1"/>
    <col min="5" max="7" width="9" style="492"/>
    <col min="8" max="8" width="39.875" style="492" customWidth="1"/>
    <col min="9" max="9" width="14.125" style="492" customWidth="1"/>
    <col min="10" max="10" width="13.5" style="492" customWidth="1"/>
    <col min="11" max="11" width="9" style="492"/>
    <col min="12" max="12" width="10.5" style="492" bestFit="1" customWidth="1"/>
    <col min="13" max="13" width="20.375" style="492" customWidth="1"/>
    <col min="14" max="16384" width="9" style="492"/>
  </cols>
  <sheetData>
    <row r="3" spans="1:4" ht="18.75" x14ac:dyDescent="0.3">
      <c r="A3" s="491" t="s">
        <v>4873</v>
      </c>
    </row>
    <row r="4" spans="1:4" x14ac:dyDescent="0.3">
      <c r="A4" s="492" t="s">
        <v>4887</v>
      </c>
    </row>
    <row r="7" spans="1:4" ht="18.75" x14ac:dyDescent="0.3">
      <c r="A7" s="491" t="s">
        <v>4874</v>
      </c>
    </row>
    <row r="8" spans="1:4" x14ac:dyDescent="0.3">
      <c r="A8" s="492" t="s">
        <v>4875</v>
      </c>
      <c r="B8" s="561">
        <v>8500000</v>
      </c>
    </row>
    <row r="10" spans="1:4" x14ac:dyDescent="0.3">
      <c r="A10" s="495" t="s">
        <v>4864</v>
      </c>
      <c r="B10" s="495" t="s">
        <v>4865</v>
      </c>
      <c r="C10" s="811" t="s">
        <v>4866</v>
      </c>
      <c r="D10" s="811"/>
    </row>
    <row r="11" spans="1:4" x14ac:dyDescent="0.3">
      <c r="A11" s="495" t="s">
        <v>4867</v>
      </c>
      <c r="B11" s="495">
        <v>8</v>
      </c>
      <c r="C11" s="812">
        <f>'사전품의양식 (12)'!L12</f>
        <v>6000000</v>
      </c>
      <c r="D11" s="812"/>
    </row>
    <row r="12" spans="1:4" x14ac:dyDescent="0.3">
      <c r="A12" s="495" t="s">
        <v>4868</v>
      </c>
      <c r="B12" s="495">
        <v>4</v>
      </c>
      <c r="C12" s="812">
        <f>'사전품의양식 (12)'!L19</f>
        <v>2500000</v>
      </c>
      <c r="D12" s="812"/>
    </row>
    <row r="13" spans="1:4" x14ac:dyDescent="0.3">
      <c r="A13" s="500" t="s">
        <v>53</v>
      </c>
      <c r="B13" s="500">
        <f>SUM(B11:B12)</f>
        <v>12</v>
      </c>
      <c r="C13" s="813">
        <f>SUM(C11:C12)</f>
        <v>8500000</v>
      </c>
      <c r="D13" s="813"/>
    </row>
    <row r="14" spans="1:4" x14ac:dyDescent="0.3">
      <c r="A14" s="493"/>
      <c r="B14" s="493"/>
      <c r="C14" s="493"/>
    </row>
    <row r="15" spans="1:4" x14ac:dyDescent="0.3">
      <c r="A15" s="494" t="s">
        <v>4869</v>
      </c>
      <c r="B15" s="493"/>
      <c r="C15" s="493"/>
    </row>
    <row r="16" spans="1:4" x14ac:dyDescent="0.3">
      <c r="A16" s="496" t="s">
        <v>4889</v>
      </c>
      <c r="B16" s="495" t="s">
        <v>4871</v>
      </c>
      <c r="C16" s="495" t="s">
        <v>4872</v>
      </c>
      <c r="D16" s="496" t="s">
        <v>53</v>
      </c>
    </row>
    <row r="17" spans="1:5" x14ac:dyDescent="0.3">
      <c r="A17" s="496" t="s">
        <v>5511</v>
      </c>
      <c r="B17" s="497">
        <v>500000</v>
      </c>
      <c r="C17" s="497">
        <f>'사전품의양식 (12)'!L13</f>
        <v>250000</v>
      </c>
      <c r="D17" s="499">
        <f>SUM(B17:C17)</f>
        <v>750000</v>
      </c>
    </row>
    <row r="18" spans="1:5" x14ac:dyDescent="0.3">
      <c r="A18" s="496" t="s">
        <v>4500</v>
      </c>
      <c r="B18" s="497">
        <f>C11-B17</f>
        <v>5500000</v>
      </c>
      <c r="C18" s="497">
        <f>C12-C17</f>
        <v>2250000</v>
      </c>
      <c r="D18" s="497">
        <f>SUM(B18:C18)</f>
        <v>7750000</v>
      </c>
    </row>
    <row r="19" spans="1:5" x14ac:dyDescent="0.3">
      <c r="A19" s="500" t="s">
        <v>4870</v>
      </c>
      <c r="B19" s="547">
        <f t="shared" ref="B19:C19" si="0">SUM(B17:B18)</f>
        <v>6000000</v>
      </c>
      <c r="C19" s="547">
        <f t="shared" si="0"/>
        <v>2500000</v>
      </c>
      <c r="D19" s="547">
        <f>SUM(D17:D18)</f>
        <v>8500000</v>
      </c>
    </row>
    <row r="20" spans="1:5" x14ac:dyDescent="0.3">
      <c r="A20" s="494"/>
    </row>
    <row r="21" spans="1:5" x14ac:dyDescent="0.3">
      <c r="A21" s="494"/>
    </row>
    <row r="22" spans="1:5" ht="18.75" x14ac:dyDescent="0.3">
      <c r="A22" s="491" t="s">
        <v>4880</v>
      </c>
    </row>
    <row r="24" spans="1:5" x14ac:dyDescent="0.3">
      <c r="A24" s="546" t="s">
        <v>4864</v>
      </c>
      <c r="B24" s="546" t="s">
        <v>4878</v>
      </c>
      <c r="C24" s="811" t="s">
        <v>4881</v>
      </c>
      <c r="D24" s="811"/>
      <c r="E24" s="811"/>
    </row>
    <row r="25" spans="1:5" x14ac:dyDescent="0.3">
      <c r="A25" s="546" t="s">
        <v>4882</v>
      </c>
      <c r="B25" s="546" t="s">
        <v>4883</v>
      </c>
      <c r="C25" s="810" t="s">
        <v>4884</v>
      </c>
      <c r="D25" s="811"/>
      <c r="E25" s="811"/>
    </row>
    <row r="26" spans="1:5" x14ac:dyDescent="0.3">
      <c r="A26" s="546" t="s">
        <v>5332</v>
      </c>
      <c r="B26" s="546" t="s">
        <v>5335</v>
      </c>
      <c r="C26" s="810" t="s">
        <v>5336</v>
      </c>
      <c r="D26" s="811"/>
      <c r="E26" s="811"/>
    </row>
    <row r="27" spans="1:5" x14ac:dyDescent="0.3">
      <c r="A27" s="546" t="s">
        <v>5333</v>
      </c>
      <c r="B27" s="546" t="s">
        <v>5334</v>
      </c>
      <c r="C27" s="810" t="s">
        <v>5336</v>
      </c>
      <c r="D27" s="811"/>
      <c r="E27" s="811"/>
    </row>
    <row r="29" spans="1:5" ht="18.75" x14ac:dyDescent="0.3">
      <c r="A29" s="491" t="s">
        <v>4876</v>
      </c>
    </row>
    <row r="31" spans="1:5" x14ac:dyDescent="0.3">
      <c r="A31" s="492" t="s">
        <v>4885</v>
      </c>
    </row>
    <row r="33" spans="1:1" x14ac:dyDescent="0.3">
      <c r="A33" s="492" t="s">
        <v>4886</v>
      </c>
    </row>
    <row r="35" spans="1:1" x14ac:dyDescent="0.3">
      <c r="A35" s="492" t="s">
        <v>4879</v>
      </c>
    </row>
    <row r="39" spans="1:1" ht="18.75" x14ac:dyDescent="0.3">
      <c r="A39" s="491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7"/>
  <sheetViews>
    <sheetView topLeftCell="A11" zoomScale="85" zoomScaleNormal="85" zoomScaleSheetLayoutView="55" workbookViewId="0">
      <selection activeCell="H32" sqref="H32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x14ac:dyDescent="0.3">
      <c r="A2" s="822" t="s">
        <v>5462</v>
      </c>
      <c r="B2" s="822" t="s">
        <v>1</v>
      </c>
      <c r="C2" s="822" t="s">
        <v>2</v>
      </c>
      <c r="D2" s="822" t="s">
        <v>3</v>
      </c>
      <c r="E2" s="502" t="s">
        <v>2627</v>
      </c>
      <c r="F2" s="822" t="s">
        <v>5</v>
      </c>
      <c r="G2" s="822" t="s">
        <v>6</v>
      </c>
      <c r="H2" s="822" t="s">
        <v>2628</v>
      </c>
      <c r="I2" s="822" t="s">
        <v>55</v>
      </c>
      <c r="J2" s="822" t="s">
        <v>9</v>
      </c>
      <c r="K2" s="823" t="s">
        <v>56</v>
      </c>
      <c r="L2" s="822" t="s">
        <v>57</v>
      </c>
      <c r="M2" s="822" t="s">
        <v>58</v>
      </c>
    </row>
    <row r="3" spans="1:13" x14ac:dyDescent="0.3">
      <c r="A3" s="822"/>
      <c r="B3" s="822"/>
      <c r="C3" s="822"/>
      <c r="D3" s="822"/>
      <c r="E3" s="503" t="s">
        <v>1728</v>
      </c>
      <c r="F3" s="822"/>
      <c r="G3" s="822"/>
      <c r="H3" s="822"/>
      <c r="I3" s="822"/>
      <c r="J3" s="822"/>
      <c r="K3" s="823"/>
      <c r="L3" s="822"/>
      <c r="M3" s="822"/>
    </row>
    <row r="4" spans="1:13" s="498" customFormat="1" x14ac:dyDescent="0.3">
      <c r="A4" s="819" t="s">
        <v>20</v>
      </c>
      <c r="B4" s="412">
        <v>46116</v>
      </c>
      <c r="C4" s="4" t="s">
        <v>306</v>
      </c>
      <c r="D4" s="4" t="s">
        <v>322</v>
      </c>
      <c r="E4" s="630" t="s">
        <v>5467</v>
      </c>
      <c r="F4" s="632" t="s">
        <v>4948</v>
      </c>
      <c r="G4" s="16" t="s">
        <v>1915</v>
      </c>
      <c r="H4" s="479" t="s">
        <v>5468</v>
      </c>
      <c r="I4" s="549" t="s">
        <v>1111</v>
      </c>
      <c r="J4" s="549" t="s">
        <v>5469</v>
      </c>
      <c r="K4" s="549"/>
      <c r="L4" s="506">
        <v>250000</v>
      </c>
      <c r="M4" s="824" t="s">
        <v>5466</v>
      </c>
    </row>
    <row r="5" spans="1:13" ht="16.5" customHeight="1" x14ac:dyDescent="0.3">
      <c r="A5" s="820"/>
      <c r="B5" s="412">
        <v>46116</v>
      </c>
      <c r="C5" s="4" t="s">
        <v>306</v>
      </c>
      <c r="D5" s="4" t="s">
        <v>322</v>
      </c>
      <c r="E5" s="630" t="s">
        <v>5467</v>
      </c>
      <c r="F5" s="504" t="s">
        <v>5470</v>
      </c>
      <c r="G5" s="505" t="s">
        <v>5471</v>
      </c>
      <c r="H5" s="257" t="s">
        <v>5472</v>
      </c>
      <c r="I5" s="549" t="s">
        <v>5473</v>
      </c>
      <c r="J5" s="549" t="s">
        <v>5474</v>
      </c>
      <c r="K5" s="549"/>
      <c r="L5" s="506">
        <v>250000</v>
      </c>
      <c r="M5" s="825"/>
    </row>
    <row r="6" spans="1:13" x14ac:dyDescent="0.3">
      <c r="A6" s="820"/>
      <c r="B6" s="377" t="s">
        <v>5498</v>
      </c>
      <c r="C6" s="4" t="s">
        <v>306</v>
      </c>
      <c r="D6" s="4" t="s">
        <v>322</v>
      </c>
      <c r="E6" s="630" t="s">
        <v>5467</v>
      </c>
      <c r="F6" s="504" t="s">
        <v>4949</v>
      </c>
      <c r="G6" s="505" t="s">
        <v>482</v>
      </c>
      <c r="H6" s="257" t="s">
        <v>5484</v>
      </c>
      <c r="I6" s="549" t="s">
        <v>5485</v>
      </c>
      <c r="J6" s="549" t="s">
        <v>5486</v>
      </c>
      <c r="K6" s="549"/>
      <c r="L6" s="506">
        <f>250000*10</f>
        <v>2500000</v>
      </c>
      <c r="M6" s="640"/>
    </row>
    <row r="7" spans="1:13" x14ac:dyDescent="0.3">
      <c r="A7" s="820"/>
      <c r="B7" s="377" t="s">
        <v>5499</v>
      </c>
      <c r="C7" s="631" t="s">
        <v>49</v>
      </c>
      <c r="D7" s="631" t="s">
        <v>151</v>
      </c>
      <c r="E7" s="631" t="s">
        <v>5265</v>
      </c>
      <c r="F7" s="504" t="s">
        <v>4949</v>
      </c>
      <c r="G7" s="505" t="s">
        <v>482</v>
      </c>
      <c r="H7" s="257" t="s">
        <v>5510</v>
      </c>
      <c r="I7" s="631" t="s">
        <v>1952</v>
      </c>
      <c r="J7" s="631" t="s">
        <v>5496</v>
      </c>
      <c r="K7" s="549"/>
      <c r="L7" s="506">
        <f>250000*3</f>
        <v>750000</v>
      </c>
      <c r="M7" s="640"/>
    </row>
    <row r="8" spans="1:13" x14ac:dyDescent="0.3">
      <c r="A8" s="820"/>
      <c r="B8" s="377">
        <v>46118</v>
      </c>
      <c r="C8" s="4" t="s">
        <v>306</v>
      </c>
      <c r="D8" s="4" t="s">
        <v>322</v>
      </c>
      <c r="E8" s="630" t="s">
        <v>5467</v>
      </c>
      <c r="F8" s="504" t="s">
        <v>5487</v>
      </c>
      <c r="G8" s="505" t="s">
        <v>5488</v>
      </c>
      <c r="H8" s="257" t="s">
        <v>5493</v>
      </c>
      <c r="I8" s="631" t="s">
        <v>5492</v>
      </c>
      <c r="J8" s="631" t="s">
        <v>5494</v>
      </c>
      <c r="K8" s="549"/>
      <c r="L8" s="506">
        <v>250000</v>
      </c>
      <c r="M8" s="640"/>
    </row>
    <row r="9" spans="1:13" x14ac:dyDescent="0.3">
      <c r="A9" s="820"/>
      <c r="B9" s="377" t="s">
        <v>5497</v>
      </c>
      <c r="C9" s="4" t="s">
        <v>306</v>
      </c>
      <c r="D9" s="4" t="s">
        <v>322</v>
      </c>
      <c r="E9" s="630" t="s">
        <v>5467</v>
      </c>
      <c r="F9" s="504" t="s">
        <v>5489</v>
      </c>
      <c r="G9" s="505" t="s">
        <v>5490</v>
      </c>
      <c r="H9" s="257" t="s">
        <v>5491</v>
      </c>
      <c r="I9" s="549" t="s">
        <v>5492</v>
      </c>
      <c r="J9" s="549" t="s">
        <v>5495</v>
      </c>
      <c r="K9" s="549"/>
      <c r="L9" s="506">
        <f>250000*4</f>
        <v>1000000</v>
      </c>
      <c r="M9" s="640"/>
    </row>
    <row r="10" spans="1:13" x14ac:dyDescent="0.3">
      <c r="A10" s="820"/>
      <c r="B10" s="377" t="s">
        <v>5504</v>
      </c>
      <c r="C10" s="631" t="s">
        <v>49</v>
      </c>
      <c r="D10" s="631" t="s">
        <v>151</v>
      </c>
      <c r="E10" s="631" t="s">
        <v>5265</v>
      </c>
      <c r="F10" s="504" t="s">
        <v>5500</v>
      </c>
      <c r="G10" s="505" t="s">
        <v>5501</v>
      </c>
      <c r="H10" s="257" t="s">
        <v>5502</v>
      </c>
      <c r="I10" s="631" t="s">
        <v>1952</v>
      </c>
      <c r="J10" s="631" t="s">
        <v>5503</v>
      </c>
      <c r="K10" s="549"/>
      <c r="L10" s="506">
        <f>250000*2</f>
        <v>500000</v>
      </c>
      <c r="M10" s="560"/>
    </row>
    <row r="11" spans="1:13" x14ac:dyDescent="0.3">
      <c r="A11" s="820"/>
      <c r="B11" s="412">
        <v>46123</v>
      </c>
      <c r="C11" s="4" t="s">
        <v>5507</v>
      </c>
      <c r="D11" s="4" t="s">
        <v>322</v>
      </c>
      <c r="E11" s="630" t="s">
        <v>5467</v>
      </c>
      <c r="F11" s="504" t="s">
        <v>4949</v>
      </c>
      <c r="G11" s="505" t="s">
        <v>5505</v>
      </c>
      <c r="H11" s="257" t="s">
        <v>5506</v>
      </c>
      <c r="I11" s="549" t="s">
        <v>5508</v>
      </c>
      <c r="J11" s="549" t="s">
        <v>5509</v>
      </c>
      <c r="K11" s="549"/>
      <c r="L11" s="506">
        <f>250000*2</f>
        <v>500000</v>
      </c>
      <c r="M11" s="560"/>
    </row>
    <row r="12" spans="1:13" x14ac:dyDescent="0.3">
      <c r="A12" s="821"/>
      <c r="B12" s="817" t="s">
        <v>1136</v>
      </c>
      <c r="C12" s="817"/>
      <c r="D12" s="817"/>
      <c r="E12" s="817"/>
      <c r="F12" s="817"/>
      <c r="G12" s="817"/>
      <c r="H12" s="817"/>
      <c r="I12" s="817"/>
      <c r="J12" s="817"/>
      <c r="K12" s="817"/>
      <c r="L12" s="506">
        <f>SUM(L4:L11)</f>
        <v>6000000</v>
      </c>
      <c r="M12" s="549"/>
    </row>
    <row r="13" spans="1:13" x14ac:dyDescent="0.3">
      <c r="A13" s="819" t="s">
        <v>21</v>
      </c>
      <c r="B13" s="412">
        <v>46115</v>
      </c>
      <c r="C13" s="4" t="s">
        <v>96</v>
      </c>
      <c r="D13" s="4" t="s">
        <v>139</v>
      </c>
      <c r="E13" s="630" t="s">
        <v>1791</v>
      </c>
      <c r="F13" s="632" t="s">
        <v>2821</v>
      </c>
      <c r="G13" s="16" t="s">
        <v>843</v>
      </c>
      <c r="H13" s="479" t="s">
        <v>5314</v>
      </c>
      <c r="I13" s="631" t="s">
        <v>5463</v>
      </c>
      <c r="J13" s="631" t="s">
        <v>5464</v>
      </c>
      <c r="K13" s="631" t="s">
        <v>5465</v>
      </c>
      <c r="L13" s="506">
        <v>250000</v>
      </c>
      <c r="M13" s="508" t="s">
        <v>5477</v>
      </c>
    </row>
    <row r="14" spans="1:13" ht="36" x14ac:dyDescent="0.3">
      <c r="A14" s="820"/>
      <c r="B14" s="377">
        <v>46119</v>
      </c>
      <c r="C14" s="550" t="s">
        <v>96</v>
      </c>
      <c r="D14" s="550" t="s">
        <v>99</v>
      </c>
      <c r="E14" s="554" t="s">
        <v>100</v>
      </c>
      <c r="F14" s="551">
        <v>7060</v>
      </c>
      <c r="G14" s="553" t="s">
        <v>171</v>
      </c>
      <c r="H14" s="633" t="s">
        <v>5417</v>
      </c>
      <c r="I14" s="551" t="s">
        <v>90</v>
      </c>
      <c r="J14" s="551" t="s">
        <v>5453</v>
      </c>
      <c r="K14" s="555" t="s">
        <v>105</v>
      </c>
      <c r="L14" s="509">
        <v>250000</v>
      </c>
      <c r="M14" s="508" t="s">
        <v>5478</v>
      </c>
    </row>
    <row r="15" spans="1:13" x14ac:dyDescent="0.3">
      <c r="A15" s="820"/>
      <c r="B15" s="377">
        <v>46119</v>
      </c>
      <c r="C15" s="550" t="s">
        <v>21</v>
      </c>
      <c r="D15" s="550" t="s">
        <v>14</v>
      </c>
      <c r="E15" s="551" t="s">
        <v>107</v>
      </c>
      <c r="F15" s="551" t="s">
        <v>2963</v>
      </c>
      <c r="G15" s="553" t="s">
        <v>143</v>
      </c>
      <c r="H15" s="554" t="s">
        <v>271</v>
      </c>
      <c r="I15" s="551" t="s">
        <v>2704</v>
      </c>
      <c r="J15" s="551" t="s">
        <v>641</v>
      </c>
      <c r="K15" s="555" t="s">
        <v>15</v>
      </c>
      <c r="L15" s="509">
        <v>500000</v>
      </c>
      <c r="M15" s="508" t="s">
        <v>5479</v>
      </c>
    </row>
    <row r="16" spans="1:13" x14ac:dyDescent="0.3">
      <c r="A16" s="820"/>
      <c r="B16" s="377">
        <v>46120</v>
      </c>
      <c r="C16" s="550" t="s">
        <v>21</v>
      </c>
      <c r="D16" s="550" t="s">
        <v>14</v>
      </c>
      <c r="E16" s="551" t="s">
        <v>107</v>
      </c>
      <c r="F16" s="551" t="s">
        <v>2963</v>
      </c>
      <c r="G16" s="553" t="s">
        <v>143</v>
      </c>
      <c r="H16" s="554" t="s">
        <v>271</v>
      </c>
      <c r="I16" s="551" t="s">
        <v>2704</v>
      </c>
      <c r="J16" s="551" t="s">
        <v>641</v>
      </c>
      <c r="K16" s="555" t="s">
        <v>15</v>
      </c>
      <c r="L16" s="509">
        <v>500000</v>
      </c>
      <c r="M16" s="508" t="s">
        <v>5479</v>
      </c>
    </row>
    <row r="17" spans="1:19" x14ac:dyDescent="0.3">
      <c r="A17" s="820"/>
      <c r="B17" s="377">
        <v>46121</v>
      </c>
      <c r="C17" s="4" t="s">
        <v>96</v>
      </c>
      <c r="D17" s="4" t="s">
        <v>139</v>
      </c>
      <c r="E17" s="298" t="s">
        <v>2150</v>
      </c>
      <c r="F17" s="630" t="s">
        <v>2982</v>
      </c>
      <c r="G17" s="16" t="s">
        <v>143</v>
      </c>
      <c r="H17" s="632" t="s">
        <v>271</v>
      </c>
      <c r="I17" s="630" t="s">
        <v>5476</v>
      </c>
      <c r="J17" s="630" t="s">
        <v>641</v>
      </c>
      <c r="K17" s="125" t="s">
        <v>105</v>
      </c>
      <c r="L17" s="509">
        <v>500000</v>
      </c>
      <c r="M17" s="508" t="s">
        <v>5479</v>
      </c>
    </row>
    <row r="18" spans="1:19" x14ac:dyDescent="0.3">
      <c r="A18" s="820"/>
      <c r="B18" s="377">
        <v>46122</v>
      </c>
      <c r="C18" s="4" t="s">
        <v>96</v>
      </c>
      <c r="D18" s="4" t="s">
        <v>139</v>
      </c>
      <c r="E18" s="298" t="s">
        <v>2150</v>
      </c>
      <c r="F18" s="630" t="s">
        <v>2982</v>
      </c>
      <c r="G18" s="16" t="s">
        <v>143</v>
      </c>
      <c r="H18" s="632" t="s">
        <v>271</v>
      </c>
      <c r="I18" s="630" t="s">
        <v>2704</v>
      </c>
      <c r="J18" s="630" t="s">
        <v>641</v>
      </c>
      <c r="K18" s="125" t="s">
        <v>105</v>
      </c>
      <c r="L18" s="509">
        <v>500000</v>
      </c>
      <c r="M18" s="508" t="s">
        <v>5479</v>
      </c>
    </row>
    <row r="19" spans="1:19" x14ac:dyDescent="0.3">
      <c r="A19" s="821"/>
      <c r="B19" s="817" t="s">
        <v>4888</v>
      </c>
      <c r="C19" s="817"/>
      <c r="D19" s="817"/>
      <c r="E19" s="817"/>
      <c r="F19" s="817"/>
      <c r="G19" s="817"/>
      <c r="H19" s="817"/>
      <c r="I19" s="817"/>
      <c r="J19" s="817"/>
      <c r="K19" s="817"/>
      <c r="L19" s="506">
        <f>SUM(L13:L18)</f>
        <v>2500000</v>
      </c>
      <c r="M19" s="549"/>
    </row>
    <row r="20" spans="1:19" s="501" customFormat="1" ht="25.5" customHeight="1" x14ac:dyDescent="0.3">
      <c r="A20" s="818" t="s">
        <v>62</v>
      </c>
      <c r="B20" s="818"/>
      <c r="C20" s="818"/>
      <c r="D20" s="818"/>
      <c r="E20" s="818"/>
      <c r="F20" s="818"/>
      <c r="G20" s="818"/>
      <c r="H20" s="818"/>
      <c r="I20" s="818"/>
      <c r="J20" s="818"/>
      <c r="K20" s="818"/>
      <c r="L20" s="384">
        <f>L12+L19</f>
        <v>8500000</v>
      </c>
      <c r="M20" s="38"/>
    </row>
    <row r="21" spans="1:19" ht="26.25" customHeight="1" x14ac:dyDescent="0.3"/>
    <row r="22" spans="1:19" ht="26.25" customHeight="1" x14ac:dyDescent="0.3"/>
    <row r="23" spans="1:19" ht="26.25" customHeight="1" x14ac:dyDescent="0.3">
      <c r="A23" s="415"/>
      <c r="B23" s="415"/>
      <c r="C23" s="415"/>
      <c r="D23" s="415"/>
      <c r="E23" s="415"/>
      <c r="F23" s="415"/>
      <c r="G23" s="415"/>
      <c r="H23" s="415"/>
      <c r="I23" s="415"/>
      <c r="J23" s="415"/>
      <c r="K23" s="415"/>
      <c r="L23" s="395"/>
      <c r="M23" s="396"/>
    </row>
    <row r="24" spans="1:19" ht="26.25" hidden="1" customHeight="1" x14ac:dyDescent="0.3">
      <c r="N24" s="17"/>
      <c r="O24" s="17"/>
      <c r="P24" s="17"/>
      <c r="Q24" s="17"/>
      <c r="R24" s="17"/>
    </row>
    <row r="25" spans="1:19" ht="25.5" hidden="1" customHeight="1" x14ac:dyDescent="0.3">
      <c r="B25" s="150" t="s">
        <v>1144</v>
      </c>
      <c r="C25" s="151"/>
      <c r="D25" s="151"/>
      <c r="E25" s="151"/>
      <c r="F25" s="151"/>
      <c r="G25" s="151"/>
      <c r="H25" s="151"/>
      <c r="I25" s="151"/>
      <c r="N25" s="17"/>
      <c r="O25" s="17"/>
      <c r="P25" s="17"/>
      <c r="Q25" s="17"/>
      <c r="R25" s="17"/>
    </row>
    <row r="26" spans="1:19" ht="25.5" hidden="1" customHeight="1" x14ac:dyDescent="0.3">
      <c r="B26" s="152" t="s">
        <v>1140</v>
      </c>
      <c r="C26" s="153">
        <v>45282</v>
      </c>
      <c r="D26" s="151" t="s">
        <v>1151</v>
      </c>
      <c r="E26" s="151"/>
      <c r="F26" s="151"/>
      <c r="G26" s="151"/>
      <c r="I26" s="151"/>
      <c r="N26" s="17"/>
      <c r="O26" s="17"/>
      <c r="P26" s="17"/>
      <c r="Q26" s="17"/>
      <c r="R26" s="17"/>
      <c r="S26" s="17"/>
    </row>
    <row r="27" spans="1:19" ht="25.5" hidden="1" customHeight="1" x14ac:dyDescent="0.3">
      <c r="B27" s="152" t="s">
        <v>1141</v>
      </c>
      <c r="C27" s="153">
        <v>45282</v>
      </c>
      <c r="D27" s="151" t="s">
        <v>1143</v>
      </c>
      <c r="E27" s="151"/>
      <c r="F27" s="151"/>
      <c r="G27" s="151"/>
      <c r="H27" s="151"/>
      <c r="I27" s="151"/>
      <c r="N27" s="17"/>
      <c r="O27" s="17"/>
      <c r="P27" s="17"/>
      <c r="Q27" s="17"/>
      <c r="R27" s="17"/>
      <c r="S27" s="17"/>
    </row>
    <row r="28" spans="1:19" ht="25.5" hidden="1" customHeight="1" x14ac:dyDescent="0.3">
      <c r="B28" s="152" t="s">
        <v>1145</v>
      </c>
      <c r="C28" s="154" t="s">
        <v>1142</v>
      </c>
      <c r="D28" s="151" t="s">
        <v>1152</v>
      </c>
      <c r="E28" s="151"/>
      <c r="F28" s="151"/>
      <c r="G28" s="151"/>
      <c r="H28" s="151"/>
      <c r="I28" s="151"/>
      <c r="N28" s="17"/>
      <c r="O28" s="17"/>
      <c r="P28" s="17"/>
      <c r="Q28" s="17"/>
      <c r="R28" s="17"/>
      <c r="S28" s="17"/>
    </row>
    <row r="29" spans="1:19" ht="20.100000000000001" hidden="1" customHeight="1" x14ac:dyDescent="0.3">
      <c r="B29" s="151"/>
      <c r="C29" s="151" t="s">
        <v>1146</v>
      </c>
      <c r="D29" s="151"/>
      <c r="E29" s="151"/>
      <c r="F29" s="151"/>
      <c r="G29" s="151"/>
      <c r="H29" s="151"/>
      <c r="I29" s="151"/>
      <c r="N29" s="17"/>
      <c r="O29" s="17"/>
      <c r="P29" s="17"/>
      <c r="Q29" s="17"/>
      <c r="R29" s="17"/>
      <c r="S29" s="17"/>
    </row>
    <row r="30" spans="1:19" ht="16.5" hidden="1" customHeight="1" x14ac:dyDescent="0.3">
      <c r="N30" s="17"/>
      <c r="O30" s="17"/>
      <c r="P30" s="17"/>
      <c r="Q30" s="17"/>
      <c r="R30" s="17"/>
      <c r="S30" s="17"/>
    </row>
    <row r="31" spans="1:19" ht="20.100000000000001" hidden="1" customHeight="1" x14ac:dyDescent="0.3">
      <c r="J31" s="151"/>
      <c r="N31" s="17"/>
      <c r="O31" s="17"/>
      <c r="P31" s="17"/>
      <c r="Q31" s="17"/>
      <c r="R31" s="17"/>
      <c r="S31" s="17"/>
    </row>
    <row r="32" spans="1:19" x14ac:dyDescent="0.3">
      <c r="N32" s="17"/>
      <c r="O32" s="17"/>
      <c r="P32" s="17"/>
      <c r="Q32" s="17"/>
      <c r="R32" s="17"/>
      <c r="S32" s="17"/>
    </row>
    <row r="34" spans="1:13" ht="28.5" customHeight="1" x14ac:dyDescent="0.3">
      <c r="A34" s="330" t="s">
        <v>0</v>
      </c>
      <c r="B34" s="331" t="s">
        <v>1</v>
      </c>
      <c r="C34" s="330" t="s">
        <v>2</v>
      </c>
      <c r="D34" s="330" t="s">
        <v>3</v>
      </c>
      <c r="E34" s="330" t="s">
        <v>4</v>
      </c>
      <c r="F34" s="330" t="s">
        <v>5</v>
      </c>
      <c r="G34" s="330" t="s">
        <v>6</v>
      </c>
      <c r="H34" s="332" t="s">
        <v>7</v>
      </c>
      <c r="I34" s="330" t="s">
        <v>8</v>
      </c>
      <c r="J34" s="330" t="s">
        <v>9</v>
      </c>
      <c r="K34" s="333" t="s">
        <v>10</v>
      </c>
      <c r="L34" s="330" t="s">
        <v>12</v>
      </c>
      <c r="M34" s="330" t="s">
        <v>63</v>
      </c>
    </row>
    <row r="35" spans="1:13" s="17" customFormat="1" ht="33" customHeight="1" x14ac:dyDescent="0.3">
      <c r="A35" s="814" t="s">
        <v>5475</v>
      </c>
      <c r="B35" s="377">
        <v>46118</v>
      </c>
      <c r="C35" s="3" t="s">
        <v>21</v>
      </c>
      <c r="D35" s="3" t="s">
        <v>30</v>
      </c>
      <c r="E35" s="480" t="s">
        <v>107</v>
      </c>
      <c r="F35" s="480" t="s">
        <v>1972</v>
      </c>
      <c r="G35" s="485" t="s">
        <v>553</v>
      </c>
      <c r="H35" s="479" t="s">
        <v>216</v>
      </c>
      <c r="I35" s="630" t="s">
        <v>202</v>
      </c>
      <c r="J35" s="630" t="s">
        <v>3078</v>
      </c>
      <c r="K35" s="125" t="s">
        <v>15</v>
      </c>
      <c r="L35" s="8">
        <v>2</v>
      </c>
      <c r="M35" s="8"/>
    </row>
    <row r="36" spans="1:13" s="17" customFormat="1" ht="33" customHeight="1" x14ac:dyDescent="0.3">
      <c r="A36" s="814"/>
      <c r="B36" s="377">
        <v>46119</v>
      </c>
      <c r="C36" s="550" t="s">
        <v>96</v>
      </c>
      <c r="D36" s="550" t="s">
        <v>99</v>
      </c>
      <c r="E36" s="554" t="s">
        <v>100</v>
      </c>
      <c r="F36" s="551">
        <v>7060</v>
      </c>
      <c r="G36" s="553" t="s">
        <v>171</v>
      </c>
      <c r="H36" s="633" t="s">
        <v>5417</v>
      </c>
      <c r="I36" s="551" t="s">
        <v>90</v>
      </c>
      <c r="J36" s="551" t="s">
        <v>5453</v>
      </c>
      <c r="K36" s="555" t="s">
        <v>105</v>
      </c>
      <c r="L36" s="556">
        <v>2</v>
      </c>
      <c r="M36" s="556"/>
    </row>
    <row r="37" spans="1:13" s="17" customFormat="1" ht="33" customHeight="1" x14ac:dyDescent="0.3">
      <c r="A37" s="814"/>
      <c r="B37" s="377">
        <v>46119</v>
      </c>
      <c r="C37" s="3" t="s">
        <v>21</v>
      </c>
      <c r="D37" s="3" t="s">
        <v>31</v>
      </c>
      <c r="E37" s="480" t="s">
        <v>5303</v>
      </c>
      <c r="F37" s="480">
        <v>7064</v>
      </c>
      <c r="G37" s="485" t="s">
        <v>83</v>
      </c>
      <c r="H37" s="479" t="s">
        <v>5304</v>
      </c>
      <c r="I37" s="479"/>
      <c r="J37" s="479" t="s">
        <v>487</v>
      </c>
      <c r="K37" s="136" t="s">
        <v>15</v>
      </c>
      <c r="L37" s="481">
        <v>2</v>
      </c>
      <c r="M37" s="481"/>
    </row>
    <row r="38" spans="1:13" s="17" customFormat="1" ht="33" customHeight="1" x14ac:dyDescent="0.3">
      <c r="A38" s="814"/>
      <c r="B38" s="377">
        <v>46119</v>
      </c>
      <c r="C38" s="550" t="s">
        <v>21</v>
      </c>
      <c r="D38" s="550" t="s">
        <v>14</v>
      </c>
      <c r="E38" s="551" t="s">
        <v>107</v>
      </c>
      <c r="F38" s="551" t="s">
        <v>2963</v>
      </c>
      <c r="G38" s="553" t="s">
        <v>143</v>
      </c>
      <c r="H38" s="554" t="s">
        <v>271</v>
      </c>
      <c r="I38" s="551" t="s">
        <v>2704</v>
      </c>
      <c r="J38" s="551" t="s">
        <v>641</v>
      </c>
      <c r="K38" s="555" t="s">
        <v>15</v>
      </c>
      <c r="L38" s="8">
        <v>3</v>
      </c>
      <c r="M38" s="8"/>
    </row>
    <row r="39" spans="1:13" s="17" customFormat="1" ht="33" customHeight="1" x14ac:dyDescent="0.3">
      <c r="A39" s="814"/>
      <c r="B39" s="377">
        <v>46120</v>
      </c>
      <c r="C39" s="550" t="s">
        <v>21</v>
      </c>
      <c r="D39" s="550" t="s">
        <v>31</v>
      </c>
      <c r="E39" s="551" t="s">
        <v>5303</v>
      </c>
      <c r="F39" s="551">
        <v>7064</v>
      </c>
      <c r="G39" s="553" t="s">
        <v>83</v>
      </c>
      <c r="H39" s="554" t="s">
        <v>5304</v>
      </c>
      <c r="I39" s="554"/>
      <c r="J39" s="554" t="s">
        <v>5452</v>
      </c>
      <c r="K39" s="555" t="s">
        <v>15</v>
      </c>
      <c r="L39" s="481">
        <v>2</v>
      </c>
      <c r="M39" s="481"/>
    </row>
    <row r="40" spans="1:13" s="17" customFormat="1" ht="33" customHeight="1" x14ac:dyDescent="0.3">
      <c r="A40" s="814"/>
      <c r="B40" s="377">
        <v>46120</v>
      </c>
      <c r="C40" s="550" t="s">
        <v>21</v>
      </c>
      <c r="D40" s="550" t="s">
        <v>14</v>
      </c>
      <c r="E40" s="551" t="s">
        <v>107</v>
      </c>
      <c r="F40" s="551" t="s">
        <v>2963</v>
      </c>
      <c r="G40" s="553" t="s">
        <v>143</v>
      </c>
      <c r="H40" s="554" t="s">
        <v>271</v>
      </c>
      <c r="I40" s="551" t="s">
        <v>2704</v>
      </c>
      <c r="J40" s="551" t="s">
        <v>641</v>
      </c>
      <c r="K40" s="555" t="s">
        <v>15</v>
      </c>
      <c r="L40" s="8">
        <v>3</v>
      </c>
      <c r="M40" s="8"/>
    </row>
    <row r="41" spans="1:13" s="17" customFormat="1" ht="33" customHeight="1" x14ac:dyDescent="0.3">
      <c r="A41" s="814"/>
      <c r="B41" s="377">
        <v>46121</v>
      </c>
      <c r="C41" s="3" t="s">
        <v>21</v>
      </c>
      <c r="D41" s="3" t="s">
        <v>17</v>
      </c>
      <c r="E41" s="484" t="s">
        <v>5340</v>
      </c>
      <c r="F41" s="484" t="s">
        <v>4519</v>
      </c>
      <c r="G41" s="485" t="s">
        <v>35</v>
      </c>
      <c r="H41" s="479" t="s">
        <v>5341</v>
      </c>
      <c r="I41" s="479" t="s">
        <v>5339</v>
      </c>
      <c r="J41" s="479"/>
      <c r="K41" s="136" t="s">
        <v>15</v>
      </c>
      <c r="L41" s="8">
        <v>2</v>
      </c>
      <c r="M41" s="8"/>
    </row>
    <row r="42" spans="1:13" s="17" customFormat="1" ht="33" customHeight="1" x14ac:dyDescent="0.3">
      <c r="A42" s="814"/>
      <c r="B42" s="377">
        <v>46121</v>
      </c>
      <c r="C42" s="4" t="s">
        <v>96</v>
      </c>
      <c r="D42" s="4" t="s">
        <v>139</v>
      </c>
      <c r="E42" s="298" t="s">
        <v>2150</v>
      </c>
      <c r="F42" s="630" t="s">
        <v>2982</v>
      </c>
      <c r="G42" s="16" t="s">
        <v>143</v>
      </c>
      <c r="H42" s="632" t="s">
        <v>271</v>
      </c>
      <c r="I42" s="630" t="s">
        <v>5476</v>
      </c>
      <c r="J42" s="630" t="s">
        <v>641</v>
      </c>
      <c r="K42" s="125" t="s">
        <v>105</v>
      </c>
      <c r="L42" s="8">
        <v>3</v>
      </c>
      <c r="M42" s="8"/>
    </row>
    <row r="43" spans="1:13" s="17" customFormat="1" ht="33" customHeight="1" x14ac:dyDescent="0.3">
      <c r="A43" s="814"/>
      <c r="B43" s="377">
        <v>46121</v>
      </c>
      <c r="C43" s="4" t="s">
        <v>96</v>
      </c>
      <c r="D43" s="4" t="s">
        <v>139</v>
      </c>
      <c r="E43" s="298" t="s">
        <v>2150</v>
      </c>
      <c r="F43" s="630" t="s">
        <v>2982</v>
      </c>
      <c r="G43" s="16" t="s">
        <v>106</v>
      </c>
      <c r="H43" s="632" t="s">
        <v>5480</v>
      </c>
      <c r="I43" s="630" t="s">
        <v>5481</v>
      </c>
      <c r="J43" s="630" t="s">
        <v>5482</v>
      </c>
      <c r="K43" s="125" t="s">
        <v>5483</v>
      </c>
      <c r="L43" s="8">
        <v>2</v>
      </c>
      <c r="M43" s="8"/>
    </row>
    <row r="44" spans="1:13" ht="27" x14ac:dyDescent="0.3">
      <c r="A44" s="814"/>
      <c r="B44" s="377">
        <v>46121</v>
      </c>
      <c r="C44" s="3" t="s">
        <v>21</v>
      </c>
      <c r="D44" s="3" t="s">
        <v>31</v>
      </c>
      <c r="E44" s="480" t="s">
        <v>5303</v>
      </c>
      <c r="F44" s="480">
        <v>7064</v>
      </c>
      <c r="G44" s="485" t="s">
        <v>83</v>
      </c>
      <c r="H44" s="479" t="s">
        <v>5304</v>
      </c>
      <c r="I44" s="479"/>
      <c r="J44" s="479" t="s">
        <v>4842</v>
      </c>
      <c r="K44" s="136" t="s">
        <v>15</v>
      </c>
      <c r="L44" s="481">
        <v>3</v>
      </c>
      <c r="M44" s="481"/>
    </row>
    <row r="45" spans="1:13" ht="27" x14ac:dyDescent="0.3">
      <c r="A45" s="814"/>
      <c r="B45" s="377">
        <v>46122</v>
      </c>
      <c r="C45" s="3" t="s">
        <v>21</v>
      </c>
      <c r="D45" s="3" t="s">
        <v>31</v>
      </c>
      <c r="E45" s="480" t="s">
        <v>5303</v>
      </c>
      <c r="F45" s="480">
        <v>7064</v>
      </c>
      <c r="G45" s="485" t="s">
        <v>83</v>
      </c>
      <c r="H45" s="479" t="s">
        <v>5304</v>
      </c>
      <c r="I45" s="479"/>
      <c r="J45" s="479" t="s">
        <v>487</v>
      </c>
      <c r="K45" s="136" t="s">
        <v>15</v>
      </c>
      <c r="L45" s="481">
        <v>2</v>
      </c>
      <c r="M45" s="481"/>
    </row>
    <row r="46" spans="1:13" x14ac:dyDescent="0.3">
      <c r="A46" s="814"/>
      <c r="B46" s="377">
        <v>46122</v>
      </c>
      <c r="C46" s="4" t="s">
        <v>96</v>
      </c>
      <c r="D46" s="4" t="s">
        <v>139</v>
      </c>
      <c r="E46" s="298" t="s">
        <v>2150</v>
      </c>
      <c r="F46" s="630" t="s">
        <v>2982</v>
      </c>
      <c r="G46" s="16" t="s">
        <v>143</v>
      </c>
      <c r="H46" s="632" t="s">
        <v>271</v>
      </c>
      <c r="I46" s="815" t="s">
        <v>2704</v>
      </c>
      <c r="J46" s="815" t="s">
        <v>641</v>
      </c>
      <c r="K46" s="125" t="s">
        <v>105</v>
      </c>
      <c r="L46" s="816">
        <v>3</v>
      </c>
      <c r="M46" s="681"/>
    </row>
    <row r="47" spans="1:13" ht="27" x14ac:dyDescent="0.3">
      <c r="A47" s="814"/>
      <c r="B47" s="377">
        <v>46122</v>
      </c>
      <c r="C47" s="3" t="s">
        <v>21</v>
      </c>
      <c r="D47" s="3" t="s">
        <v>30</v>
      </c>
      <c r="E47" s="480" t="s">
        <v>1791</v>
      </c>
      <c r="F47" s="479" t="s">
        <v>5293</v>
      </c>
      <c r="G47" s="485" t="s">
        <v>143</v>
      </c>
      <c r="H47" s="479" t="s">
        <v>5460</v>
      </c>
      <c r="I47" s="815"/>
      <c r="J47" s="815"/>
      <c r="K47" s="136" t="s">
        <v>15</v>
      </c>
      <c r="L47" s="816"/>
      <c r="M47" s="682"/>
    </row>
  </sheetData>
  <mergeCells count="23">
    <mergeCell ref="M4:M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2:K12"/>
    <mergeCell ref="A20:K20"/>
    <mergeCell ref="B19:K19"/>
    <mergeCell ref="A4:A12"/>
    <mergeCell ref="A13:A19"/>
    <mergeCell ref="A35:A47"/>
    <mergeCell ref="I46:I47"/>
    <mergeCell ref="J46:J47"/>
    <mergeCell ref="L46:L47"/>
    <mergeCell ref="M46:M4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3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9" bestFit="1" customWidth="1"/>
    <col min="14" max="14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83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83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83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83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83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83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83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83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83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83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83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83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83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83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83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83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649" t="s">
        <v>53</v>
      </c>
      <c r="B21" s="649"/>
      <c r="C21" s="649"/>
      <c r="D21" s="649"/>
      <c r="E21" s="649"/>
      <c r="F21" s="649"/>
      <c r="G21" s="649"/>
      <c r="H21" s="649"/>
      <c r="I21" s="64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839" t="s">
        <v>53</v>
      </c>
      <c r="B26" s="840"/>
      <c r="C26" s="840"/>
      <c r="D26" s="840"/>
      <c r="E26" s="840"/>
      <c r="F26" s="840"/>
      <c r="G26" s="840"/>
      <c r="H26" s="840"/>
      <c r="I26" s="841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83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83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83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83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83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839" t="s">
        <v>53</v>
      </c>
      <c r="B35" s="840"/>
      <c r="C35" s="840"/>
      <c r="D35" s="840"/>
      <c r="E35" s="840"/>
      <c r="F35" s="840"/>
      <c r="G35" s="840"/>
      <c r="H35" s="840"/>
      <c r="I35" s="841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83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83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83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839" t="s">
        <v>53</v>
      </c>
      <c r="B42" s="840"/>
      <c r="C42" s="840"/>
      <c r="D42" s="840"/>
      <c r="E42" s="840"/>
      <c r="F42" s="840"/>
      <c r="G42" s="840"/>
      <c r="H42" s="840"/>
      <c r="I42" s="841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839" t="s">
        <v>53</v>
      </c>
      <c r="B48" s="840"/>
      <c r="C48" s="840"/>
      <c r="D48" s="840"/>
      <c r="E48" s="840"/>
      <c r="F48" s="840"/>
      <c r="G48" s="840"/>
      <c r="H48" s="840"/>
      <c r="I48" s="841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83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83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839" t="s">
        <v>53</v>
      </c>
      <c r="B54" s="840"/>
      <c r="C54" s="840"/>
      <c r="D54" s="840"/>
      <c r="E54" s="840"/>
      <c r="F54" s="840"/>
      <c r="G54" s="840"/>
      <c r="H54" s="840"/>
      <c r="I54" s="841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83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83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83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837"/>
      <c r="B61" s="87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837"/>
      <c r="B62" s="87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837"/>
      <c r="B63" s="87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839" t="s">
        <v>53</v>
      </c>
      <c r="B64" s="840"/>
      <c r="C64" s="840"/>
      <c r="D64" s="840"/>
      <c r="E64" s="840"/>
      <c r="F64" s="840"/>
      <c r="G64" s="840"/>
      <c r="H64" s="840"/>
      <c r="I64" s="841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86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86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839" t="s">
        <v>53</v>
      </c>
      <c r="B70" s="840"/>
      <c r="C70" s="840"/>
      <c r="D70" s="840"/>
      <c r="E70" s="840"/>
      <c r="F70" s="840"/>
      <c r="G70" s="840"/>
      <c r="H70" s="840"/>
      <c r="I70" s="841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83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83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649" t="s">
        <v>53</v>
      </c>
      <c r="B78" s="649"/>
      <c r="C78" s="649"/>
      <c r="D78" s="649"/>
      <c r="E78" s="649"/>
      <c r="F78" s="649"/>
      <c r="G78" s="649"/>
      <c r="H78" s="649"/>
      <c r="I78" s="64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83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83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83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83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839" t="s">
        <v>53</v>
      </c>
      <c r="B86" s="840"/>
      <c r="C86" s="840"/>
      <c r="D86" s="840"/>
      <c r="E86" s="840"/>
      <c r="F86" s="840"/>
      <c r="G86" s="840"/>
      <c r="H86" s="840"/>
      <c r="I86" s="841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839" t="s">
        <v>53</v>
      </c>
      <c r="B92" s="840"/>
      <c r="C92" s="840"/>
      <c r="D92" s="840"/>
      <c r="E92" s="840"/>
      <c r="F92" s="840"/>
      <c r="G92" s="840"/>
      <c r="H92" s="840"/>
      <c r="I92" s="841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83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83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83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83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839" t="s">
        <v>53</v>
      </c>
      <c r="B101" s="840"/>
      <c r="C101" s="840"/>
      <c r="D101" s="840"/>
      <c r="E101" s="840"/>
      <c r="F101" s="840"/>
      <c r="G101" s="840"/>
      <c r="H101" s="840"/>
      <c r="I101" s="841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83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837"/>
      <c r="B107" s="86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837"/>
      <c r="B108" s="86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83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83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83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649" t="s">
        <v>53</v>
      </c>
      <c r="B112" s="649"/>
      <c r="C112" s="649"/>
      <c r="D112" s="649"/>
      <c r="E112" s="649"/>
      <c r="F112" s="649"/>
      <c r="G112" s="649"/>
      <c r="H112" s="649"/>
      <c r="I112" s="64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663" t="s">
        <v>954</v>
      </c>
      <c r="B119" s="67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664"/>
      <c r="B120" s="67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649" t="s">
        <v>53</v>
      </c>
      <c r="B121" s="649"/>
      <c r="C121" s="649"/>
      <c r="D121" s="649"/>
      <c r="E121" s="649"/>
      <c r="F121" s="649"/>
      <c r="G121" s="649"/>
      <c r="H121" s="649"/>
      <c r="I121" s="64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66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66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66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664"/>
      <c r="B129" s="87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69" t="s">
        <v>90</v>
      </c>
      <c r="J129" s="857">
        <v>2</v>
      </c>
      <c r="K129" s="25" t="s">
        <v>52</v>
      </c>
      <c r="L129" s="25" t="s">
        <v>51</v>
      </c>
    </row>
    <row r="130" spans="1:12" x14ac:dyDescent="0.3">
      <c r="A130" s="664"/>
      <c r="B130" s="87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69"/>
      <c r="J130" s="858"/>
      <c r="K130" s="25" t="s">
        <v>52</v>
      </c>
      <c r="L130" s="25" t="s">
        <v>51</v>
      </c>
    </row>
    <row r="131" spans="1:12" x14ac:dyDescent="0.3">
      <c r="A131" s="66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66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664"/>
      <c r="B133" s="74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685" t="s">
        <v>1277</v>
      </c>
      <c r="J133" s="857">
        <v>1</v>
      </c>
      <c r="K133" s="25" t="s">
        <v>52</v>
      </c>
      <c r="L133" s="25" t="s">
        <v>51</v>
      </c>
    </row>
    <row r="134" spans="1:12" x14ac:dyDescent="0.3">
      <c r="A134" s="664"/>
      <c r="B134" s="74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51"/>
      <c r="J134" s="858"/>
      <c r="K134" s="25" t="s">
        <v>52</v>
      </c>
      <c r="L134" s="25" t="s">
        <v>51</v>
      </c>
    </row>
    <row r="135" spans="1:12" x14ac:dyDescent="0.3">
      <c r="A135" s="66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66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649" t="s">
        <v>53</v>
      </c>
      <c r="B137" s="649"/>
      <c r="C137" s="649"/>
      <c r="D137" s="649"/>
      <c r="E137" s="649"/>
      <c r="F137" s="649"/>
      <c r="G137" s="649"/>
      <c r="H137" s="649"/>
      <c r="I137" s="64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664" t="s">
        <v>1007</v>
      </c>
      <c r="B142" s="74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664"/>
      <c r="B143" s="74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66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649" t="s">
        <v>53</v>
      </c>
      <c r="B145" s="649"/>
      <c r="C145" s="649"/>
      <c r="D145" s="649"/>
      <c r="E145" s="649"/>
      <c r="F145" s="649"/>
      <c r="G145" s="649"/>
      <c r="H145" s="649"/>
      <c r="I145" s="64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87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6">
        <v>4</v>
      </c>
      <c r="K149" s="25" t="s">
        <v>52</v>
      </c>
      <c r="L149" s="25" t="s">
        <v>51</v>
      </c>
    </row>
    <row r="150" spans="1:12" x14ac:dyDescent="0.3">
      <c r="A150" s="874"/>
      <c r="B150" s="67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874"/>
      <c r="B151" s="67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87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87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15" t="s">
        <v>53</v>
      </c>
      <c r="B154" s="815"/>
      <c r="C154" s="815"/>
      <c r="D154" s="815"/>
      <c r="E154" s="815"/>
      <c r="F154" s="815"/>
      <c r="G154" s="815"/>
      <c r="H154" s="815"/>
      <c r="I154" s="81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66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66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66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66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66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649" t="s">
        <v>53</v>
      </c>
      <c r="B163" s="649"/>
      <c r="C163" s="649"/>
      <c r="D163" s="649"/>
      <c r="E163" s="649"/>
      <c r="F163" s="649"/>
      <c r="G163" s="649"/>
      <c r="H163" s="649"/>
      <c r="I163" s="64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60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15" t="s">
        <v>53</v>
      </c>
      <c r="B167" s="815"/>
      <c r="C167" s="815"/>
      <c r="D167" s="815"/>
      <c r="E167" s="815"/>
      <c r="F167" s="815"/>
      <c r="G167" s="815"/>
      <c r="H167" s="815"/>
      <c r="I167" s="81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66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66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66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66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66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66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66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66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66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66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649" t="s">
        <v>53</v>
      </c>
      <c r="B183" s="649"/>
      <c r="C183" s="649"/>
      <c r="D183" s="649"/>
      <c r="E183" s="649"/>
      <c r="F183" s="649"/>
      <c r="G183" s="649"/>
      <c r="H183" s="649"/>
      <c r="I183" s="64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698" t="s">
        <v>1061</v>
      </c>
      <c r="B189" s="67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699"/>
      <c r="B190" s="67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699"/>
      <c r="B191" s="67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699"/>
      <c r="B192" s="67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649" t="s">
        <v>53</v>
      </c>
      <c r="B193" s="649"/>
      <c r="C193" s="649"/>
      <c r="D193" s="649"/>
      <c r="E193" s="649"/>
      <c r="F193" s="649"/>
      <c r="G193" s="649"/>
      <c r="H193" s="649"/>
      <c r="I193" s="64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87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87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87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87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15" t="s">
        <v>53</v>
      </c>
      <c r="B203" s="815"/>
      <c r="C203" s="815"/>
      <c r="D203" s="815"/>
      <c r="E203" s="815"/>
      <c r="F203" s="815"/>
      <c r="G203" s="815"/>
      <c r="H203" s="815"/>
      <c r="I203" s="81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1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1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1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1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1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1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7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1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15" t="s">
        <v>53</v>
      </c>
      <c r="B214" s="815"/>
      <c r="C214" s="815"/>
      <c r="D214" s="815"/>
      <c r="E214" s="815"/>
      <c r="F214" s="815"/>
      <c r="G214" s="815"/>
      <c r="H214" s="815"/>
      <c r="I214" s="81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15" t="s">
        <v>1440</v>
      </c>
      <c r="B220" s="193">
        <v>45344</v>
      </c>
      <c r="C220" s="188" t="s">
        <v>75</v>
      </c>
      <c r="D220" s="188" t="s">
        <v>70</v>
      </c>
      <c r="E220" s="188" t="s">
        <v>1441</v>
      </c>
      <c r="F220" s="188" t="s">
        <v>108</v>
      </c>
      <c r="G220" s="188" t="s">
        <v>143</v>
      </c>
      <c r="H220" s="194" t="s">
        <v>1442</v>
      </c>
      <c r="I220" s="195" t="s">
        <v>120</v>
      </c>
      <c r="J220" s="188">
        <v>1</v>
      </c>
      <c r="K220" s="196" t="s">
        <v>52</v>
      </c>
      <c r="L220" s="44" t="s">
        <v>1443</v>
      </c>
    </row>
    <row r="221" spans="1:12" x14ac:dyDescent="0.3">
      <c r="A221" s="81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1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1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1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1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15" t="s">
        <v>1458</v>
      </c>
      <c r="B226" s="815"/>
      <c r="C226" s="815"/>
      <c r="D226" s="815"/>
      <c r="E226" s="815"/>
      <c r="F226" s="815"/>
      <c r="G226" s="815"/>
      <c r="H226" s="815"/>
      <c r="I226" s="81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1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1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1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1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 x14ac:dyDescent="0.3">
      <c r="A233" s="81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1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1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15" t="s">
        <v>1499</v>
      </c>
      <c r="B236" s="815"/>
      <c r="C236" s="815"/>
      <c r="D236" s="815"/>
      <c r="E236" s="815"/>
      <c r="F236" s="815"/>
      <c r="G236" s="815"/>
      <c r="H236" s="815"/>
      <c r="I236" s="81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83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83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83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83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7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839" t="s">
        <v>53</v>
      </c>
      <c r="B244" s="840"/>
      <c r="C244" s="840"/>
      <c r="D244" s="840"/>
      <c r="E244" s="840"/>
      <c r="F244" s="840"/>
      <c r="G244" s="840"/>
      <c r="H244" s="840"/>
      <c r="I244" s="841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83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83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83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839" t="s">
        <v>53</v>
      </c>
      <c r="B250" s="840"/>
      <c r="C250" s="840"/>
      <c r="D250" s="840"/>
      <c r="E250" s="840"/>
      <c r="F250" s="840"/>
      <c r="G250" s="840"/>
      <c r="H250" s="840"/>
      <c r="I250" s="841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83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83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83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83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7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 x14ac:dyDescent="0.3">
      <c r="A257" s="839" t="s">
        <v>53</v>
      </c>
      <c r="B257" s="840"/>
      <c r="C257" s="840"/>
      <c r="D257" s="840"/>
      <c r="E257" s="840"/>
      <c r="F257" s="840"/>
      <c r="G257" s="840"/>
      <c r="H257" s="840"/>
      <c r="I257" s="841"/>
      <c r="J257" s="25">
        <f>SUM(J253:J256)</f>
        <v>14</v>
      </c>
      <c r="K257" s="26"/>
      <c r="L257" s="25"/>
    </row>
    <row r="259" spans="1:13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 x14ac:dyDescent="0.3">
      <c r="A260" s="87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 x14ac:dyDescent="0.3">
      <c r="A261" s="87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 x14ac:dyDescent="0.3">
      <c r="A262" s="839" t="s">
        <v>53</v>
      </c>
      <c r="B262" s="840"/>
      <c r="C262" s="840"/>
      <c r="D262" s="840"/>
      <c r="E262" s="840"/>
      <c r="F262" s="840"/>
      <c r="G262" s="840"/>
      <c r="H262" s="840"/>
      <c r="I262" s="841"/>
      <c r="J262" s="25">
        <f>SUM(J259:J261)</f>
        <v>2</v>
      </c>
      <c r="K262" s="26"/>
      <c r="L262" s="25"/>
    </row>
    <row r="264" spans="1:13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 x14ac:dyDescent="0.3">
      <c r="A265" s="83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 x14ac:dyDescent="0.3">
      <c r="A266" s="83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5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 x14ac:dyDescent="0.3">
      <c r="A267" s="83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70"/>
      <c r="I267" s="113"/>
      <c r="J267" s="25">
        <v>2</v>
      </c>
      <c r="K267" s="25" t="s">
        <v>50</v>
      </c>
      <c r="L267" s="25" t="s">
        <v>51</v>
      </c>
    </row>
    <row r="268" spans="1:13" ht="16.5" customHeight="1" x14ac:dyDescent="0.3">
      <c r="A268" s="83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58"/>
      <c r="I268" s="113"/>
      <c r="J268" s="110">
        <v>2</v>
      </c>
      <c r="K268" s="25" t="s">
        <v>50</v>
      </c>
      <c r="L268" s="25" t="s">
        <v>51</v>
      </c>
    </row>
    <row r="269" spans="1:13" ht="16.5" customHeight="1" x14ac:dyDescent="0.3">
      <c r="A269" s="83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 x14ac:dyDescent="0.3">
      <c r="A270" s="83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9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 x14ac:dyDescent="0.3">
      <c r="A271" s="839" t="s">
        <v>53</v>
      </c>
      <c r="B271" s="840"/>
      <c r="C271" s="840"/>
      <c r="D271" s="840"/>
      <c r="E271" s="840"/>
      <c r="F271" s="840"/>
      <c r="G271" s="840"/>
      <c r="H271" s="840"/>
      <c r="I271" s="841"/>
      <c r="J271" s="25">
        <f>SUM(J265:J270)</f>
        <v>10</v>
      </c>
      <c r="K271" s="26"/>
      <c r="L271" s="25"/>
    </row>
    <row r="273" spans="1:14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 x14ac:dyDescent="0.3">
      <c r="A275" s="839" t="s">
        <v>53</v>
      </c>
      <c r="B275" s="840"/>
      <c r="C275" s="840"/>
      <c r="D275" s="840"/>
      <c r="E275" s="840"/>
      <c r="F275" s="840"/>
      <c r="G275" s="840"/>
      <c r="H275" s="840"/>
      <c r="I275" s="841"/>
      <c r="J275" s="25">
        <f>SUM(J274:J274)</f>
        <v>3</v>
      </c>
      <c r="K275" s="26"/>
      <c r="L275" s="25"/>
    </row>
    <row r="276" spans="1:14" x14ac:dyDescent="0.3">
      <c r="A276" s="229" t="s">
        <v>1664</v>
      </c>
      <c r="B276" s="229"/>
      <c r="C276" s="229"/>
      <c r="D276" s="229"/>
      <c r="E276" s="229"/>
      <c r="F276" s="229"/>
      <c r="G276" s="229"/>
      <c r="H276" s="229"/>
      <c r="I276" s="229"/>
      <c r="J276" s="230"/>
      <c r="L276" s="230"/>
    </row>
    <row r="278" spans="1:14" ht="27" x14ac:dyDescent="0.3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9" t="s">
        <v>47</v>
      </c>
    </row>
    <row r="279" spans="1:14" ht="40.5" x14ac:dyDescent="0.3">
      <c r="A279" s="860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20" t="s">
        <v>631</v>
      </c>
      <c r="N279" t="s">
        <v>1602</v>
      </c>
    </row>
    <row r="280" spans="1:14" ht="27" x14ac:dyDescent="0.3">
      <c r="A280" s="861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20" t="s">
        <v>1607</v>
      </c>
      <c r="N280" t="s">
        <v>1608</v>
      </c>
    </row>
    <row r="281" spans="1:14" ht="27" x14ac:dyDescent="0.3">
      <c r="A281" s="861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20" t="s">
        <v>1607</v>
      </c>
      <c r="N281" t="s">
        <v>1613</v>
      </c>
    </row>
    <row r="282" spans="1:14" ht="27" x14ac:dyDescent="0.3">
      <c r="A282" s="861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20" t="s">
        <v>631</v>
      </c>
      <c r="N282" t="s">
        <v>1616</v>
      </c>
    </row>
    <row r="283" spans="1:14" ht="40.5" x14ac:dyDescent="0.3">
      <c r="A283" s="861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20" t="s">
        <v>631</v>
      </c>
      <c r="N283" t="s">
        <v>1620</v>
      </c>
    </row>
    <row r="284" spans="1:14" x14ac:dyDescent="0.3">
      <c r="K284" s="189">
        <v>25</v>
      </c>
      <c r="L284" s="379">
        <v>6250000</v>
      </c>
    </row>
    <row r="287" spans="1:14" ht="27" x14ac:dyDescent="0.3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 x14ac:dyDescent="0.3">
      <c r="A288" s="676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 x14ac:dyDescent="0.3">
      <c r="A289" s="677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 x14ac:dyDescent="0.3">
      <c r="A290" s="677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 x14ac:dyDescent="0.3">
      <c r="A291" s="677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22" t="s">
        <v>1640</v>
      </c>
    </row>
    <row r="292" spans="1:13" ht="27" customHeight="1" x14ac:dyDescent="0.3">
      <c r="A292" s="677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 x14ac:dyDescent="0.3">
      <c r="A293" s="677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 x14ac:dyDescent="0.3">
      <c r="A294" s="677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 x14ac:dyDescent="0.3">
      <c r="A295" s="678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 x14ac:dyDescent="0.3">
      <c r="A296" s="839" t="s">
        <v>1650</v>
      </c>
      <c r="B296" s="840"/>
      <c r="C296" s="840"/>
      <c r="D296" s="840"/>
      <c r="E296" s="840"/>
      <c r="F296" s="840"/>
      <c r="G296" s="840"/>
      <c r="H296" s="840"/>
      <c r="I296" s="840"/>
      <c r="J296" s="55">
        <v>21</v>
      </c>
      <c r="K296" s="57"/>
      <c r="L296" s="381"/>
      <c r="M296" s="26"/>
    </row>
    <row r="300" spans="1:13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 x14ac:dyDescent="0.3">
      <c r="A301" s="81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 x14ac:dyDescent="0.3">
      <c r="A302" s="81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 x14ac:dyDescent="0.3">
      <c r="A303" s="815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 x14ac:dyDescent="0.3">
      <c r="A304" s="815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15" t="s">
        <v>1663</v>
      </c>
      <c r="B305" s="815"/>
      <c r="C305" s="815"/>
      <c r="D305" s="815"/>
      <c r="E305" s="815"/>
      <c r="F305" s="815"/>
      <c r="G305" s="815"/>
      <c r="H305" s="815"/>
      <c r="I305" s="81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60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7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15" t="s">
        <v>53</v>
      </c>
      <c r="B309" s="815"/>
      <c r="C309" s="815"/>
      <c r="D309" s="815"/>
      <c r="E309" s="815"/>
      <c r="F309" s="815"/>
      <c r="G309" s="815"/>
      <c r="H309" s="815"/>
      <c r="I309" s="81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15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 x14ac:dyDescent="0.3">
      <c r="A313" s="815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 x14ac:dyDescent="0.3">
      <c r="A314" s="815" t="s">
        <v>1663</v>
      </c>
      <c r="B314" s="815"/>
      <c r="C314" s="815"/>
      <c r="D314" s="815"/>
      <c r="E314" s="815"/>
      <c r="F314" s="815"/>
      <c r="G314" s="815"/>
      <c r="H314" s="815"/>
      <c r="I314" s="81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15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15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1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 x14ac:dyDescent="0.3">
      <c r="A321" s="815" t="s">
        <v>1663</v>
      </c>
      <c r="B321" s="815"/>
      <c r="C321" s="815"/>
      <c r="D321" s="815"/>
      <c r="E321" s="815"/>
      <c r="F321" s="815"/>
      <c r="G321" s="815"/>
      <c r="H321" s="815"/>
      <c r="I321" s="815"/>
      <c r="J321" s="25">
        <f>SUM(J318:J320)</f>
        <v>10</v>
      </c>
      <c r="K321" s="25"/>
      <c r="L321" s="25"/>
    </row>
    <row r="324" spans="1:14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 x14ac:dyDescent="0.3">
      <c r="A325" s="815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 x14ac:dyDescent="0.3">
      <c r="A326" s="815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 x14ac:dyDescent="0.3">
      <c r="A327" s="815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 x14ac:dyDescent="0.3">
      <c r="A328" s="815"/>
      <c r="B328" s="15">
        <v>45405</v>
      </c>
      <c r="C328" s="223" t="s">
        <v>311</v>
      </c>
      <c r="D328" s="125" t="s">
        <v>320</v>
      </c>
      <c r="E328" s="125" t="s">
        <v>409</v>
      </c>
      <c r="F328" s="198" t="s">
        <v>1412</v>
      </c>
      <c r="G328" s="125" t="s">
        <v>1413</v>
      </c>
      <c r="H328" s="198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 x14ac:dyDescent="0.3">
      <c r="A329" s="815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 x14ac:dyDescent="0.3">
      <c r="A330" s="815" t="s">
        <v>1663</v>
      </c>
      <c r="B330" s="815"/>
      <c r="C330" s="815"/>
      <c r="D330" s="815"/>
      <c r="E330" s="815"/>
      <c r="F330" s="815"/>
      <c r="G330" s="815"/>
      <c r="H330" s="815"/>
      <c r="I330" s="815"/>
      <c r="J330" s="25">
        <f>SUM(J325:J329)</f>
        <v>8</v>
      </c>
      <c r="K330" s="25"/>
      <c r="L330" s="25"/>
    </row>
    <row r="332" spans="1:14" ht="27" x14ac:dyDescent="0.3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9" t="s">
        <v>47</v>
      </c>
    </row>
    <row r="333" spans="1:14" ht="27" customHeight="1" x14ac:dyDescent="0.3">
      <c r="A333" s="860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20" t="s">
        <v>50</v>
      </c>
      <c r="N333" t="s">
        <v>1602</v>
      </c>
    </row>
    <row r="334" spans="1:14" ht="27" customHeight="1" x14ac:dyDescent="0.3">
      <c r="A334" s="861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20" t="s">
        <v>1607</v>
      </c>
      <c r="N334" t="s">
        <v>1608</v>
      </c>
    </row>
    <row r="335" spans="1:14" ht="27" customHeight="1" x14ac:dyDescent="0.3">
      <c r="A335" s="861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20" t="s">
        <v>1607</v>
      </c>
      <c r="N335" t="s">
        <v>1613</v>
      </c>
    </row>
    <row r="336" spans="1:14" ht="27" customHeight="1" x14ac:dyDescent="0.3">
      <c r="A336" s="861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20" t="s">
        <v>50</v>
      </c>
      <c r="N336" t="s">
        <v>1616</v>
      </c>
    </row>
    <row r="337" spans="1:14" ht="27" customHeight="1" x14ac:dyDescent="0.3">
      <c r="A337" s="861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20" t="s">
        <v>50</v>
      </c>
      <c r="N337" t="s">
        <v>1620</v>
      </c>
    </row>
    <row r="338" spans="1:14" ht="27" customHeight="1" x14ac:dyDescent="0.3">
      <c r="A338" s="815" t="s">
        <v>1663</v>
      </c>
      <c r="B338" s="815"/>
      <c r="C338" s="815"/>
      <c r="D338" s="815"/>
      <c r="E338" s="815"/>
      <c r="F338" s="815"/>
      <c r="G338" s="815"/>
      <c r="H338" s="815"/>
      <c r="I338" s="815"/>
      <c r="J338" s="25">
        <v>25</v>
      </c>
      <c r="K338" s="25"/>
      <c r="L338" s="25"/>
    </row>
    <row r="342" spans="1:14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 x14ac:dyDescent="0.3">
      <c r="A343" s="879" t="s">
        <v>1521</v>
      </c>
      <c r="B343" s="128" t="s">
        <v>1531</v>
      </c>
      <c r="C343" s="780" t="s">
        <v>306</v>
      </c>
      <c r="D343" s="780" t="s">
        <v>322</v>
      </c>
      <c r="E343" s="650" t="s">
        <v>307</v>
      </c>
      <c r="F343" s="882">
        <v>4266</v>
      </c>
      <c r="G343" s="780" t="s">
        <v>640</v>
      </c>
      <c r="H343" s="882" t="s">
        <v>1533</v>
      </c>
      <c r="I343" s="780" t="s">
        <v>1534</v>
      </c>
      <c r="J343" s="650">
        <v>2</v>
      </c>
      <c r="K343" s="836" t="s">
        <v>50</v>
      </c>
      <c r="L343" s="836" t="s">
        <v>51</v>
      </c>
    </row>
    <row r="344" spans="1:14" x14ac:dyDescent="0.3">
      <c r="A344" s="880"/>
      <c r="B344" s="129" t="s">
        <v>1532</v>
      </c>
      <c r="C344" s="651"/>
      <c r="D344" s="651"/>
      <c r="E344" s="651"/>
      <c r="F344" s="653"/>
      <c r="G344" s="651"/>
      <c r="H344" s="653"/>
      <c r="I344" s="651"/>
      <c r="J344" s="651"/>
      <c r="K344" s="838"/>
      <c r="L344" s="838"/>
    </row>
    <row r="345" spans="1:14" x14ac:dyDescent="0.3">
      <c r="A345" s="880"/>
      <c r="B345" s="128" t="s">
        <v>1536</v>
      </c>
      <c r="C345" s="650" t="s">
        <v>306</v>
      </c>
      <c r="D345" s="650" t="s">
        <v>322</v>
      </c>
      <c r="E345" s="650" t="s">
        <v>307</v>
      </c>
      <c r="F345" s="652">
        <v>3306</v>
      </c>
      <c r="G345" s="650" t="s">
        <v>1153</v>
      </c>
      <c r="H345" s="652" t="s">
        <v>1538</v>
      </c>
      <c r="I345" s="650" t="s">
        <v>1534</v>
      </c>
      <c r="J345" s="650">
        <v>2</v>
      </c>
      <c r="K345" s="836" t="s">
        <v>50</v>
      </c>
      <c r="L345" s="836" t="s">
        <v>51</v>
      </c>
    </row>
    <row r="346" spans="1:14" x14ac:dyDescent="0.3">
      <c r="A346" s="881"/>
      <c r="B346" s="129" t="s">
        <v>1537</v>
      </c>
      <c r="C346" s="651"/>
      <c r="D346" s="651"/>
      <c r="E346" s="651"/>
      <c r="F346" s="653"/>
      <c r="G346" s="651"/>
      <c r="H346" s="653"/>
      <c r="I346" s="651"/>
      <c r="J346" s="651"/>
      <c r="K346" s="838"/>
      <c r="L346" s="838"/>
    </row>
    <row r="347" spans="1:14" x14ac:dyDescent="0.3">
      <c r="A347" s="839" t="s">
        <v>53</v>
      </c>
      <c r="B347" s="840"/>
      <c r="C347" s="840"/>
      <c r="D347" s="840"/>
      <c r="E347" s="840"/>
      <c r="F347" s="840"/>
      <c r="G347" s="840"/>
      <c r="H347" s="840"/>
      <c r="I347" s="841"/>
      <c r="J347" s="25">
        <v>4</v>
      </c>
      <c r="K347" s="26"/>
      <c r="L347" s="25"/>
    </row>
    <row r="349" spans="1:14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 x14ac:dyDescent="0.3">
      <c r="A350" s="66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 x14ac:dyDescent="0.3">
      <c r="A351" s="66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 x14ac:dyDescent="0.3">
      <c r="A352" s="66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66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66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66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66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 x14ac:dyDescent="0.3">
      <c r="A357" s="649" t="s">
        <v>53</v>
      </c>
      <c r="B357" s="649"/>
      <c r="C357" s="649"/>
      <c r="D357" s="649"/>
      <c r="E357" s="649"/>
      <c r="F357" s="649"/>
      <c r="G357" s="649"/>
      <c r="H357" s="649"/>
      <c r="I357" s="64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15" t="s">
        <v>1458</v>
      </c>
      <c r="B361" s="815"/>
      <c r="C361" s="815"/>
      <c r="D361" s="815"/>
      <c r="E361" s="815"/>
      <c r="F361" s="815"/>
      <c r="G361" s="815"/>
      <c r="H361" s="815"/>
      <c r="I361" s="81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32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874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15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15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15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15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 x14ac:dyDescent="0.3">
      <c r="A369" s="815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 x14ac:dyDescent="0.3">
      <c r="A370" s="815" t="s">
        <v>1663</v>
      </c>
      <c r="B370" s="815"/>
      <c r="C370" s="815"/>
      <c r="D370" s="815"/>
      <c r="E370" s="815"/>
      <c r="F370" s="815"/>
      <c r="G370" s="815"/>
      <c r="H370" s="815"/>
      <c r="I370" s="815"/>
      <c r="J370" s="25">
        <f>SUM(J364:J369)</f>
        <v>13</v>
      </c>
      <c r="K370" s="25"/>
      <c r="L370" s="25"/>
    </row>
    <row r="372" spans="1:13" ht="27" x14ac:dyDescent="0.3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 x14ac:dyDescent="0.3">
      <c r="A373" s="860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 x14ac:dyDescent="0.3">
      <c r="A374" s="86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 x14ac:dyDescent="0.3">
      <c r="A375" s="86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 x14ac:dyDescent="0.3">
      <c r="A376" s="861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 x14ac:dyDescent="0.3">
      <c r="A377" s="86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 x14ac:dyDescent="0.3">
      <c r="A378" s="649" t="s">
        <v>1650</v>
      </c>
      <c r="B378" s="649"/>
      <c r="C378" s="649"/>
      <c r="D378" s="649"/>
      <c r="E378" s="649"/>
      <c r="F378" s="649"/>
      <c r="G378" s="649"/>
      <c r="H378" s="649"/>
      <c r="I378" s="649"/>
      <c r="J378" s="649"/>
      <c r="K378" s="4">
        <v>25</v>
      </c>
      <c r="L378" s="55"/>
    </row>
    <row r="381" spans="1:13" x14ac:dyDescent="0.3">
      <c r="B381" s="862" t="s">
        <v>1</v>
      </c>
      <c r="C381" s="862" t="s">
        <v>2</v>
      </c>
      <c r="D381" s="862" t="s">
        <v>3</v>
      </c>
      <c r="E381" s="36" t="s">
        <v>54</v>
      </c>
      <c r="F381" s="862" t="s">
        <v>5</v>
      </c>
      <c r="G381" s="862" t="s">
        <v>6</v>
      </c>
      <c r="H381" s="862" t="s">
        <v>7</v>
      </c>
      <c r="I381" s="862" t="s">
        <v>55</v>
      </c>
      <c r="J381" s="862" t="s">
        <v>9</v>
      </c>
      <c r="K381" s="864" t="s">
        <v>56</v>
      </c>
      <c r="L381" s="862" t="s">
        <v>57</v>
      </c>
    </row>
    <row r="382" spans="1:13" x14ac:dyDescent="0.3">
      <c r="B382" s="863"/>
      <c r="C382" s="863"/>
      <c r="D382" s="863"/>
      <c r="E382" s="37" t="s">
        <v>59</v>
      </c>
      <c r="F382" s="863"/>
      <c r="G382" s="863"/>
      <c r="H382" s="863"/>
      <c r="I382" s="863"/>
      <c r="J382" s="863"/>
      <c r="K382" s="865"/>
      <c r="L382" s="863"/>
    </row>
    <row r="383" spans="1:13" ht="27" x14ac:dyDescent="0.3">
      <c r="B383" s="92" t="s">
        <v>1884</v>
      </c>
      <c r="C383" s="125" t="s">
        <v>306</v>
      </c>
      <c r="D383" s="125" t="s">
        <v>322</v>
      </c>
      <c r="E383" s="125" t="s">
        <v>307</v>
      </c>
      <c r="F383" s="198" t="s">
        <v>1885</v>
      </c>
      <c r="G383" s="125" t="s">
        <v>150</v>
      </c>
      <c r="H383" s="198" t="s">
        <v>1886</v>
      </c>
      <c r="I383" s="125" t="s">
        <v>1887</v>
      </c>
      <c r="J383" s="188" t="s">
        <v>1749</v>
      </c>
      <c r="K383" s="125" t="s">
        <v>324</v>
      </c>
      <c r="L383" s="96">
        <v>1000000</v>
      </c>
    </row>
    <row r="384" spans="1:13" ht="27" x14ac:dyDescent="0.3">
      <c r="B384" s="92" t="s">
        <v>1888</v>
      </c>
      <c r="C384" s="4" t="s">
        <v>19</v>
      </c>
      <c r="D384" s="4" t="s">
        <v>1889</v>
      </c>
      <c r="E384" s="4" t="s">
        <v>1890</v>
      </c>
      <c r="F384" s="198" t="s">
        <v>1379</v>
      </c>
      <c r="G384" s="125" t="s">
        <v>115</v>
      </c>
      <c r="H384" s="198" t="s">
        <v>1838</v>
      </c>
      <c r="I384" s="125" t="s">
        <v>1887</v>
      </c>
      <c r="J384" s="188" t="s">
        <v>1588</v>
      </c>
      <c r="K384" s="57" t="s">
        <v>210</v>
      </c>
      <c r="L384" s="96">
        <v>500000</v>
      </c>
    </row>
    <row r="385" spans="1:13" ht="27" x14ac:dyDescent="0.3">
      <c r="B385" s="122" t="s">
        <v>1853</v>
      </c>
      <c r="C385" s="4" t="s">
        <v>1891</v>
      </c>
      <c r="D385" s="4" t="s">
        <v>151</v>
      </c>
      <c r="E385" s="4" t="s">
        <v>123</v>
      </c>
      <c r="F385" s="208" t="s">
        <v>1851</v>
      </c>
      <c r="G385" s="207" t="s">
        <v>1892</v>
      </c>
      <c r="H385" s="208" t="s">
        <v>1893</v>
      </c>
      <c r="I385" s="207" t="s">
        <v>608</v>
      </c>
      <c r="J385" s="188" t="s">
        <v>1749</v>
      </c>
      <c r="K385" s="57" t="s">
        <v>210</v>
      </c>
      <c r="L385" s="96">
        <v>1000000</v>
      </c>
    </row>
    <row r="386" spans="1:13" ht="27" x14ac:dyDescent="0.3">
      <c r="B386" s="92" t="s">
        <v>1865</v>
      </c>
      <c r="C386" s="125" t="s">
        <v>306</v>
      </c>
      <c r="D386" s="125" t="s">
        <v>322</v>
      </c>
      <c r="E386" s="125" t="s">
        <v>307</v>
      </c>
      <c r="F386" s="198" t="s">
        <v>1894</v>
      </c>
      <c r="G386" s="125" t="s">
        <v>1895</v>
      </c>
      <c r="H386" s="198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 x14ac:dyDescent="0.3">
      <c r="B387" s="92"/>
      <c r="C387" s="125"/>
      <c r="D387" s="125"/>
      <c r="E387" s="125"/>
      <c r="F387" s="198"/>
      <c r="G387" s="125"/>
      <c r="H387" s="198"/>
      <c r="I387" s="125"/>
      <c r="J387" s="4"/>
      <c r="K387" s="125" t="s">
        <v>324</v>
      </c>
      <c r="L387" s="96">
        <f>SUM(L383:L386)</f>
        <v>3500000</v>
      </c>
    </row>
    <row r="390" spans="1:13" x14ac:dyDescent="0.3">
      <c r="A390" t="s">
        <v>1906</v>
      </c>
    </row>
    <row r="392" spans="1:13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 x14ac:dyDescent="0.3">
      <c r="A393" s="160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7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 x14ac:dyDescent="0.3">
      <c r="A394" s="815" t="s">
        <v>53</v>
      </c>
      <c r="B394" s="815"/>
      <c r="C394" s="815"/>
      <c r="D394" s="815"/>
      <c r="E394" s="815"/>
      <c r="F394" s="815"/>
      <c r="G394" s="815"/>
      <c r="H394" s="815"/>
      <c r="I394" s="815"/>
      <c r="J394" s="25">
        <v>1</v>
      </c>
      <c r="K394" s="25"/>
      <c r="L394" s="25"/>
    </row>
    <row r="396" spans="1:13" ht="27" customHeight="1" x14ac:dyDescent="0.3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 x14ac:dyDescent="0.3">
      <c r="A397" s="860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20" t="s">
        <v>631</v>
      </c>
      <c r="L397" s="31" t="s">
        <v>51</v>
      </c>
      <c r="M397">
        <v>20</v>
      </c>
    </row>
    <row r="398" spans="1:13" ht="27" customHeight="1" x14ac:dyDescent="0.3">
      <c r="A398" s="861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20" t="s">
        <v>2098</v>
      </c>
      <c r="L398" s="31" t="s">
        <v>51</v>
      </c>
      <c r="M398">
        <v>20</v>
      </c>
    </row>
    <row r="399" spans="1:13" ht="27" customHeight="1" x14ac:dyDescent="0.3">
      <c r="A399" s="861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20" t="s">
        <v>631</v>
      </c>
      <c r="L399" s="31" t="s">
        <v>51</v>
      </c>
      <c r="M399">
        <v>21</v>
      </c>
    </row>
    <row r="400" spans="1:13" ht="27" customHeight="1" x14ac:dyDescent="0.3">
      <c r="A400" s="861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20" t="s">
        <v>2000</v>
      </c>
      <c r="L400" s="31" t="s">
        <v>2001</v>
      </c>
      <c r="M400">
        <v>22</v>
      </c>
    </row>
    <row r="401" spans="1:13" ht="27" customHeight="1" x14ac:dyDescent="0.3">
      <c r="A401" s="815" t="s">
        <v>53</v>
      </c>
      <c r="B401" s="815"/>
      <c r="C401" s="815"/>
      <c r="D401" s="815"/>
      <c r="E401" s="815"/>
      <c r="F401" s="815"/>
      <c r="G401" s="815"/>
      <c r="H401" s="815"/>
      <c r="I401" s="815"/>
      <c r="J401" s="25">
        <v>14</v>
      </c>
      <c r="K401" s="25"/>
      <c r="L401" s="25"/>
    </row>
    <row r="402" spans="1:13" ht="20.100000000000001" customHeight="1" x14ac:dyDescent="0.3"/>
    <row r="403" spans="1:13" ht="20.100000000000001" customHeight="1" x14ac:dyDescent="0.3"/>
    <row r="404" spans="1:13" ht="27" customHeight="1" x14ac:dyDescent="0.3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 x14ac:dyDescent="0.3">
      <c r="A405" s="854" t="s">
        <v>229</v>
      </c>
      <c r="B405" s="847" t="s">
        <v>1809</v>
      </c>
      <c r="C405" s="847" t="s">
        <v>700</v>
      </c>
      <c r="D405" s="843" t="s">
        <v>675</v>
      </c>
      <c r="E405" s="847" t="s">
        <v>1810</v>
      </c>
      <c r="F405" s="847" t="s">
        <v>1811</v>
      </c>
      <c r="G405" s="847" t="s">
        <v>662</v>
      </c>
      <c r="H405" s="848" t="s">
        <v>1812</v>
      </c>
      <c r="I405" s="843"/>
      <c r="J405" s="848">
        <v>1</v>
      </c>
      <c r="K405" s="836" t="s">
        <v>631</v>
      </c>
      <c r="L405" s="657" t="s">
        <v>51</v>
      </c>
      <c r="M405">
        <v>19</v>
      </c>
    </row>
    <row r="406" spans="1:13" ht="13.5" customHeight="1" x14ac:dyDescent="0.3">
      <c r="A406" s="854"/>
      <c r="B406" s="847"/>
      <c r="C406" s="847"/>
      <c r="D406" s="843"/>
      <c r="E406" s="847"/>
      <c r="F406" s="847"/>
      <c r="G406" s="847"/>
      <c r="H406" s="848"/>
      <c r="I406" s="843"/>
      <c r="J406" s="848"/>
      <c r="K406" s="838"/>
      <c r="L406" s="659"/>
      <c r="M406">
        <v>18</v>
      </c>
    </row>
    <row r="407" spans="1:13" ht="27" customHeight="1" x14ac:dyDescent="0.3">
      <c r="A407" s="854"/>
      <c r="B407" s="88" t="s">
        <v>1778</v>
      </c>
      <c r="C407" s="88" t="s">
        <v>311</v>
      </c>
      <c r="D407" s="256" t="s">
        <v>320</v>
      </c>
      <c r="E407" s="256" t="s">
        <v>409</v>
      </c>
      <c r="F407" s="257" t="s">
        <v>1412</v>
      </c>
      <c r="G407" s="256" t="s">
        <v>347</v>
      </c>
      <c r="H407" s="257" t="s">
        <v>1581</v>
      </c>
      <c r="I407" s="256"/>
      <c r="J407" s="256">
        <v>2</v>
      </c>
      <c r="K407" s="25" t="s">
        <v>2000</v>
      </c>
      <c r="L407" s="380" t="s">
        <v>2001</v>
      </c>
    </row>
    <row r="408" spans="1:13" ht="27" customHeight="1" x14ac:dyDescent="0.3">
      <c r="A408" s="854"/>
      <c r="B408" s="258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80" t="s">
        <v>51</v>
      </c>
      <c r="M408">
        <v>21</v>
      </c>
    </row>
    <row r="409" spans="1:13" ht="27" customHeight="1" x14ac:dyDescent="0.3">
      <c r="A409" s="854" t="s">
        <v>1650</v>
      </c>
      <c r="B409" s="854"/>
      <c r="C409" s="854"/>
      <c r="D409" s="854"/>
      <c r="E409" s="854"/>
      <c r="F409" s="854"/>
      <c r="G409" s="854"/>
      <c r="H409" s="854"/>
      <c r="I409" s="854"/>
      <c r="J409" s="25">
        <v>4</v>
      </c>
      <c r="K409" s="25"/>
      <c r="L409" s="25"/>
    </row>
    <row r="410" spans="1:13" ht="20.100000000000001" customHeight="1" x14ac:dyDescent="0.3"/>
    <row r="411" spans="1:13" ht="20.100000000000001" customHeight="1" x14ac:dyDescent="0.3">
      <c r="A411" s="19" t="s">
        <v>2002</v>
      </c>
      <c r="B411" s="19" t="s">
        <v>2009</v>
      </c>
      <c r="C411" s="20" t="s">
        <v>2</v>
      </c>
      <c r="D411" s="20" t="s">
        <v>3</v>
      </c>
      <c r="E411" s="232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 x14ac:dyDescent="0.3">
      <c r="A412" s="854" t="s">
        <v>2012</v>
      </c>
      <c r="B412" s="859" t="s">
        <v>2013</v>
      </c>
      <c r="C412" s="836" t="s">
        <v>21</v>
      </c>
      <c r="D412" s="737" t="s">
        <v>14</v>
      </c>
      <c r="E412" s="836" t="s">
        <v>78</v>
      </c>
      <c r="F412" s="847" t="s">
        <v>2014</v>
      </c>
      <c r="G412" s="847" t="s">
        <v>40</v>
      </c>
      <c r="H412" s="848" t="s">
        <v>614</v>
      </c>
      <c r="I412" s="843"/>
      <c r="J412" s="848">
        <v>1</v>
      </c>
      <c r="K412" s="836" t="s">
        <v>2015</v>
      </c>
      <c r="L412" s="657" t="s">
        <v>2001</v>
      </c>
      <c r="M412">
        <v>19</v>
      </c>
    </row>
    <row r="413" spans="1:13" ht="20.100000000000001" customHeight="1" x14ac:dyDescent="0.3">
      <c r="A413" s="854"/>
      <c r="B413" s="847"/>
      <c r="C413" s="838"/>
      <c r="D413" s="739"/>
      <c r="E413" s="838"/>
      <c r="F413" s="847"/>
      <c r="G413" s="847"/>
      <c r="H413" s="848"/>
      <c r="I413" s="843"/>
      <c r="J413" s="848"/>
      <c r="K413" s="838"/>
      <c r="L413" s="659"/>
      <c r="M413">
        <v>18</v>
      </c>
    </row>
    <row r="414" spans="1:13" ht="20.100000000000001" customHeight="1" x14ac:dyDescent="0.3">
      <c r="A414" s="854" t="s">
        <v>1650</v>
      </c>
      <c r="B414" s="854"/>
      <c r="C414" s="854"/>
      <c r="D414" s="854"/>
      <c r="E414" s="854"/>
      <c r="F414" s="854"/>
      <c r="G414" s="854"/>
      <c r="H414" s="854"/>
      <c r="I414" s="854"/>
      <c r="J414" s="25">
        <v>1</v>
      </c>
      <c r="K414" s="25"/>
      <c r="L414" s="25"/>
    </row>
    <row r="415" spans="1:13" ht="20.100000000000001" customHeight="1" x14ac:dyDescent="0.3"/>
    <row r="416" spans="1:13" ht="27" customHeight="1" x14ac:dyDescent="0.3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 x14ac:dyDescent="0.3">
      <c r="A417" s="657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80" t="s">
        <v>51</v>
      </c>
      <c r="M417">
        <v>17</v>
      </c>
    </row>
    <row r="418" spans="1:13" ht="13.5" customHeight="1" x14ac:dyDescent="0.3">
      <c r="A418" s="658"/>
      <c r="B418" s="78" t="s">
        <v>1752</v>
      </c>
      <c r="C418" s="843" t="s">
        <v>306</v>
      </c>
      <c r="D418" s="843" t="s">
        <v>322</v>
      </c>
      <c r="E418" s="843" t="s">
        <v>307</v>
      </c>
      <c r="F418" s="848">
        <v>3306</v>
      </c>
      <c r="G418" s="843" t="s">
        <v>1153</v>
      </c>
      <c r="H418" s="848" t="s">
        <v>1753</v>
      </c>
      <c r="I418" s="843" t="s">
        <v>664</v>
      </c>
      <c r="J418" s="843">
        <v>4</v>
      </c>
      <c r="K418" s="836" t="s">
        <v>631</v>
      </c>
      <c r="L418" s="657" t="s">
        <v>51</v>
      </c>
      <c r="M418">
        <v>18</v>
      </c>
    </row>
    <row r="419" spans="1:13" ht="13.5" customHeight="1" x14ac:dyDescent="0.3">
      <c r="A419" s="658"/>
      <c r="B419" s="79" t="s">
        <v>1755</v>
      </c>
      <c r="C419" s="843"/>
      <c r="D419" s="843"/>
      <c r="E419" s="843"/>
      <c r="F419" s="848"/>
      <c r="G419" s="843"/>
      <c r="H419" s="848"/>
      <c r="I419" s="843"/>
      <c r="J419" s="843"/>
      <c r="K419" s="838"/>
      <c r="L419" s="659"/>
    </row>
    <row r="420" spans="1:13" ht="13.5" customHeight="1" x14ac:dyDescent="0.3">
      <c r="A420" s="658"/>
      <c r="B420" s="78" t="s">
        <v>1804</v>
      </c>
      <c r="C420" s="843" t="s">
        <v>306</v>
      </c>
      <c r="D420" s="843" t="s">
        <v>322</v>
      </c>
      <c r="E420" s="843" t="s">
        <v>307</v>
      </c>
      <c r="F420" s="848" t="s">
        <v>1805</v>
      </c>
      <c r="G420" s="843" t="s">
        <v>1806</v>
      </c>
      <c r="H420" s="848" t="s">
        <v>1807</v>
      </c>
      <c r="I420" s="843" t="s">
        <v>664</v>
      </c>
      <c r="J420" s="843">
        <v>5</v>
      </c>
      <c r="K420" s="836" t="s">
        <v>631</v>
      </c>
      <c r="L420" s="657" t="s">
        <v>51</v>
      </c>
      <c r="M420">
        <v>19</v>
      </c>
    </row>
    <row r="421" spans="1:13" ht="13.5" customHeight="1" x14ac:dyDescent="0.3">
      <c r="A421" s="658"/>
      <c r="B421" s="79" t="s">
        <v>1799</v>
      </c>
      <c r="C421" s="843"/>
      <c r="D421" s="843"/>
      <c r="E421" s="843"/>
      <c r="F421" s="848"/>
      <c r="G421" s="843"/>
      <c r="H421" s="848"/>
      <c r="I421" s="843"/>
      <c r="J421" s="843"/>
      <c r="K421" s="838"/>
      <c r="L421" s="659"/>
    </row>
    <row r="422" spans="1:13" ht="27" customHeight="1" x14ac:dyDescent="0.3">
      <c r="A422" s="659"/>
      <c r="B422" s="258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80" t="s">
        <v>51</v>
      </c>
      <c r="M422">
        <v>21</v>
      </c>
    </row>
    <row r="423" spans="1:13" ht="27" customHeight="1" x14ac:dyDescent="0.3">
      <c r="A423" s="854" t="s">
        <v>1650</v>
      </c>
      <c r="B423" s="854"/>
      <c r="C423" s="854"/>
      <c r="D423" s="854"/>
      <c r="E423" s="854"/>
      <c r="F423" s="854"/>
      <c r="G423" s="854"/>
      <c r="H423" s="854"/>
      <c r="I423" s="854"/>
      <c r="J423" s="25">
        <v>15</v>
      </c>
      <c r="K423" s="25"/>
      <c r="L423" s="25"/>
    </row>
    <row r="424" spans="1:13" ht="20.100000000000001" customHeight="1" x14ac:dyDescent="0.3"/>
    <row r="425" spans="1:13" ht="20.100000000000001" customHeight="1" x14ac:dyDescent="0.3"/>
    <row r="426" spans="1:13" ht="20.100000000000001" customHeight="1" x14ac:dyDescent="0.3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 x14ac:dyDescent="0.3">
      <c r="A427" s="849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 x14ac:dyDescent="0.3">
      <c r="A428" s="850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 x14ac:dyDescent="0.3">
      <c r="A429" s="85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 x14ac:dyDescent="0.3">
      <c r="A430" s="850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 x14ac:dyDescent="0.3">
      <c r="A431" s="815" t="s">
        <v>1650</v>
      </c>
      <c r="B431" s="815"/>
      <c r="C431" s="815"/>
      <c r="D431" s="815"/>
      <c r="E431" s="815"/>
      <c r="F431" s="815"/>
      <c r="G431" s="815"/>
      <c r="H431" s="815"/>
      <c r="I431" s="815"/>
      <c r="J431" s="25">
        <f>SUM(J427:J430)</f>
        <v>8</v>
      </c>
      <c r="K431" s="25"/>
      <c r="L431" s="25"/>
    </row>
    <row r="432" spans="1:13" ht="20.100000000000001" customHeight="1" x14ac:dyDescent="0.3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 x14ac:dyDescent="0.3">
      <c r="A433" s="850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 x14ac:dyDescent="0.3">
      <c r="A434" s="85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 x14ac:dyDescent="0.3">
      <c r="A435" s="815" t="s">
        <v>1650</v>
      </c>
      <c r="B435" s="815"/>
      <c r="C435" s="815"/>
      <c r="D435" s="815"/>
      <c r="E435" s="815"/>
      <c r="F435" s="815"/>
      <c r="G435" s="815"/>
      <c r="H435" s="815"/>
      <c r="I435" s="815"/>
      <c r="J435" s="25">
        <f>SUM(J433:J434)</f>
        <v>10</v>
      </c>
      <c r="K435" s="25"/>
      <c r="L435" s="25"/>
    </row>
    <row r="436" spans="1:13" ht="20.100000000000001" customHeight="1" x14ac:dyDescent="0.3"/>
    <row r="437" spans="1:13" ht="20.100000000000001" customHeight="1" x14ac:dyDescent="0.3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 x14ac:dyDescent="0.3">
      <c r="A438" s="676" t="s">
        <v>2031</v>
      </c>
      <c r="B438" s="259" t="s">
        <v>1764</v>
      </c>
      <c r="C438" s="742" t="s">
        <v>306</v>
      </c>
      <c r="D438" s="742" t="s">
        <v>322</v>
      </c>
      <c r="E438" s="742" t="s">
        <v>307</v>
      </c>
      <c r="F438" s="855" t="s">
        <v>1765</v>
      </c>
      <c r="G438" s="742" t="s">
        <v>329</v>
      </c>
      <c r="H438" s="857" t="s">
        <v>1766</v>
      </c>
      <c r="I438" s="725" t="s">
        <v>664</v>
      </c>
      <c r="J438" s="852">
        <v>2</v>
      </c>
      <c r="K438" s="836" t="s">
        <v>2000</v>
      </c>
      <c r="L438" s="836" t="s">
        <v>51</v>
      </c>
      <c r="M438">
        <v>18</v>
      </c>
    </row>
    <row r="439" spans="1:13" ht="13.5" customHeight="1" x14ac:dyDescent="0.3">
      <c r="A439" s="677"/>
      <c r="B439" s="260" t="s">
        <v>2032</v>
      </c>
      <c r="C439" s="743"/>
      <c r="D439" s="743"/>
      <c r="E439" s="743"/>
      <c r="F439" s="856"/>
      <c r="G439" s="743"/>
      <c r="H439" s="858"/>
      <c r="I439" s="726"/>
      <c r="J439" s="853"/>
      <c r="K439" s="838"/>
      <c r="L439" s="838"/>
    </row>
    <row r="440" spans="1:13" ht="13.5" customHeight="1" x14ac:dyDescent="0.3">
      <c r="A440" s="677"/>
      <c r="B440" s="261" t="s">
        <v>1798</v>
      </c>
      <c r="C440" s="794" t="s">
        <v>306</v>
      </c>
      <c r="D440" s="794" t="s">
        <v>322</v>
      </c>
      <c r="E440" s="794" t="s">
        <v>307</v>
      </c>
      <c r="F440" s="796" t="s">
        <v>1800</v>
      </c>
      <c r="G440" s="794" t="s">
        <v>1801</v>
      </c>
      <c r="H440" s="796" t="s">
        <v>1796</v>
      </c>
      <c r="I440" s="794" t="s">
        <v>664</v>
      </c>
      <c r="J440" s="650">
        <v>4</v>
      </c>
      <c r="K440" s="836" t="s">
        <v>631</v>
      </c>
      <c r="L440" s="836" t="s">
        <v>2001</v>
      </c>
      <c r="M440">
        <v>19</v>
      </c>
    </row>
    <row r="441" spans="1:13" ht="13.5" customHeight="1" x14ac:dyDescent="0.3">
      <c r="A441" s="677"/>
      <c r="B441" s="262" t="s">
        <v>1799</v>
      </c>
      <c r="C441" s="794"/>
      <c r="D441" s="794"/>
      <c r="E441" s="794"/>
      <c r="F441" s="796"/>
      <c r="G441" s="794"/>
      <c r="H441" s="796"/>
      <c r="I441" s="794"/>
      <c r="J441" s="651"/>
      <c r="K441" s="838"/>
      <c r="L441" s="838"/>
    </row>
    <row r="442" spans="1:13" ht="20.100000000000001" customHeight="1" x14ac:dyDescent="0.3">
      <c r="A442" s="677"/>
      <c r="B442" s="263" t="s">
        <v>2033</v>
      </c>
      <c r="C442" s="125" t="s">
        <v>306</v>
      </c>
      <c r="D442" s="125" t="s">
        <v>322</v>
      </c>
      <c r="E442" s="125" t="s">
        <v>307</v>
      </c>
      <c r="F442" s="198" t="s">
        <v>2034</v>
      </c>
      <c r="G442" s="125" t="s">
        <v>361</v>
      </c>
      <c r="H442" s="198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 x14ac:dyDescent="0.3">
      <c r="A443" s="677"/>
      <c r="B443" s="263" t="s">
        <v>2036</v>
      </c>
      <c r="C443" s="125" t="s">
        <v>306</v>
      </c>
      <c r="D443" s="125" t="s">
        <v>322</v>
      </c>
      <c r="E443" s="125" t="s">
        <v>307</v>
      </c>
      <c r="F443" s="198">
        <v>3306</v>
      </c>
      <c r="G443" s="125" t="s">
        <v>2037</v>
      </c>
      <c r="H443" s="198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 x14ac:dyDescent="0.3">
      <c r="A444" s="677"/>
      <c r="B444" s="263" t="s">
        <v>2039</v>
      </c>
      <c r="C444" s="4" t="s">
        <v>2040</v>
      </c>
      <c r="D444" s="4" t="s">
        <v>2023</v>
      </c>
      <c r="E444" s="4" t="s">
        <v>20</v>
      </c>
      <c r="F444" s="198" t="s">
        <v>2034</v>
      </c>
      <c r="G444" s="125" t="s">
        <v>264</v>
      </c>
      <c r="H444" s="198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 x14ac:dyDescent="0.3">
      <c r="A445" s="677"/>
      <c r="B445" s="259" t="s">
        <v>2041</v>
      </c>
      <c r="C445" s="207" t="s">
        <v>306</v>
      </c>
      <c r="D445" s="207" t="s">
        <v>322</v>
      </c>
      <c r="E445" s="207" t="s">
        <v>307</v>
      </c>
      <c r="F445" s="208" t="s">
        <v>1504</v>
      </c>
      <c r="G445" s="207" t="s">
        <v>264</v>
      </c>
      <c r="H445" s="208" t="s">
        <v>2042</v>
      </c>
      <c r="I445" s="207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 x14ac:dyDescent="0.3">
      <c r="A446" s="677"/>
      <c r="B446" s="259">
        <v>45434</v>
      </c>
      <c r="C446" s="207" t="s">
        <v>306</v>
      </c>
      <c r="D446" s="207" t="s">
        <v>322</v>
      </c>
      <c r="E446" s="207" t="s">
        <v>307</v>
      </c>
      <c r="F446" s="208" t="s">
        <v>2034</v>
      </c>
      <c r="G446" s="207" t="s">
        <v>361</v>
      </c>
      <c r="H446" s="208" t="s">
        <v>2043</v>
      </c>
      <c r="I446" s="207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 x14ac:dyDescent="0.3">
      <c r="A447" s="677"/>
      <c r="B447" s="259" t="s">
        <v>2044</v>
      </c>
      <c r="C447" s="207" t="s">
        <v>306</v>
      </c>
      <c r="D447" s="207" t="s">
        <v>322</v>
      </c>
      <c r="E447" s="207" t="s">
        <v>307</v>
      </c>
      <c r="F447" s="208">
        <v>3306</v>
      </c>
      <c r="G447" s="207" t="s">
        <v>1019</v>
      </c>
      <c r="H447" s="208" t="s">
        <v>2045</v>
      </c>
      <c r="I447" s="207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 x14ac:dyDescent="0.3">
      <c r="A448" s="677"/>
      <c r="B448" s="264" t="s">
        <v>2046</v>
      </c>
      <c r="C448" s="125" t="s">
        <v>306</v>
      </c>
      <c r="D448" s="125" t="s">
        <v>322</v>
      </c>
      <c r="E448" s="125" t="s">
        <v>307</v>
      </c>
      <c r="F448" s="198" t="s">
        <v>1504</v>
      </c>
      <c r="G448" s="125" t="s">
        <v>264</v>
      </c>
      <c r="H448" s="198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 x14ac:dyDescent="0.3">
      <c r="A449" s="678"/>
      <c r="B449" s="263" t="s">
        <v>2047</v>
      </c>
      <c r="C449" s="125" t="s">
        <v>306</v>
      </c>
      <c r="D449" s="125" t="s">
        <v>322</v>
      </c>
      <c r="E449" s="125" t="s">
        <v>307</v>
      </c>
      <c r="F449" s="198">
        <v>3306</v>
      </c>
      <c r="G449" s="125" t="s">
        <v>1019</v>
      </c>
      <c r="H449" s="198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 x14ac:dyDescent="0.3">
      <c r="A450" s="839" t="s">
        <v>1650</v>
      </c>
      <c r="B450" s="840"/>
      <c r="C450" s="840"/>
      <c r="D450" s="840"/>
      <c r="E450" s="840"/>
      <c r="F450" s="840"/>
      <c r="G450" s="840"/>
      <c r="H450" s="840"/>
      <c r="I450" s="840"/>
      <c r="J450" s="55">
        <v>20</v>
      </c>
      <c r="K450" s="57"/>
      <c r="L450" s="381"/>
    </row>
    <row r="451" spans="1:13" ht="20.100000000000001" customHeight="1" x14ac:dyDescent="0.3"/>
    <row r="452" spans="1:13" ht="20.100000000000001" customHeight="1" x14ac:dyDescent="0.3"/>
    <row r="453" spans="1:13" ht="20.100000000000001" customHeight="1" x14ac:dyDescent="0.3"/>
    <row r="454" spans="1:13" ht="20.100000000000001" customHeight="1" x14ac:dyDescent="0.3"/>
    <row r="455" spans="1:13" ht="27" customHeight="1" x14ac:dyDescent="0.3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 x14ac:dyDescent="0.3">
      <c r="A456" s="663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 x14ac:dyDescent="0.3">
      <c r="A457" s="664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 x14ac:dyDescent="0.3">
      <c r="A458" s="664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 x14ac:dyDescent="0.3">
      <c r="A459" s="649" t="s">
        <v>2063</v>
      </c>
      <c r="B459" s="649"/>
      <c r="C459" s="649"/>
      <c r="D459" s="649"/>
      <c r="E459" s="649"/>
      <c r="F459" s="649"/>
      <c r="G459" s="649"/>
      <c r="H459" s="649"/>
      <c r="I459" s="649"/>
      <c r="J459" s="25">
        <f>SUM(J456:J458)</f>
        <v>5</v>
      </c>
      <c r="K459" s="25"/>
      <c r="L459" s="25"/>
    </row>
    <row r="460" spans="1:13" ht="20.100000000000001" customHeight="1" x14ac:dyDescent="0.3"/>
    <row r="461" spans="1:13" ht="27" customHeight="1" x14ac:dyDescent="0.3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 x14ac:dyDescent="0.3">
      <c r="A462" s="849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 x14ac:dyDescent="0.3">
      <c r="A463" s="850"/>
      <c r="B463" s="844" t="s">
        <v>1771</v>
      </c>
      <c r="C463" s="845" t="s">
        <v>311</v>
      </c>
      <c r="D463" s="845" t="s">
        <v>320</v>
      </c>
      <c r="E463" s="845" t="s">
        <v>709</v>
      </c>
      <c r="F463" s="845" t="s">
        <v>1772</v>
      </c>
      <c r="G463" s="844" t="s">
        <v>1773</v>
      </c>
      <c r="H463" s="265" t="s">
        <v>1774</v>
      </c>
      <c r="I463" s="845"/>
      <c r="J463" s="845">
        <v>1</v>
      </c>
      <c r="K463" s="737" t="s">
        <v>631</v>
      </c>
      <c r="L463" s="769" t="s">
        <v>51</v>
      </c>
      <c r="M463">
        <v>18</v>
      </c>
    </row>
    <row r="464" spans="1:13" ht="13.5" customHeight="1" x14ac:dyDescent="0.3">
      <c r="A464" s="850"/>
      <c r="B464" s="844"/>
      <c r="C464" s="845"/>
      <c r="D464" s="845"/>
      <c r="E464" s="845"/>
      <c r="F464" s="845"/>
      <c r="G464" s="844"/>
      <c r="H464" s="266" t="s">
        <v>1777</v>
      </c>
      <c r="I464" s="845"/>
      <c r="J464" s="845"/>
      <c r="K464" s="739"/>
      <c r="L464" s="770"/>
    </row>
    <row r="465" spans="1:13" ht="13.5" customHeight="1" x14ac:dyDescent="0.3">
      <c r="A465" s="850"/>
      <c r="B465" s="846" t="s">
        <v>1817</v>
      </c>
      <c r="C465" s="847" t="s">
        <v>700</v>
      </c>
      <c r="D465" s="843" t="s">
        <v>320</v>
      </c>
      <c r="E465" s="843" t="s">
        <v>337</v>
      </c>
      <c r="F465" s="847" t="s">
        <v>353</v>
      </c>
      <c r="G465" s="847" t="s">
        <v>1818</v>
      </c>
      <c r="H465" s="848" t="s">
        <v>1819</v>
      </c>
      <c r="I465" s="843" t="s">
        <v>638</v>
      </c>
      <c r="J465" s="848">
        <v>2</v>
      </c>
      <c r="K465" s="836" t="s">
        <v>631</v>
      </c>
      <c r="L465" s="836" t="s">
        <v>51</v>
      </c>
      <c r="M465">
        <v>19</v>
      </c>
    </row>
    <row r="466" spans="1:13" ht="13.5" customHeight="1" x14ac:dyDescent="0.3">
      <c r="A466" s="850"/>
      <c r="B466" s="846"/>
      <c r="C466" s="847"/>
      <c r="D466" s="843"/>
      <c r="E466" s="843"/>
      <c r="F466" s="847"/>
      <c r="G466" s="847"/>
      <c r="H466" s="848"/>
      <c r="I466" s="843"/>
      <c r="J466" s="848"/>
      <c r="K466" s="838"/>
      <c r="L466" s="838"/>
    </row>
    <row r="467" spans="1:13" ht="27" customHeight="1" x14ac:dyDescent="0.3">
      <c r="A467" s="850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7" t="s">
        <v>1819</v>
      </c>
      <c r="I467" s="45" t="s">
        <v>638</v>
      </c>
      <c r="J467" s="267">
        <v>1</v>
      </c>
      <c r="K467" s="25" t="s">
        <v>631</v>
      </c>
      <c r="L467" s="25" t="s">
        <v>51</v>
      </c>
      <c r="M467">
        <v>19</v>
      </c>
    </row>
    <row r="468" spans="1:13" ht="13.5" customHeight="1" x14ac:dyDescent="0.3">
      <c r="A468" s="850"/>
      <c r="B468" s="847" t="s">
        <v>1824</v>
      </c>
      <c r="C468" s="847" t="s">
        <v>700</v>
      </c>
      <c r="D468" s="843" t="s">
        <v>320</v>
      </c>
      <c r="E468" s="843" t="s">
        <v>709</v>
      </c>
      <c r="F468" s="843" t="s">
        <v>1772</v>
      </c>
      <c r="G468" s="847" t="s">
        <v>1825</v>
      </c>
      <c r="H468" s="268" t="s">
        <v>1826</v>
      </c>
      <c r="I468" s="843" t="s">
        <v>638</v>
      </c>
      <c r="J468" s="843">
        <v>2</v>
      </c>
      <c r="K468" s="836" t="s">
        <v>631</v>
      </c>
      <c r="L468" s="836" t="s">
        <v>51</v>
      </c>
      <c r="M468">
        <v>19</v>
      </c>
    </row>
    <row r="469" spans="1:13" ht="13.5" customHeight="1" x14ac:dyDescent="0.3">
      <c r="A469" s="850"/>
      <c r="B469" s="847"/>
      <c r="C469" s="847"/>
      <c r="D469" s="843"/>
      <c r="E469" s="843"/>
      <c r="F469" s="843"/>
      <c r="G469" s="847"/>
      <c r="H469" s="269" t="s">
        <v>1827</v>
      </c>
      <c r="I469" s="843"/>
      <c r="J469" s="843"/>
      <c r="K469" s="838"/>
      <c r="L469" s="838"/>
    </row>
    <row r="470" spans="1:13" ht="27" customHeight="1" x14ac:dyDescent="0.3">
      <c r="A470" s="850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7">
        <v>2</v>
      </c>
      <c r="K470" s="25" t="s">
        <v>631</v>
      </c>
      <c r="L470" s="25" t="s">
        <v>51</v>
      </c>
      <c r="M470">
        <v>20</v>
      </c>
    </row>
    <row r="471" spans="1:13" ht="27" customHeight="1" x14ac:dyDescent="0.3">
      <c r="A471" s="851"/>
      <c r="B471" s="258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 x14ac:dyDescent="0.3">
      <c r="A472" s="815" t="s">
        <v>53</v>
      </c>
      <c r="B472" s="815"/>
      <c r="C472" s="815"/>
      <c r="D472" s="815"/>
      <c r="E472" s="815"/>
      <c r="F472" s="815"/>
      <c r="G472" s="815"/>
      <c r="H472" s="815"/>
      <c r="I472" s="815"/>
      <c r="J472" s="25">
        <v>11</v>
      </c>
      <c r="K472" s="25"/>
      <c r="L472" s="25"/>
    </row>
    <row r="473" spans="1:13" ht="20.100000000000001" customHeight="1" x14ac:dyDescent="0.3"/>
    <row r="474" spans="1:13" ht="20.100000000000001" customHeight="1" x14ac:dyDescent="0.3"/>
    <row r="475" spans="1:13" ht="27" customHeight="1" x14ac:dyDescent="0.3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 x14ac:dyDescent="0.3">
      <c r="A476" s="815" t="s">
        <v>228</v>
      </c>
      <c r="B476" s="844" t="s">
        <v>1771</v>
      </c>
      <c r="C476" s="845" t="s">
        <v>311</v>
      </c>
      <c r="D476" s="845" t="s">
        <v>320</v>
      </c>
      <c r="E476" s="845" t="s">
        <v>709</v>
      </c>
      <c r="F476" s="845" t="s">
        <v>1772</v>
      </c>
      <c r="G476" s="844" t="s">
        <v>1773</v>
      </c>
      <c r="H476" s="265" t="s">
        <v>1774</v>
      </c>
      <c r="I476" s="845"/>
      <c r="J476" s="845">
        <v>1</v>
      </c>
      <c r="K476" s="737" t="s">
        <v>631</v>
      </c>
      <c r="L476" s="769" t="s">
        <v>51</v>
      </c>
      <c r="M476">
        <v>18</v>
      </c>
    </row>
    <row r="477" spans="1:13" ht="13.5" customHeight="1" x14ac:dyDescent="0.3">
      <c r="A477" s="815"/>
      <c r="B477" s="844"/>
      <c r="C477" s="845"/>
      <c r="D477" s="845"/>
      <c r="E477" s="845"/>
      <c r="F477" s="845"/>
      <c r="G477" s="844"/>
      <c r="H477" s="266" t="s">
        <v>1777</v>
      </c>
      <c r="I477" s="845"/>
      <c r="J477" s="845"/>
      <c r="K477" s="739"/>
      <c r="L477" s="770"/>
    </row>
    <row r="478" spans="1:13" ht="27" customHeight="1" x14ac:dyDescent="0.3">
      <c r="A478" s="81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 x14ac:dyDescent="0.3">
      <c r="A479" s="815" t="s">
        <v>1650</v>
      </c>
      <c r="B479" s="815"/>
      <c r="C479" s="815"/>
      <c r="D479" s="815"/>
      <c r="E479" s="815"/>
      <c r="F479" s="815"/>
      <c r="G479" s="815"/>
      <c r="H479" s="815"/>
      <c r="I479" s="815"/>
      <c r="J479" s="25">
        <f>SUM(J476:J478)</f>
        <v>3</v>
      </c>
      <c r="K479" s="25"/>
      <c r="L479" s="25"/>
    </row>
    <row r="480" spans="1:13" ht="20.100000000000001" customHeight="1" x14ac:dyDescent="0.3"/>
    <row r="481" spans="1:13" ht="20.100000000000001" customHeight="1" x14ac:dyDescent="0.3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 x14ac:dyDescent="0.3">
      <c r="A482" s="836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 x14ac:dyDescent="0.3">
      <c r="A483" s="83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 x14ac:dyDescent="0.3">
      <c r="A484" s="83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 x14ac:dyDescent="0.3">
      <c r="A485" s="83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 x14ac:dyDescent="0.3">
      <c r="A486" s="83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 x14ac:dyDescent="0.3">
      <c r="A487" s="839" t="s">
        <v>53</v>
      </c>
      <c r="B487" s="840"/>
      <c r="C487" s="840"/>
      <c r="D487" s="840"/>
      <c r="E487" s="840"/>
      <c r="F487" s="840"/>
      <c r="G487" s="840"/>
      <c r="H487" s="840"/>
      <c r="I487" s="841"/>
      <c r="J487" s="25">
        <v>5</v>
      </c>
      <c r="K487" s="26"/>
      <c r="L487" s="55"/>
    </row>
    <row r="490" spans="1:13" x14ac:dyDescent="0.3">
      <c r="A490" t="s">
        <v>2097</v>
      </c>
    </row>
    <row r="492" spans="1:13" x14ac:dyDescent="0.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 x14ac:dyDescent="0.3">
      <c r="A493" s="833" t="s">
        <v>218</v>
      </c>
      <c r="B493" s="250" t="s">
        <v>1916</v>
      </c>
      <c r="C493" s="250" t="s">
        <v>306</v>
      </c>
      <c r="D493" s="250" t="s">
        <v>322</v>
      </c>
      <c r="E493" s="250" t="s">
        <v>307</v>
      </c>
      <c r="F493" s="282" t="s">
        <v>1917</v>
      </c>
      <c r="G493" s="250" t="s">
        <v>1918</v>
      </c>
      <c r="H493" s="282" t="s">
        <v>1919</v>
      </c>
      <c r="I493" s="250" t="s">
        <v>349</v>
      </c>
      <c r="J493" s="250">
        <v>2</v>
      </c>
      <c r="K493" s="25" t="s">
        <v>2185</v>
      </c>
      <c r="L493" s="229">
        <v>23</v>
      </c>
    </row>
    <row r="494" spans="1:13" ht="12.6" customHeight="1" x14ac:dyDescent="0.3">
      <c r="A494" s="834"/>
      <c r="B494" s="835" t="s">
        <v>2186</v>
      </c>
      <c r="C494" s="835" t="s">
        <v>306</v>
      </c>
      <c r="D494" s="835" t="s">
        <v>322</v>
      </c>
      <c r="E494" s="835" t="s">
        <v>307</v>
      </c>
      <c r="F494" s="842" t="s">
        <v>1923</v>
      </c>
      <c r="G494" s="835" t="s">
        <v>662</v>
      </c>
      <c r="H494" s="842" t="s">
        <v>1924</v>
      </c>
      <c r="I494" s="835" t="s">
        <v>349</v>
      </c>
      <c r="J494" s="835">
        <v>2</v>
      </c>
      <c r="K494" s="847" t="s">
        <v>50</v>
      </c>
      <c r="L494" s="229">
        <v>23</v>
      </c>
    </row>
    <row r="495" spans="1:13" ht="12.6" customHeight="1" x14ac:dyDescent="0.3">
      <c r="A495" s="834"/>
      <c r="B495" s="835"/>
      <c r="C495" s="835"/>
      <c r="D495" s="835"/>
      <c r="E495" s="835"/>
      <c r="F495" s="842"/>
      <c r="G495" s="835"/>
      <c r="H495" s="842"/>
      <c r="I495" s="835"/>
      <c r="J495" s="835"/>
      <c r="K495" s="847"/>
    </row>
    <row r="496" spans="1:13" ht="24.95" customHeight="1" x14ac:dyDescent="0.3">
      <c r="A496" s="834"/>
      <c r="B496" s="92" t="s">
        <v>2187</v>
      </c>
      <c r="C496" s="125" t="s">
        <v>306</v>
      </c>
      <c r="D496" s="125" t="s">
        <v>322</v>
      </c>
      <c r="E496" s="125" t="s">
        <v>307</v>
      </c>
      <c r="F496" s="198" t="s">
        <v>2188</v>
      </c>
      <c r="G496" s="125" t="s">
        <v>2189</v>
      </c>
      <c r="H496" s="198" t="s">
        <v>2190</v>
      </c>
      <c r="I496" s="125" t="s">
        <v>94</v>
      </c>
      <c r="J496" s="4">
        <v>6</v>
      </c>
      <c r="K496" s="25" t="s">
        <v>2191</v>
      </c>
      <c r="L496" s="229">
        <v>24</v>
      </c>
    </row>
    <row r="497" spans="1:12" ht="24.95" customHeight="1" x14ac:dyDescent="0.3">
      <c r="A497" s="834"/>
      <c r="B497" s="92" t="s">
        <v>2192</v>
      </c>
      <c r="C497" s="125" t="s">
        <v>306</v>
      </c>
      <c r="D497" s="125" t="s">
        <v>322</v>
      </c>
      <c r="E497" s="125" t="s">
        <v>307</v>
      </c>
      <c r="F497" s="198" t="s">
        <v>1687</v>
      </c>
      <c r="G497" s="125" t="s">
        <v>106</v>
      </c>
      <c r="H497" s="198" t="s">
        <v>2193</v>
      </c>
      <c r="I497" s="125" t="s">
        <v>2194</v>
      </c>
      <c r="J497" s="4">
        <v>4</v>
      </c>
      <c r="K497" s="25" t="s">
        <v>2185</v>
      </c>
      <c r="L497" s="229">
        <v>25</v>
      </c>
    </row>
    <row r="498" spans="1:12" ht="24.95" customHeight="1" x14ac:dyDescent="0.3">
      <c r="A498" s="834"/>
      <c r="B498" s="92" t="s">
        <v>2195</v>
      </c>
      <c r="C498" s="125" t="s">
        <v>306</v>
      </c>
      <c r="D498" s="125" t="s">
        <v>322</v>
      </c>
      <c r="E498" s="125" t="s">
        <v>307</v>
      </c>
      <c r="F498" s="198" t="s">
        <v>2196</v>
      </c>
      <c r="G498" s="125" t="s">
        <v>2197</v>
      </c>
      <c r="H498" s="198" t="s">
        <v>2198</v>
      </c>
      <c r="I498" s="125" t="s">
        <v>94</v>
      </c>
      <c r="J498" s="4">
        <v>2</v>
      </c>
      <c r="K498" s="25" t="s">
        <v>50</v>
      </c>
      <c r="L498" s="229">
        <v>26</v>
      </c>
    </row>
    <row r="499" spans="1:12" ht="24.95" customHeight="1" x14ac:dyDescent="0.3">
      <c r="A499" s="834"/>
      <c r="B499" s="92">
        <v>45472</v>
      </c>
      <c r="C499" s="125" t="s">
        <v>306</v>
      </c>
      <c r="D499" s="125" t="s">
        <v>322</v>
      </c>
      <c r="E499" s="125" t="s">
        <v>307</v>
      </c>
      <c r="F499" s="198">
        <v>3306</v>
      </c>
      <c r="G499" s="125" t="s">
        <v>2199</v>
      </c>
      <c r="H499" s="198" t="s">
        <v>2200</v>
      </c>
      <c r="I499" s="125" t="s">
        <v>94</v>
      </c>
      <c r="J499" s="4">
        <v>4</v>
      </c>
      <c r="K499" s="25" t="s">
        <v>50</v>
      </c>
      <c r="L499" s="229">
        <v>26</v>
      </c>
    </row>
    <row r="500" spans="1:12" x14ac:dyDescent="0.3">
      <c r="A500" s="815" t="s">
        <v>53</v>
      </c>
      <c r="B500" s="815"/>
      <c r="C500" s="815"/>
      <c r="D500" s="815"/>
      <c r="E500" s="815"/>
      <c r="F500" s="815"/>
      <c r="G500" s="815"/>
      <c r="H500" s="815"/>
      <c r="I500" s="815"/>
      <c r="J500" s="25">
        <v>20</v>
      </c>
      <c r="K500" s="26"/>
    </row>
    <row r="503" spans="1:12" x14ac:dyDescent="0.3">
      <c r="A503" t="s">
        <v>2201</v>
      </c>
    </row>
    <row r="505" spans="1:12" ht="27" x14ac:dyDescent="0.3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 x14ac:dyDescent="0.3">
      <c r="A506" s="649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9">
        <v>22</v>
      </c>
    </row>
    <row r="507" spans="1:12" ht="27" x14ac:dyDescent="0.3">
      <c r="A507" s="649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9">
        <v>22</v>
      </c>
    </row>
    <row r="508" spans="1:12" ht="27" x14ac:dyDescent="0.3">
      <c r="A508" s="64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9">
        <v>24</v>
      </c>
    </row>
    <row r="509" spans="1:12" ht="40.5" x14ac:dyDescent="0.3">
      <c r="A509" s="649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9">
        <v>24</v>
      </c>
    </row>
    <row r="510" spans="1:12" ht="27" x14ac:dyDescent="0.3">
      <c r="A510" s="649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9">
        <v>26</v>
      </c>
    </row>
    <row r="511" spans="1:12" x14ac:dyDescent="0.3">
      <c r="A511" s="815" t="s">
        <v>2221</v>
      </c>
      <c r="B511" s="815"/>
      <c r="C511" s="815"/>
      <c r="D511" s="815"/>
      <c r="E511" s="815"/>
      <c r="F511" s="815"/>
      <c r="G511" s="815"/>
      <c r="H511" s="815"/>
      <c r="I511" s="815"/>
      <c r="J511" s="25">
        <v>6</v>
      </c>
      <c r="K511" s="26"/>
    </row>
    <row r="514" spans="1:13" x14ac:dyDescent="0.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 x14ac:dyDescent="0.3">
      <c r="A515" s="649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 x14ac:dyDescent="0.3">
      <c r="A516" s="649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 x14ac:dyDescent="0.3">
      <c r="A517" s="649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 x14ac:dyDescent="0.3">
      <c r="A518" s="649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 x14ac:dyDescent="0.3">
      <c r="A519" s="649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 x14ac:dyDescent="0.3">
      <c r="A520" s="649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 x14ac:dyDescent="0.3">
      <c r="A521" s="649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 x14ac:dyDescent="0.3">
      <c r="A522" s="649" t="s">
        <v>2237</v>
      </c>
      <c r="B522" s="649"/>
      <c r="C522" s="649"/>
      <c r="D522" s="649"/>
      <c r="E522" s="649"/>
      <c r="F522" s="649"/>
      <c r="G522" s="649"/>
      <c r="H522" s="649"/>
      <c r="I522" s="649"/>
      <c r="J522" s="25">
        <v>12</v>
      </c>
      <c r="K522" s="25"/>
    </row>
    <row r="526" spans="1:13" ht="27" x14ac:dyDescent="0.3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 x14ac:dyDescent="0.3">
      <c r="A527" s="198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 x14ac:dyDescent="0.3">
      <c r="A528" s="815" t="s">
        <v>2242</v>
      </c>
      <c r="B528" s="815"/>
      <c r="C528" s="815"/>
      <c r="D528" s="815"/>
      <c r="E528" s="815"/>
      <c r="F528" s="815"/>
      <c r="G528" s="815"/>
      <c r="H528" s="815"/>
      <c r="I528" s="815"/>
      <c r="J528" s="25">
        <v>1</v>
      </c>
      <c r="K528" s="25"/>
      <c r="L528" s="25"/>
    </row>
    <row r="531" spans="1:13" ht="27" x14ac:dyDescent="0.3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 x14ac:dyDescent="0.3">
      <c r="A532" s="649" t="s">
        <v>2243</v>
      </c>
      <c r="B532" s="92">
        <v>45439</v>
      </c>
      <c r="C532" s="252" t="s">
        <v>311</v>
      </c>
      <c r="D532" s="250" t="s">
        <v>320</v>
      </c>
      <c r="E532" s="252" t="s">
        <v>337</v>
      </c>
      <c r="F532" s="252" t="s">
        <v>353</v>
      </c>
      <c r="G532" s="252" t="s">
        <v>1940</v>
      </c>
      <c r="H532" s="282" t="s">
        <v>1941</v>
      </c>
      <c r="I532" s="250" t="s">
        <v>638</v>
      </c>
      <c r="J532" s="4">
        <v>1</v>
      </c>
      <c r="K532" s="25" t="s">
        <v>2185</v>
      </c>
      <c r="L532" s="229">
        <v>23</v>
      </c>
    </row>
    <row r="533" spans="1:13" ht="40.5" x14ac:dyDescent="0.3">
      <c r="A533" s="649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9">
        <v>25</v>
      </c>
    </row>
    <row r="534" spans="1:13" ht="27" x14ac:dyDescent="0.3">
      <c r="A534" s="649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9">
        <v>26</v>
      </c>
    </row>
    <row r="535" spans="1:13" x14ac:dyDescent="0.3">
      <c r="A535" s="815" t="s">
        <v>2237</v>
      </c>
      <c r="B535" s="815"/>
      <c r="C535" s="815"/>
      <c r="D535" s="815"/>
      <c r="E535" s="815"/>
      <c r="F535" s="815"/>
      <c r="G535" s="815"/>
      <c r="H535" s="815"/>
      <c r="I535" s="815"/>
      <c r="J535" s="25">
        <v>4</v>
      </c>
      <c r="K535" s="26"/>
    </row>
    <row r="538" spans="1:13" ht="27" x14ac:dyDescent="0.3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 x14ac:dyDescent="0.3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 x14ac:dyDescent="0.3">
      <c r="A540" s="839" t="s">
        <v>2242</v>
      </c>
      <c r="B540" s="840"/>
      <c r="C540" s="840"/>
      <c r="D540" s="840"/>
      <c r="E540" s="840"/>
      <c r="F540" s="840"/>
      <c r="G540" s="840"/>
      <c r="H540" s="840"/>
      <c r="I540" s="841"/>
      <c r="J540" s="25">
        <v>2</v>
      </c>
      <c r="K540" s="26"/>
      <c r="L540" s="55"/>
    </row>
    <row r="543" spans="1:13" ht="27" x14ac:dyDescent="0.3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 x14ac:dyDescent="0.3">
      <c r="A544" s="815" t="s">
        <v>2259</v>
      </c>
      <c r="B544" s="283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8" t="s">
        <v>2262</v>
      </c>
      <c r="I544" s="284" t="s">
        <v>2263</v>
      </c>
      <c r="J544" s="125">
        <v>2</v>
      </c>
      <c r="K544" s="223" t="s">
        <v>2185</v>
      </c>
      <c r="L544" s="31" t="s">
        <v>2241</v>
      </c>
      <c r="M544">
        <v>22</v>
      </c>
    </row>
    <row r="545" spans="1:13" x14ac:dyDescent="0.3">
      <c r="A545" s="815"/>
      <c r="B545" s="223" t="s">
        <v>1916</v>
      </c>
      <c r="C545" s="223" t="s">
        <v>311</v>
      </c>
      <c r="D545" s="125" t="s">
        <v>320</v>
      </c>
      <c r="E545" s="223" t="s">
        <v>690</v>
      </c>
      <c r="F545" s="223" t="s">
        <v>1934</v>
      </c>
      <c r="G545" s="223" t="s">
        <v>662</v>
      </c>
      <c r="H545" s="285" t="s">
        <v>2264</v>
      </c>
      <c r="I545" s="125"/>
      <c r="J545" s="125">
        <v>1</v>
      </c>
      <c r="K545" s="223" t="s">
        <v>2185</v>
      </c>
      <c r="L545" s="31" t="s">
        <v>2241</v>
      </c>
      <c r="M545">
        <v>23</v>
      </c>
    </row>
    <row r="546" spans="1:13" x14ac:dyDescent="0.3">
      <c r="A546" s="854" t="s">
        <v>2237</v>
      </c>
      <c r="B546" s="854"/>
      <c r="C546" s="854"/>
      <c r="D546" s="854"/>
      <c r="E546" s="854"/>
      <c r="F546" s="854"/>
      <c r="G546" s="854"/>
      <c r="H546" s="854"/>
      <c r="I546" s="854"/>
      <c r="J546" s="25">
        <v>3</v>
      </c>
      <c r="K546" s="25"/>
      <c r="L546" s="25"/>
    </row>
    <row r="548" spans="1:13" x14ac:dyDescent="0.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 x14ac:dyDescent="0.3">
      <c r="A549" s="281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8" t="s">
        <v>2266</v>
      </c>
      <c r="G549" s="125" t="s">
        <v>2189</v>
      </c>
      <c r="H549" s="198" t="s">
        <v>2267</v>
      </c>
      <c r="I549" s="125" t="s">
        <v>2268</v>
      </c>
      <c r="J549" s="4">
        <v>2</v>
      </c>
      <c r="K549" s="286" t="s">
        <v>2185</v>
      </c>
      <c r="L549" s="31" t="s">
        <v>2241</v>
      </c>
      <c r="M549">
        <v>22</v>
      </c>
    </row>
    <row r="550" spans="1:13" x14ac:dyDescent="0.3">
      <c r="A550" s="815" t="s">
        <v>2237</v>
      </c>
      <c r="B550" s="815"/>
      <c r="C550" s="815"/>
      <c r="D550" s="815"/>
      <c r="E550" s="815"/>
      <c r="F550" s="815"/>
      <c r="G550" s="815"/>
      <c r="H550" s="815"/>
      <c r="I550" s="815"/>
      <c r="J550" s="25">
        <v>2</v>
      </c>
      <c r="K550" s="25"/>
      <c r="L550" s="25"/>
    </row>
    <row r="553" spans="1:13" ht="27" x14ac:dyDescent="0.3">
      <c r="A553" s="287" t="s">
        <v>2222</v>
      </c>
      <c r="B553" s="287" t="s">
        <v>2269</v>
      </c>
      <c r="C553" s="288" t="s">
        <v>2</v>
      </c>
      <c r="D553" s="288" t="s">
        <v>3</v>
      </c>
      <c r="E553" s="288" t="s">
        <v>4</v>
      </c>
      <c r="F553" s="288" t="s">
        <v>5</v>
      </c>
      <c r="G553" s="288" t="s">
        <v>6</v>
      </c>
      <c r="H553" s="289" t="s">
        <v>2225</v>
      </c>
      <c r="I553" s="288" t="s">
        <v>2226</v>
      </c>
      <c r="J553" s="290" t="s">
        <v>2184</v>
      </c>
      <c r="K553" s="291" t="s">
        <v>2227</v>
      </c>
      <c r="L553" s="291" t="s">
        <v>2238</v>
      </c>
    </row>
    <row r="554" spans="1:13" ht="27" x14ac:dyDescent="0.3">
      <c r="A554" s="832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5" t="s">
        <v>1418</v>
      </c>
      <c r="G554" s="125" t="s">
        <v>1915</v>
      </c>
      <c r="H554" s="285" t="s">
        <v>1154</v>
      </c>
      <c r="I554" s="125" t="s">
        <v>664</v>
      </c>
      <c r="J554" s="125">
        <v>2</v>
      </c>
      <c r="K554" s="223" t="s">
        <v>2185</v>
      </c>
      <c r="L554" s="223" t="s">
        <v>2241</v>
      </c>
      <c r="M554">
        <v>23</v>
      </c>
    </row>
    <row r="555" spans="1:13" ht="27" x14ac:dyDescent="0.3">
      <c r="A555" s="832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5">
        <v>4267</v>
      </c>
      <c r="G555" s="125" t="s">
        <v>640</v>
      </c>
      <c r="H555" s="285" t="s">
        <v>1154</v>
      </c>
      <c r="I555" s="125" t="s">
        <v>664</v>
      </c>
      <c r="J555" s="125">
        <v>2</v>
      </c>
      <c r="K555" s="223" t="s">
        <v>2185</v>
      </c>
      <c r="L555" s="223" t="s">
        <v>2241</v>
      </c>
    </row>
    <row r="556" spans="1:13" ht="27" x14ac:dyDescent="0.3">
      <c r="A556" s="832"/>
      <c r="B556" s="292" t="s">
        <v>2272</v>
      </c>
      <c r="C556" s="125" t="s">
        <v>306</v>
      </c>
      <c r="D556" s="125" t="s">
        <v>322</v>
      </c>
      <c r="E556" s="125" t="s">
        <v>307</v>
      </c>
      <c r="F556" s="198" t="s">
        <v>2196</v>
      </c>
      <c r="G556" s="125" t="s">
        <v>2273</v>
      </c>
      <c r="H556" s="198" t="s">
        <v>2274</v>
      </c>
      <c r="I556" s="125" t="s">
        <v>220</v>
      </c>
      <c r="J556" s="125">
        <v>2</v>
      </c>
      <c r="K556" s="223" t="s">
        <v>2185</v>
      </c>
      <c r="L556" s="223" t="s">
        <v>2241</v>
      </c>
    </row>
    <row r="557" spans="1:13" ht="27" x14ac:dyDescent="0.3">
      <c r="A557" s="832"/>
      <c r="B557" s="292" t="s">
        <v>2275</v>
      </c>
      <c r="C557" s="125" t="s">
        <v>306</v>
      </c>
      <c r="D557" s="125" t="s">
        <v>322</v>
      </c>
      <c r="E557" s="125" t="s">
        <v>307</v>
      </c>
      <c r="F557" s="198">
        <v>4267</v>
      </c>
      <c r="G557" s="125" t="s">
        <v>2276</v>
      </c>
      <c r="H557" s="198" t="s">
        <v>2274</v>
      </c>
      <c r="I557" s="125" t="s">
        <v>2268</v>
      </c>
      <c r="J557" s="125">
        <v>2</v>
      </c>
      <c r="K557" s="223" t="s">
        <v>2185</v>
      </c>
      <c r="L557" s="223" t="s">
        <v>2241</v>
      </c>
    </row>
    <row r="558" spans="1:13" x14ac:dyDescent="0.3">
      <c r="A558" s="832"/>
      <c r="B558" s="292" t="s">
        <v>2277</v>
      </c>
      <c r="C558" s="125" t="s">
        <v>306</v>
      </c>
      <c r="D558" s="125" t="s">
        <v>322</v>
      </c>
      <c r="E558" s="125" t="s">
        <v>307</v>
      </c>
      <c r="F558" s="198">
        <v>3306</v>
      </c>
      <c r="G558" s="125" t="s">
        <v>2199</v>
      </c>
      <c r="H558" s="198" t="s">
        <v>2278</v>
      </c>
      <c r="I558" s="125" t="s">
        <v>2268</v>
      </c>
      <c r="J558" s="125">
        <v>1</v>
      </c>
      <c r="K558" s="223" t="s">
        <v>2185</v>
      </c>
      <c r="L558" s="223" t="s">
        <v>2241</v>
      </c>
    </row>
    <row r="559" spans="1:13" x14ac:dyDescent="0.3">
      <c r="A559" s="832"/>
      <c r="B559" s="292" t="s">
        <v>2279</v>
      </c>
      <c r="C559" s="125" t="s">
        <v>306</v>
      </c>
      <c r="D559" s="125" t="s">
        <v>322</v>
      </c>
      <c r="E559" s="125" t="s">
        <v>307</v>
      </c>
      <c r="F559" s="198" t="s">
        <v>2196</v>
      </c>
      <c r="G559" s="125" t="s">
        <v>2273</v>
      </c>
      <c r="H559" s="198" t="s">
        <v>2280</v>
      </c>
      <c r="I559" s="125" t="s">
        <v>2268</v>
      </c>
      <c r="J559" s="125">
        <v>1</v>
      </c>
      <c r="K559" s="223" t="s">
        <v>2185</v>
      </c>
      <c r="L559" s="223" t="s">
        <v>2241</v>
      </c>
    </row>
    <row r="560" spans="1:13" ht="27" x14ac:dyDescent="0.3">
      <c r="A560" s="832"/>
      <c r="B560" s="292" t="s">
        <v>2281</v>
      </c>
      <c r="C560" s="125" t="s">
        <v>306</v>
      </c>
      <c r="D560" s="125" t="s">
        <v>322</v>
      </c>
      <c r="E560" s="125" t="s">
        <v>307</v>
      </c>
      <c r="F560" s="198">
        <v>3306</v>
      </c>
      <c r="G560" s="125" t="s">
        <v>2199</v>
      </c>
      <c r="H560" s="198" t="s">
        <v>2282</v>
      </c>
      <c r="I560" s="125" t="s">
        <v>2268</v>
      </c>
      <c r="J560" s="125">
        <v>2</v>
      </c>
      <c r="K560" s="223" t="s">
        <v>2185</v>
      </c>
      <c r="L560" s="223" t="s">
        <v>2241</v>
      </c>
    </row>
    <row r="561" spans="1:12" ht="27" x14ac:dyDescent="0.3">
      <c r="A561" s="832"/>
      <c r="B561" s="292" t="s">
        <v>2283</v>
      </c>
      <c r="C561" s="125" t="s">
        <v>306</v>
      </c>
      <c r="D561" s="125" t="s">
        <v>322</v>
      </c>
      <c r="E561" s="125" t="s">
        <v>307</v>
      </c>
      <c r="F561" s="198" t="s">
        <v>2284</v>
      </c>
      <c r="G561" s="125" t="s">
        <v>2285</v>
      </c>
      <c r="H561" s="198" t="s">
        <v>2286</v>
      </c>
      <c r="I561" s="125" t="s">
        <v>2268</v>
      </c>
      <c r="J561" s="125">
        <v>2</v>
      </c>
      <c r="K561" s="223" t="s">
        <v>2185</v>
      </c>
      <c r="L561" s="223" t="s">
        <v>2241</v>
      </c>
    </row>
    <row r="562" spans="1:12" ht="27" x14ac:dyDescent="0.3">
      <c r="A562" s="832"/>
      <c r="B562" s="292" t="s">
        <v>2287</v>
      </c>
      <c r="C562" s="125" t="s">
        <v>306</v>
      </c>
      <c r="D562" s="125" t="s">
        <v>322</v>
      </c>
      <c r="E562" s="125" t="s">
        <v>307</v>
      </c>
      <c r="F562" s="198" t="s">
        <v>2288</v>
      </c>
      <c r="G562" s="125" t="s">
        <v>2289</v>
      </c>
      <c r="H562" s="198" t="s">
        <v>2290</v>
      </c>
      <c r="I562" s="125" t="s">
        <v>2268</v>
      </c>
      <c r="J562" s="125">
        <v>2</v>
      </c>
      <c r="K562" s="223" t="s">
        <v>2185</v>
      </c>
      <c r="L562" s="223" t="s">
        <v>2241</v>
      </c>
    </row>
    <row r="563" spans="1:12" x14ac:dyDescent="0.3">
      <c r="A563" s="832"/>
      <c r="B563" s="292">
        <v>45469</v>
      </c>
      <c r="C563" s="125" t="s">
        <v>306</v>
      </c>
      <c r="D563" s="125" t="s">
        <v>322</v>
      </c>
      <c r="E563" s="125" t="s">
        <v>307</v>
      </c>
      <c r="F563" s="198">
        <v>4267</v>
      </c>
      <c r="G563" s="125" t="s">
        <v>2276</v>
      </c>
      <c r="H563" s="198" t="s">
        <v>2291</v>
      </c>
      <c r="I563" s="125" t="s">
        <v>2268</v>
      </c>
      <c r="J563" s="125">
        <v>1</v>
      </c>
      <c r="K563" s="223" t="s">
        <v>2185</v>
      </c>
      <c r="L563" s="223" t="s">
        <v>2241</v>
      </c>
    </row>
    <row r="564" spans="1:12" ht="27" x14ac:dyDescent="0.3">
      <c r="A564" s="832"/>
      <c r="B564" s="292" t="s">
        <v>2292</v>
      </c>
      <c r="C564" s="125" t="s">
        <v>306</v>
      </c>
      <c r="D564" s="125" t="s">
        <v>322</v>
      </c>
      <c r="E564" s="125" t="s">
        <v>307</v>
      </c>
      <c r="F564" s="198" t="s">
        <v>2293</v>
      </c>
      <c r="G564" s="125" t="s">
        <v>2294</v>
      </c>
      <c r="H564" s="198" t="s">
        <v>2286</v>
      </c>
      <c r="I564" s="125" t="s">
        <v>2268</v>
      </c>
      <c r="J564" s="125">
        <v>2</v>
      </c>
      <c r="K564" s="223" t="s">
        <v>2185</v>
      </c>
      <c r="L564" s="223" t="s">
        <v>2241</v>
      </c>
    </row>
    <row r="565" spans="1:12" x14ac:dyDescent="0.3">
      <c r="A565" s="815" t="s">
        <v>2237</v>
      </c>
      <c r="B565" s="815"/>
      <c r="C565" s="815"/>
      <c r="D565" s="815"/>
      <c r="E565" s="815"/>
      <c r="F565" s="815"/>
      <c r="G565" s="815"/>
      <c r="H565" s="815"/>
      <c r="I565" s="815"/>
      <c r="J565" s="31">
        <v>19</v>
      </c>
      <c r="K565" s="57"/>
      <c r="L565" s="382"/>
    </row>
    <row r="568" spans="1:12" ht="27" x14ac:dyDescent="0.3">
      <c r="A568" s="287" t="s">
        <v>2222</v>
      </c>
      <c r="B568" s="287" t="s">
        <v>2269</v>
      </c>
      <c r="C568" s="288" t="s">
        <v>2</v>
      </c>
      <c r="D568" s="288" t="s">
        <v>3</v>
      </c>
      <c r="E568" s="288" t="s">
        <v>4</v>
      </c>
      <c r="F568" s="288" t="s">
        <v>5</v>
      </c>
      <c r="G568" s="288" t="s">
        <v>6</v>
      </c>
      <c r="H568" s="289" t="s">
        <v>2225</v>
      </c>
      <c r="I568" s="288" t="s">
        <v>2226</v>
      </c>
      <c r="J568" s="290" t="s">
        <v>2184</v>
      </c>
      <c r="K568" s="291" t="s">
        <v>2227</v>
      </c>
    </row>
    <row r="569" spans="1:12" x14ac:dyDescent="0.3">
      <c r="B569" s="250" t="s">
        <v>1910</v>
      </c>
      <c r="C569" s="685" t="s">
        <v>306</v>
      </c>
      <c r="D569" s="685" t="s">
        <v>322</v>
      </c>
      <c r="E569" s="685" t="s">
        <v>307</v>
      </c>
      <c r="F569" s="685">
        <v>3306</v>
      </c>
      <c r="G569" s="685" t="s">
        <v>1153</v>
      </c>
      <c r="H569" s="685" t="s">
        <v>1911</v>
      </c>
      <c r="I569" s="685" t="s">
        <v>1111</v>
      </c>
      <c r="J569" s="685" t="s">
        <v>692</v>
      </c>
      <c r="K569" s="883" t="s">
        <v>2295</v>
      </c>
    </row>
    <row r="570" spans="1:12" x14ac:dyDescent="0.3">
      <c r="B570" s="250" t="s">
        <v>1913</v>
      </c>
      <c r="C570" s="686"/>
      <c r="D570" s="686"/>
      <c r="E570" s="686"/>
      <c r="F570" s="686"/>
      <c r="G570" s="686"/>
      <c r="H570" s="686"/>
      <c r="I570" s="686"/>
      <c r="J570" s="686"/>
      <c r="K570" s="884"/>
    </row>
    <row r="572" spans="1:12" x14ac:dyDescent="0.3">
      <c r="A572" t="s">
        <v>2472</v>
      </c>
    </row>
    <row r="574" spans="1:12" x14ac:dyDescent="0.3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 x14ac:dyDescent="0.3">
      <c r="A575" s="833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8">
        <v>3306</v>
      </c>
      <c r="G575" s="125" t="s">
        <v>2367</v>
      </c>
      <c r="H575" s="198" t="s">
        <v>2368</v>
      </c>
      <c r="I575" s="125" t="s">
        <v>2369</v>
      </c>
      <c r="J575" s="4">
        <v>4</v>
      </c>
      <c r="K575" s="25" t="s">
        <v>631</v>
      </c>
      <c r="L575" s="229">
        <v>27</v>
      </c>
    </row>
    <row r="576" spans="1:12" x14ac:dyDescent="0.3">
      <c r="A576" s="834"/>
      <c r="B576" s="92">
        <v>45479</v>
      </c>
      <c r="C576" s="125" t="s">
        <v>306</v>
      </c>
      <c r="D576" s="125" t="s">
        <v>322</v>
      </c>
      <c r="E576" s="125" t="s">
        <v>307</v>
      </c>
      <c r="F576" s="198">
        <v>4267</v>
      </c>
      <c r="G576" s="125" t="s">
        <v>18</v>
      </c>
      <c r="H576" s="198" t="s">
        <v>2370</v>
      </c>
      <c r="I576" s="125" t="s">
        <v>2371</v>
      </c>
      <c r="J576" s="4">
        <v>2</v>
      </c>
      <c r="K576" s="25" t="s">
        <v>2372</v>
      </c>
      <c r="L576" s="229">
        <v>27</v>
      </c>
    </row>
    <row r="577" spans="1:12" ht="27" x14ac:dyDescent="0.3">
      <c r="A577" s="834"/>
      <c r="B577" s="92" t="s">
        <v>2373</v>
      </c>
      <c r="C577" s="125" t="s">
        <v>306</v>
      </c>
      <c r="D577" s="125" t="s">
        <v>322</v>
      </c>
      <c r="E577" s="125" t="s">
        <v>307</v>
      </c>
      <c r="F577" s="198">
        <v>3306</v>
      </c>
      <c r="G577" s="125" t="s">
        <v>2367</v>
      </c>
      <c r="H577" s="198" t="s">
        <v>2374</v>
      </c>
      <c r="I577" s="125" t="s">
        <v>292</v>
      </c>
      <c r="J577" s="4">
        <v>6</v>
      </c>
      <c r="K577" s="25" t="s">
        <v>631</v>
      </c>
      <c r="L577" s="229">
        <v>28</v>
      </c>
    </row>
    <row r="578" spans="1:12" x14ac:dyDescent="0.3">
      <c r="A578" s="834"/>
      <c r="B578" s="122" t="s">
        <v>2126</v>
      </c>
      <c r="C578" s="207" t="s">
        <v>306</v>
      </c>
      <c r="D578" s="207" t="s">
        <v>322</v>
      </c>
      <c r="E578" s="207" t="s">
        <v>307</v>
      </c>
      <c r="F578" s="198">
        <v>4267</v>
      </c>
      <c r="G578" s="125" t="s">
        <v>2375</v>
      </c>
      <c r="H578" s="208" t="s">
        <v>2376</v>
      </c>
      <c r="I578" s="125" t="s">
        <v>2377</v>
      </c>
      <c r="J578" s="4">
        <v>2</v>
      </c>
      <c r="K578" s="25" t="s">
        <v>2378</v>
      </c>
      <c r="L578" s="229">
        <v>29</v>
      </c>
    </row>
    <row r="579" spans="1:12" x14ac:dyDescent="0.3">
      <c r="A579" s="834"/>
      <c r="B579" s="122" t="s">
        <v>2126</v>
      </c>
      <c r="C579" s="207" t="s">
        <v>306</v>
      </c>
      <c r="D579" s="207" t="s">
        <v>322</v>
      </c>
      <c r="E579" s="207" t="s">
        <v>307</v>
      </c>
      <c r="F579" s="198">
        <v>3306</v>
      </c>
      <c r="G579" s="125" t="s">
        <v>2367</v>
      </c>
      <c r="H579" s="208" t="s">
        <v>2128</v>
      </c>
      <c r="I579" s="125" t="s">
        <v>292</v>
      </c>
      <c r="J579" s="4">
        <v>2</v>
      </c>
      <c r="K579" s="25" t="s">
        <v>2378</v>
      </c>
      <c r="L579" s="229">
        <v>29</v>
      </c>
    </row>
    <row r="580" spans="1:12" ht="27" x14ac:dyDescent="0.3">
      <c r="A580" s="834"/>
      <c r="B580" s="92" t="s">
        <v>2144</v>
      </c>
      <c r="C580" s="125" t="s">
        <v>306</v>
      </c>
      <c r="D580" s="125" t="s">
        <v>322</v>
      </c>
      <c r="E580" s="125" t="s">
        <v>307</v>
      </c>
      <c r="F580" s="198" t="s">
        <v>2379</v>
      </c>
      <c r="G580" s="125" t="s">
        <v>2380</v>
      </c>
      <c r="H580" s="208" t="s">
        <v>2381</v>
      </c>
      <c r="I580" s="207" t="s">
        <v>292</v>
      </c>
      <c r="J580" s="4">
        <v>6</v>
      </c>
      <c r="K580" s="25" t="s">
        <v>631</v>
      </c>
      <c r="L580" s="229">
        <v>30</v>
      </c>
    </row>
    <row r="581" spans="1:12" x14ac:dyDescent="0.3">
      <c r="A581" s="834"/>
      <c r="B581" s="92" t="s">
        <v>2382</v>
      </c>
      <c r="C581" s="125" t="s">
        <v>306</v>
      </c>
      <c r="D581" s="125" t="s">
        <v>322</v>
      </c>
      <c r="E581" s="125" t="s">
        <v>307</v>
      </c>
      <c r="F581" s="198" t="s">
        <v>2383</v>
      </c>
      <c r="G581" s="125" t="s">
        <v>2384</v>
      </c>
      <c r="H581" s="198" t="s">
        <v>2177</v>
      </c>
      <c r="I581" s="125" t="s">
        <v>2385</v>
      </c>
      <c r="J581" s="4">
        <v>2</v>
      </c>
      <c r="K581" s="25" t="s">
        <v>631</v>
      </c>
      <c r="L581" s="229">
        <v>31</v>
      </c>
    </row>
    <row r="582" spans="1:12" x14ac:dyDescent="0.3">
      <c r="A582" s="815" t="s">
        <v>1458</v>
      </c>
      <c r="B582" s="815"/>
      <c r="C582" s="815"/>
      <c r="D582" s="815"/>
      <c r="E582" s="815"/>
      <c r="F582" s="815"/>
      <c r="G582" s="815"/>
      <c r="H582" s="815"/>
      <c r="I582" s="815"/>
      <c r="J582" s="25">
        <v>24</v>
      </c>
      <c r="K582" s="26"/>
    </row>
    <row r="585" spans="1:12" ht="27" x14ac:dyDescent="0.3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 x14ac:dyDescent="0.3">
      <c r="A586" s="649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9">
        <v>24</v>
      </c>
    </row>
    <row r="587" spans="1:12" ht="40.5" x14ac:dyDescent="0.3">
      <c r="A587" s="649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9">
        <v>28</v>
      </c>
    </row>
    <row r="588" spans="1:12" x14ac:dyDescent="0.3">
      <c r="A588" s="815" t="s">
        <v>2397</v>
      </c>
      <c r="B588" s="815"/>
      <c r="C588" s="815"/>
      <c r="D588" s="815"/>
      <c r="E588" s="815"/>
      <c r="F588" s="815"/>
      <c r="G588" s="815"/>
      <c r="H588" s="815"/>
      <c r="I588" s="815"/>
      <c r="J588" s="25">
        <v>3</v>
      </c>
      <c r="K588" s="26"/>
    </row>
    <row r="590" spans="1:12" x14ac:dyDescent="0.3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 x14ac:dyDescent="0.3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 x14ac:dyDescent="0.3">
      <c r="A592" s="649" t="s">
        <v>2410</v>
      </c>
      <c r="B592" s="649"/>
      <c r="C592" s="649"/>
      <c r="D592" s="649"/>
      <c r="E592" s="649"/>
      <c r="F592" s="649"/>
      <c r="G592" s="649"/>
      <c r="H592" s="649"/>
      <c r="I592" s="649"/>
      <c r="J592" s="25">
        <v>1</v>
      </c>
      <c r="K592" s="25"/>
    </row>
    <row r="594" spans="1:12" x14ac:dyDescent="0.3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 x14ac:dyDescent="0.3">
      <c r="A595" s="649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 x14ac:dyDescent="0.3">
      <c r="A596" s="649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 x14ac:dyDescent="0.3">
      <c r="A597" s="649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 x14ac:dyDescent="0.3">
      <c r="A598" s="649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 x14ac:dyDescent="0.3">
      <c r="A599" s="649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 x14ac:dyDescent="0.3">
      <c r="A600" s="649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 x14ac:dyDescent="0.3">
      <c r="A601" s="649" t="s">
        <v>2410</v>
      </c>
      <c r="B601" s="649"/>
      <c r="C601" s="649"/>
      <c r="D601" s="649"/>
      <c r="E601" s="649"/>
      <c r="F601" s="649"/>
      <c r="G601" s="649"/>
      <c r="H601" s="649"/>
      <c r="I601" s="649"/>
      <c r="J601" s="25">
        <v>9</v>
      </c>
      <c r="K601" s="25"/>
    </row>
    <row r="604" spans="1:12" ht="27" x14ac:dyDescent="0.3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 x14ac:dyDescent="0.3">
      <c r="A605" s="198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 x14ac:dyDescent="0.3">
      <c r="A606" s="815" t="s">
        <v>2441</v>
      </c>
      <c r="B606" s="815"/>
      <c r="C606" s="815"/>
      <c r="D606" s="815"/>
      <c r="E606" s="815"/>
      <c r="F606" s="815"/>
      <c r="G606" s="815"/>
      <c r="H606" s="815"/>
      <c r="I606" s="815"/>
      <c r="J606" s="25">
        <v>1</v>
      </c>
      <c r="K606" s="25"/>
      <c r="L606" s="25"/>
    </row>
    <row r="609" spans="1:12" ht="27" x14ac:dyDescent="0.3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 x14ac:dyDescent="0.3">
      <c r="A610" s="649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53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9">
        <v>27</v>
      </c>
    </row>
    <row r="611" spans="1:12" ht="40.5" x14ac:dyDescent="0.3">
      <c r="A611" s="649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9">
        <v>29</v>
      </c>
    </row>
    <row r="612" spans="1:12" x14ac:dyDescent="0.3">
      <c r="A612" s="649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9">
        <v>29</v>
      </c>
    </row>
    <row r="613" spans="1:12" x14ac:dyDescent="0.3">
      <c r="A613" s="815" t="s">
        <v>2410</v>
      </c>
      <c r="B613" s="815"/>
      <c r="C613" s="815"/>
      <c r="D613" s="815"/>
      <c r="E613" s="815"/>
      <c r="F613" s="815"/>
      <c r="G613" s="815"/>
      <c r="H613" s="815"/>
      <c r="I613" s="815"/>
      <c r="J613" s="25">
        <v>3</v>
      </c>
      <c r="K613" s="26"/>
    </row>
    <row r="616" spans="1:12" ht="27" x14ac:dyDescent="0.3">
      <c r="A616" s="287" t="s">
        <v>2398</v>
      </c>
      <c r="B616" s="287" t="s">
        <v>2450</v>
      </c>
      <c r="C616" s="288" t="s">
        <v>2</v>
      </c>
      <c r="D616" s="288" t="s">
        <v>3</v>
      </c>
      <c r="E616" s="288" t="s">
        <v>4</v>
      </c>
      <c r="F616" s="288" t="s">
        <v>5</v>
      </c>
      <c r="G616" s="288" t="s">
        <v>6</v>
      </c>
      <c r="H616" s="289" t="s">
        <v>2429</v>
      </c>
      <c r="I616" s="288" t="s">
        <v>2412</v>
      </c>
      <c r="J616" s="290" t="s">
        <v>2401</v>
      </c>
      <c r="K616" s="291" t="s">
        <v>2413</v>
      </c>
    </row>
    <row r="617" spans="1:12" ht="27" x14ac:dyDescent="0.3">
      <c r="A617" s="832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8" t="s">
        <v>2453</v>
      </c>
      <c r="G617" s="125" t="s">
        <v>2454</v>
      </c>
      <c r="H617" s="198" t="s">
        <v>2455</v>
      </c>
      <c r="I617" s="125" t="s">
        <v>2456</v>
      </c>
      <c r="J617" s="4">
        <v>2</v>
      </c>
      <c r="K617" s="223" t="s">
        <v>2378</v>
      </c>
      <c r="L617" s="229">
        <v>27</v>
      </c>
    </row>
    <row r="618" spans="1:12" x14ac:dyDescent="0.3">
      <c r="A618" s="832"/>
      <c r="B618" s="92">
        <v>45476</v>
      </c>
      <c r="C618" s="125" t="s">
        <v>306</v>
      </c>
      <c r="D618" s="125" t="s">
        <v>322</v>
      </c>
      <c r="E618" s="125" t="s">
        <v>307</v>
      </c>
      <c r="F618" s="198">
        <v>4267</v>
      </c>
      <c r="G618" s="125" t="s">
        <v>2375</v>
      </c>
      <c r="H618" s="198" t="s">
        <v>2457</v>
      </c>
      <c r="I618" s="125" t="s">
        <v>2456</v>
      </c>
      <c r="J618" s="4">
        <v>1</v>
      </c>
      <c r="K618" s="223" t="s">
        <v>2378</v>
      </c>
      <c r="L618" s="229">
        <v>27</v>
      </c>
    </row>
    <row r="619" spans="1:12" ht="27" x14ac:dyDescent="0.3">
      <c r="A619" s="832"/>
      <c r="B619" s="92" t="s">
        <v>2366</v>
      </c>
      <c r="C619" s="125" t="s">
        <v>306</v>
      </c>
      <c r="D619" s="125" t="s">
        <v>322</v>
      </c>
      <c r="E619" s="125" t="s">
        <v>307</v>
      </c>
      <c r="F619" s="198" t="s">
        <v>2458</v>
      </c>
      <c r="G619" s="125" t="s">
        <v>2459</v>
      </c>
      <c r="H619" s="198" t="s">
        <v>2455</v>
      </c>
      <c r="I619" s="125" t="s">
        <v>2456</v>
      </c>
      <c r="J619" s="4">
        <v>2</v>
      </c>
      <c r="K619" s="223" t="s">
        <v>2378</v>
      </c>
      <c r="L619" s="229">
        <v>27</v>
      </c>
    </row>
    <row r="620" spans="1:12" ht="27" x14ac:dyDescent="0.3">
      <c r="A620" s="832"/>
      <c r="B620" s="92" t="s">
        <v>2460</v>
      </c>
      <c r="C620" s="125" t="s">
        <v>306</v>
      </c>
      <c r="D620" s="125" t="s">
        <v>322</v>
      </c>
      <c r="E620" s="125" t="s">
        <v>307</v>
      </c>
      <c r="F620" s="198" t="s">
        <v>2458</v>
      </c>
      <c r="G620" s="125" t="s">
        <v>2459</v>
      </c>
      <c r="H620" s="198" t="s">
        <v>2455</v>
      </c>
      <c r="I620" s="125" t="s">
        <v>2456</v>
      </c>
      <c r="J620" s="4">
        <v>3</v>
      </c>
      <c r="K620" s="223" t="s">
        <v>2378</v>
      </c>
      <c r="L620" s="229">
        <v>28</v>
      </c>
    </row>
    <row r="621" spans="1:12" ht="27" x14ac:dyDescent="0.3">
      <c r="A621" s="832"/>
      <c r="B621" s="92" t="s">
        <v>2461</v>
      </c>
      <c r="C621" s="125" t="s">
        <v>306</v>
      </c>
      <c r="D621" s="125" t="s">
        <v>322</v>
      </c>
      <c r="E621" s="125" t="s">
        <v>307</v>
      </c>
      <c r="F621" s="198" t="s">
        <v>2453</v>
      </c>
      <c r="G621" s="125" t="s">
        <v>2454</v>
      </c>
      <c r="H621" s="198" t="s">
        <v>2455</v>
      </c>
      <c r="I621" s="125" t="s">
        <v>2456</v>
      </c>
      <c r="J621" s="4">
        <v>2</v>
      </c>
      <c r="K621" s="223" t="s">
        <v>2378</v>
      </c>
      <c r="L621" s="229">
        <v>28</v>
      </c>
    </row>
    <row r="622" spans="1:12" ht="27" x14ac:dyDescent="0.3">
      <c r="A622" s="832"/>
      <c r="B622" s="122" t="s">
        <v>2462</v>
      </c>
      <c r="C622" s="207" t="s">
        <v>306</v>
      </c>
      <c r="D622" s="207" t="s">
        <v>322</v>
      </c>
      <c r="E622" s="207" t="s">
        <v>307</v>
      </c>
      <c r="F622" s="208" t="s">
        <v>2458</v>
      </c>
      <c r="G622" s="207" t="s">
        <v>2459</v>
      </c>
      <c r="H622" s="208" t="s">
        <v>2463</v>
      </c>
      <c r="I622" s="207" t="s">
        <v>2456</v>
      </c>
      <c r="J622" s="4">
        <v>3</v>
      </c>
      <c r="K622" s="223" t="s">
        <v>2378</v>
      </c>
      <c r="L622" s="229">
        <v>29</v>
      </c>
    </row>
    <row r="623" spans="1:12" ht="27" x14ac:dyDescent="0.3">
      <c r="A623" s="832"/>
      <c r="B623" s="122" t="s">
        <v>2464</v>
      </c>
      <c r="C623" s="207" t="s">
        <v>306</v>
      </c>
      <c r="D623" s="207" t="s">
        <v>322</v>
      </c>
      <c r="E623" s="207" t="s">
        <v>307</v>
      </c>
      <c r="F623" s="198" t="s">
        <v>2453</v>
      </c>
      <c r="G623" s="125" t="s">
        <v>2454</v>
      </c>
      <c r="H623" s="198" t="s">
        <v>2455</v>
      </c>
      <c r="I623" s="207" t="s">
        <v>2456</v>
      </c>
      <c r="J623" s="4">
        <v>2</v>
      </c>
      <c r="K623" s="223" t="s">
        <v>2378</v>
      </c>
      <c r="L623" s="229">
        <v>29</v>
      </c>
    </row>
    <row r="624" spans="1:12" ht="27" x14ac:dyDescent="0.3">
      <c r="A624" s="832"/>
      <c r="B624" s="92" t="s">
        <v>2465</v>
      </c>
      <c r="C624" s="125" t="s">
        <v>306</v>
      </c>
      <c r="D624" s="125" t="s">
        <v>322</v>
      </c>
      <c r="E624" s="125" t="s">
        <v>307</v>
      </c>
      <c r="F624" s="198" t="s">
        <v>2466</v>
      </c>
      <c r="G624" s="207" t="s">
        <v>2459</v>
      </c>
      <c r="H624" s="198" t="s">
        <v>2455</v>
      </c>
      <c r="I624" s="207" t="s">
        <v>2456</v>
      </c>
      <c r="J624" s="4">
        <v>3</v>
      </c>
      <c r="K624" s="223" t="s">
        <v>2378</v>
      </c>
      <c r="L624" s="229">
        <v>30</v>
      </c>
    </row>
    <row r="625" spans="1:12" ht="27" x14ac:dyDescent="0.3">
      <c r="A625" s="832"/>
      <c r="B625" s="92" t="s">
        <v>2467</v>
      </c>
      <c r="C625" s="125" t="s">
        <v>306</v>
      </c>
      <c r="D625" s="125" t="s">
        <v>322</v>
      </c>
      <c r="E625" s="125" t="s">
        <v>307</v>
      </c>
      <c r="F625" s="198" t="s">
        <v>2468</v>
      </c>
      <c r="G625" s="125" t="s">
        <v>2375</v>
      </c>
      <c r="H625" s="198" t="s">
        <v>2455</v>
      </c>
      <c r="I625" s="207" t="s">
        <v>2456</v>
      </c>
      <c r="J625" s="4">
        <v>2</v>
      </c>
      <c r="K625" s="223" t="s">
        <v>2378</v>
      </c>
      <c r="L625" s="229">
        <v>30</v>
      </c>
    </row>
    <row r="626" spans="1:12" ht="27" x14ac:dyDescent="0.3">
      <c r="A626" s="832"/>
      <c r="B626" s="92" t="s">
        <v>2469</v>
      </c>
      <c r="C626" s="125" t="s">
        <v>306</v>
      </c>
      <c r="D626" s="125" t="s">
        <v>322</v>
      </c>
      <c r="E626" s="125" t="s">
        <v>307</v>
      </c>
      <c r="F626" s="198" t="s">
        <v>2470</v>
      </c>
      <c r="G626" s="125" t="s">
        <v>2471</v>
      </c>
      <c r="H626" s="198" t="s">
        <v>2455</v>
      </c>
      <c r="I626" s="125" t="s">
        <v>2456</v>
      </c>
      <c r="J626" s="4">
        <v>3</v>
      </c>
      <c r="K626" s="223" t="s">
        <v>2378</v>
      </c>
      <c r="L626" s="229">
        <v>31</v>
      </c>
    </row>
    <row r="627" spans="1:12" x14ac:dyDescent="0.3">
      <c r="A627" s="815" t="s">
        <v>2410</v>
      </c>
      <c r="B627" s="815"/>
      <c r="C627" s="815"/>
      <c r="D627" s="815"/>
      <c r="E627" s="815"/>
      <c r="F627" s="815"/>
      <c r="G627" s="815"/>
      <c r="H627" s="815"/>
      <c r="I627" s="815"/>
      <c r="J627" s="31">
        <v>23</v>
      </c>
      <c r="K627" s="57"/>
    </row>
    <row r="632" spans="1:12" ht="22.5" x14ac:dyDescent="0.3">
      <c r="A632" s="608" t="s">
        <v>43</v>
      </c>
      <c r="B632" s="608" t="s">
        <v>1622</v>
      </c>
      <c r="C632" s="609" t="s">
        <v>2</v>
      </c>
      <c r="D632" s="609" t="s">
        <v>3</v>
      </c>
      <c r="E632" s="609" t="s">
        <v>4</v>
      </c>
      <c r="F632" s="609" t="s">
        <v>5</v>
      </c>
      <c r="G632" s="609" t="s">
        <v>6</v>
      </c>
      <c r="H632" s="610" t="s">
        <v>45</v>
      </c>
      <c r="I632" s="609" t="s">
        <v>8</v>
      </c>
      <c r="J632" s="611" t="s">
        <v>46</v>
      </c>
      <c r="K632" s="612" t="s">
        <v>47</v>
      </c>
    </row>
    <row r="633" spans="1:12" x14ac:dyDescent="0.3">
      <c r="A633" s="827" t="s">
        <v>5364</v>
      </c>
      <c r="B633" s="613" t="s">
        <v>5156</v>
      </c>
      <c r="C633" s="614" t="s">
        <v>306</v>
      </c>
      <c r="D633" s="614" t="s">
        <v>322</v>
      </c>
      <c r="E633" s="614" t="s">
        <v>307</v>
      </c>
      <c r="F633" s="613" t="s">
        <v>5070</v>
      </c>
      <c r="G633" s="613" t="s">
        <v>354</v>
      </c>
      <c r="H633" s="613" t="s">
        <v>4925</v>
      </c>
      <c r="I633" s="614" t="s">
        <v>664</v>
      </c>
      <c r="J633" s="614" t="s">
        <v>3186</v>
      </c>
      <c r="K633" s="614" t="s">
        <v>5367</v>
      </c>
      <c r="L633" s="595">
        <v>1250000</v>
      </c>
    </row>
    <row r="634" spans="1:12" x14ac:dyDescent="0.3">
      <c r="A634" s="827"/>
      <c r="B634" s="613" t="s">
        <v>5158</v>
      </c>
      <c r="C634" s="614" t="s">
        <v>306</v>
      </c>
      <c r="D634" s="614" t="s">
        <v>322</v>
      </c>
      <c r="E634" s="614" t="s">
        <v>307</v>
      </c>
      <c r="F634" s="613" t="s">
        <v>3058</v>
      </c>
      <c r="G634" s="613" t="s">
        <v>354</v>
      </c>
      <c r="H634" s="613" t="s">
        <v>310</v>
      </c>
      <c r="I634" s="614" t="s">
        <v>664</v>
      </c>
      <c r="J634" s="614" t="s">
        <v>4953</v>
      </c>
      <c r="K634" s="614" t="s">
        <v>5368</v>
      </c>
      <c r="L634" s="595">
        <v>750000</v>
      </c>
    </row>
    <row r="635" spans="1:12" x14ac:dyDescent="0.3">
      <c r="A635" s="827"/>
      <c r="B635" s="613" t="s">
        <v>5159</v>
      </c>
      <c r="C635" s="614" t="s">
        <v>306</v>
      </c>
      <c r="D635" s="614" t="s">
        <v>322</v>
      </c>
      <c r="E635" s="614" t="s">
        <v>307</v>
      </c>
      <c r="F635" s="613" t="s">
        <v>4812</v>
      </c>
      <c r="G635" s="613" t="s">
        <v>662</v>
      </c>
      <c r="H635" s="613" t="s">
        <v>5376</v>
      </c>
      <c r="I635" s="614" t="s">
        <v>664</v>
      </c>
      <c r="J635" s="614" t="s">
        <v>3105</v>
      </c>
      <c r="K635" s="614" t="s">
        <v>5369</v>
      </c>
      <c r="L635" s="595">
        <v>500000</v>
      </c>
    </row>
    <row r="636" spans="1:12" x14ac:dyDescent="0.3">
      <c r="A636" s="827"/>
      <c r="B636" s="613" t="s">
        <v>5179</v>
      </c>
      <c r="C636" s="614" t="s">
        <v>306</v>
      </c>
      <c r="D636" s="614" t="s">
        <v>322</v>
      </c>
      <c r="E636" s="614" t="s">
        <v>307</v>
      </c>
      <c r="F636" s="613">
        <v>8263</v>
      </c>
      <c r="G636" s="613" t="s">
        <v>3179</v>
      </c>
      <c r="H636" s="613" t="s">
        <v>5375</v>
      </c>
      <c r="I636" s="614" t="s">
        <v>664</v>
      </c>
      <c r="J636" s="614" t="s">
        <v>5366</v>
      </c>
      <c r="K636" s="614" t="s">
        <v>5369</v>
      </c>
      <c r="L636" s="595">
        <v>1000000</v>
      </c>
    </row>
    <row r="637" spans="1:12" x14ac:dyDescent="0.3">
      <c r="A637" s="827"/>
      <c r="B637" s="613" t="s">
        <v>5176</v>
      </c>
      <c r="C637" s="614" t="s">
        <v>306</v>
      </c>
      <c r="D637" s="614" t="s">
        <v>322</v>
      </c>
      <c r="E637" s="614" t="s">
        <v>307</v>
      </c>
      <c r="F637" s="613">
        <v>594</v>
      </c>
      <c r="G637" s="613" t="s">
        <v>1047</v>
      </c>
      <c r="H637" s="613" t="s">
        <v>4925</v>
      </c>
      <c r="I637" s="614" t="s">
        <v>664</v>
      </c>
      <c r="J637" s="614" t="s">
        <v>3105</v>
      </c>
      <c r="K637" s="614" t="s">
        <v>5369</v>
      </c>
      <c r="L637" s="595">
        <v>500000</v>
      </c>
    </row>
    <row r="638" spans="1:12" ht="22.5" x14ac:dyDescent="0.3">
      <c r="A638" s="827"/>
      <c r="B638" s="613" t="s">
        <v>5178</v>
      </c>
      <c r="C638" s="614" t="s">
        <v>306</v>
      </c>
      <c r="D638" s="614" t="s">
        <v>322</v>
      </c>
      <c r="E638" s="614" t="s">
        <v>307</v>
      </c>
      <c r="F638" s="613" t="s">
        <v>4948</v>
      </c>
      <c r="G638" s="613" t="s">
        <v>1915</v>
      </c>
      <c r="H638" s="613" t="s">
        <v>5378</v>
      </c>
      <c r="I638" s="614" t="s">
        <v>664</v>
      </c>
      <c r="J638" s="614" t="s">
        <v>3105</v>
      </c>
      <c r="K638" s="614" t="s">
        <v>5369</v>
      </c>
      <c r="L638" s="595">
        <v>500000</v>
      </c>
    </row>
    <row r="639" spans="1:12" x14ac:dyDescent="0.3">
      <c r="A639" s="827"/>
      <c r="B639" s="613" t="s">
        <v>5205</v>
      </c>
      <c r="C639" s="614" t="s">
        <v>306</v>
      </c>
      <c r="D639" s="614" t="s">
        <v>322</v>
      </c>
      <c r="E639" s="614" t="s">
        <v>307</v>
      </c>
      <c r="F639" s="613" t="s">
        <v>4974</v>
      </c>
      <c r="G639" s="613" t="s">
        <v>347</v>
      </c>
      <c r="H639" s="613" t="s">
        <v>4925</v>
      </c>
      <c r="I639" s="614" t="s">
        <v>664</v>
      </c>
      <c r="J639" s="614" t="s">
        <v>3186</v>
      </c>
      <c r="K639" s="614" t="s">
        <v>52</v>
      </c>
      <c r="L639" s="595">
        <v>1250000</v>
      </c>
    </row>
    <row r="640" spans="1:12" x14ac:dyDescent="0.3">
      <c r="A640" s="827"/>
      <c r="B640" s="613" t="s">
        <v>5205</v>
      </c>
      <c r="C640" s="614" t="s">
        <v>306</v>
      </c>
      <c r="D640" s="614" t="s">
        <v>322</v>
      </c>
      <c r="E640" s="614" t="s">
        <v>307</v>
      </c>
      <c r="F640" s="613" t="s">
        <v>4812</v>
      </c>
      <c r="G640" s="613" t="s">
        <v>662</v>
      </c>
      <c r="H640" s="613" t="s">
        <v>5377</v>
      </c>
      <c r="I640" s="614" t="s">
        <v>664</v>
      </c>
      <c r="J640" s="614" t="s">
        <v>3186</v>
      </c>
      <c r="K640" s="614" t="s">
        <v>5370</v>
      </c>
      <c r="L640" s="595">
        <v>1250000</v>
      </c>
    </row>
    <row r="641" spans="1:12" x14ac:dyDescent="0.3">
      <c r="A641" s="827"/>
      <c r="B641" s="613" t="s">
        <v>5231</v>
      </c>
      <c r="C641" s="614" t="s">
        <v>306</v>
      </c>
      <c r="D641" s="614" t="s">
        <v>322</v>
      </c>
      <c r="E641" s="614" t="s">
        <v>307</v>
      </c>
      <c r="F641" s="613" t="s">
        <v>4948</v>
      </c>
      <c r="G641" s="613" t="s">
        <v>3179</v>
      </c>
      <c r="H641" s="613" t="s">
        <v>5371</v>
      </c>
      <c r="I641" s="614" t="s">
        <v>664</v>
      </c>
      <c r="J641" s="614" t="s">
        <v>3255</v>
      </c>
      <c r="K641" s="614" t="s">
        <v>52</v>
      </c>
      <c r="L641" s="597">
        <v>750000</v>
      </c>
    </row>
    <row r="642" spans="1:12" x14ac:dyDescent="0.3">
      <c r="A642" s="827"/>
      <c r="B642" s="613" t="s">
        <v>5231</v>
      </c>
      <c r="C642" s="614" t="s">
        <v>306</v>
      </c>
      <c r="D642" s="614" t="s">
        <v>322</v>
      </c>
      <c r="E642" s="614" t="s">
        <v>307</v>
      </c>
      <c r="F642" s="613" t="s">
        <v>4948</v>
      </c>
      <c r="G642" s="613" t="s">
        <v>3179</v>
      </c>
      <c r="H642" s="613" t="s">
        <v>5379</v>
      </c>
      <c r="I642" s="614" t="s">
        <v>664</v>
      </c>
      <c r="J642" s="614" t="s">
        <v>2842</v>
      </c>
      <c r="K642" s="614" t="s">
        <v>5369</v>
      </c>
      <c r="L642" s="597">
        <v>500000</v>
      </c>
    </row>
    <row r="643" spans="1:12" x14ac:dyDescent="0.3">
      <c r="A643" s="827"/>
      <c r="B643" s="613" t="s">
        <v>5231</v>
      </c>
      <c r="C643" s="614" t="s">
        <v>306</v>
      </c>
      <c r="D643" s="614" t="s">
        <v>322</v>
      </c>
      <c r="E643" s="614" t="s">
        <v>307</v>
      </c>
      <c r="F643" s="613" t="s">
        <v>5234</v>
      </c>
      <c r="G643" s="613" t="s">
        <v>3117</v>
      </c>
      <c r="H643" s="613" t="s">
        <v>4925</v>
      </c>
      <c r="I643" s="614" t="s">
        <v>664</v>
      </c>
      <c r="J643" s="614" t="s">
        <v>3186</v>
      </c>
      <c r="K643" s="614" t="s">
        <v>5368</v>
      </c>
      <c r="L643" s="597">
        <v>1250000</v>
      </c>
    </row>
    <row r="644" spans="1:12" x14ac:dyDescent="0.3">
      <c r="A644" s="827"/>
      <c r="B644" s="613" t="s">
        <v>5372</v>
      </c>
      <c r="C644" s="614" t="s">
        <v>311</v>
      </c>
      <c r="D644" s="614" t="s">
        <v>320</v>
      </c>
      <c r="E644" s="613" t="s">
        <v>2605</v>
      </c>
      <c r="F644" s="613" t="s">
        <v>4934</v>
      </c>
      <c r="G644" s="613" t="s">
        <v>3117</v>
      </c>
      <c r="H644" s="613" t="s">
        <v>5374</v>
      </c>
      <c r="I644" s="613" t="s">
        <v>1111</v>
      </c>
      <c r="J644" s="613" t="s">
        <v>5373</v>
      </c>
      <c r="K644" s="614" t="s">
        <v>52</v>
      </c>
      <c r="L644" s="587">
        <v>500000</v>
      </c>
    </row>
    <row r="645" spans="1:12" x14ac:dyDescent="0.3">
      <c r="A645" s="827"/>
      <c r="B645" s="615">
        <v>46102</v>
      </c>
      <c r="C645" s="614" t="s">
        <v>19</v>
      </c>
      <c r="D645" s="614" t="s">
        <v>25</v>
      </c>
      <c r="E645" s="614" t="s">
        <v>307</v>
      </c>
      <c r="F645" s="616">
        <v>7062</v>
      </c>
      <c r="G645" s="617" t="s">
        <v>1391</v>
      </c>
      <c r="H645" s="613" t="s">
        <v>1105</v>
      </c>
      <c r="I645" s="614" t="s">
        <v>1259</v>
      </c>
      <c r="J645" s="614" t="s">
        <v>4929</v>
      </c>
      <c r="K645" s="614" t="s">
        <v>5367</v>
      </c>
      <c r="L645" s="599">
        <v>250000</v>
      </c>
    </row>
    <row r="646" spans="1:12" ht="22.5" x14ac:dyDescent="0.3">
      <c r="A646" s="827"/>
      <c r="B646" s="615" t="s">
        <v>4923</v>
      </c>
      <c r="C646" s="614" t="s">
        <v>19</v>
      </c>
      <c r="D646" s="614" t="s">
        <v>25</v>
      </c>
      <c r="E646" s="614" t="s">
        <v>307</v>
      </c>
      <c r="F646" s="616" t="s">
        <v>4949</v>
      </c>
      <c r="G646" s="617" t="s">
        <v>482</v>
      </c>
      <c r="H646" s="613" t="s">
        <v>5380</v>
      </c>
      <c r="I646" s="614" t="s">
        <v>168</v>
      </c>
      <c r="J646" s="614" t="s">
        <v>5365</v>
      </c>
      <c r="K646" s="614" t="s">
        <v>5369</v>
      </c>
      <c r="L646" s="576">
        <v>2500000</v>
      </c>
    </row>
    <row r="648" spans="1:12" ht="22.5" x14ac:dyDescent="0.3">
      <c r="A648" s="608" t="s">
        <v>43</v>
      </c>
      <c r="B648" s="608" t="s">
        <v>44</v>
      </c>
      <c r="C648" s="609" t="s">
        <v>2</v>
      </c>
      <c r="D648" s="609" t="s">
        <v>3</v>
      </c>
      <c r="E648" s="609" t="s">
        <v>4</v>
      </c>
      <c r="F648" s="609" t="s">
        <v>5</v>
      </c>
      <c r="G648" s="609" t="s">
        <v>6</v>
      </c>
      <c r="H648" s="610" t="s">
        <v>45</v>
      </c>
      <c r="I648" s="609" t="s">
        <v>8</v>
      </c>
      <c r="J648" s="611" t="s">
        <v>46</v>
      </c>
      <c r="K648" s="612" t="s">
        <v>47</v>
      </c>
    </row>
    <row r="649" spans="1:12" x14ac:dyDescent="0.3">
      <c r="A649" s="828" t="s">
        <v>228</v>
      </c>
      <c r="B649" s="234" t="s">
        <v>5211</v>
      </c>
      <c r="C649" s="233" t="s">
        <v>311</v>
      </c>
      <c r="D649" s="233" t="s">
        <v>320</v>
      </c>
      <c r="E649" s="234" t="s">
        <v>337</v>
      </c>
      <c r="F649" s="234" t="s">
        <v>3172</v>
      </c>
      <c r="G649" s="234" t="s">
        <v>3061</v>
      </c>
      <c r="H649" s="234" t="s">
        <v>5186</v>
      </c>
      <c r="I649" s="234" t="s">
        <v>638</v>
      </c>
      <c r="J649" s="234">
        <v>2</v>
      </c>
      <c r="K649" s="614" t="s">
        <v>5369</v>
      </c>
    </row>
    <row r="650" spans="1:12" x14ac:dyDescent="0.3">
      <c r="A650" s="829"/>
      <c r="B650" s="234" t="s">
        <v>5212</v>
      </c>
      <c r="C650" s="233" t="s">
        <v>311</v>
      </c>
      <c r="D650" s="233" t="s">
        <v>320</v>
      </c>
      <c r="E650" s="234" t="s">
        <v>337</v>
      </c>
      <c r="F650" s="234" t="s">
        <v>3172</v>
      </c>
      <c r="G650" s="234" t="s">
        <v>3061</v>
      </c>
      <c r="H650" s="234" t="s">
        <v>5186</v>
      </c>
      <c r="I650" s="234"/>
      <c r="J650" s="234">
        <v>2</v>
      </c>
      <c r="K650" s="614" t="s">
        <v>5369</v>
      </c>
    </row>
    <row r="651" spans="1:12" x14ac:dyDescent="0.3">
      <c r="A651" s="829"/>
      <c r="B651" s="618" t="s">
        <v>5238</v>
      </c>
      <c r="C651" s="235" t="s">
        <v>311</v>
      </c>
      <c r="D651" s="235" t="s">
        <v>320</v>
      </c>
      <c r="E651" s="618" t="s">
        <v>337</v>
      </c>
      <c r="F651" s="618" t="s">
        <v>3172</v>
      </c>
      <c r="G651" s="618" t="s">
        <v>3061</v>
      </c>
      <c r="H651" s="618" t="s">
        <v>5239</v>
      </c>
      <c r="I651" s="618" t="s">
        <v>702</v>
      </c>
      <c r="J651" s="618">
        <v>2</v>
      </c>
      <c r="K651" s="614" t="s">
        <v>5369</v>
      </c>
    </row>
    <row r="652" spans="1:12" x14ac:dyDescent="0.3">
      <c r="A652" s="829"/>
      <c r="B652" s="615">
        <v>46104</v>
      </c>
      <c r="C652" s="614" t="s">
        <v>21</v>
      </c>
      <c r="D652" s="614" t="s">
        <v>14</v>
      </c>
      <c r="E652" s="619" t="s">
        <v>1791</v>
      </c>
      <c r="F652" s="619" t="s">
        <v>2821</v>
      </c>
      <c r="G652" s="617" t="s">
        <v>23</v>
      </c>
      <c r="H652" s="616" t="s">
        <v>1385</v>
      </c>
      <c r="I652" s="619"/>
      <c r="J652" s="616">
        <v>2</v>
      </c>
      <c r="K652" s="614" t="s">
        <v>5369</v>
      </c>
    </row>
    <row r="653" spans="1:12" x14ac:dyDescent="0.3">
      <c r="A653" s="829"/>
      <c r="B653" s="615">
        <v>46105</v>
      </c>
      <c r="C653" s="614" t="s">
        <v>21</v>
      </c>
      <c r="D653" s="614" t="s">
        <v>14</v>
      </c>
      <c r="E653" s="619" t="s">
        <v>107</v>
      </c>
      <c r="F653" s="619" t="s">
        <v>2963</v>
      </c>
      <c r="G653" s="617" t="s">
        <v>376</v>
      </c>
      <c r="H653" s="616" t="s">
        <v>4941</v>
      </c>
      <c r="I653" s="619" t="s">
        <v>2704</v>
      </c>
      <c r="J653" s="619">
        <v>2</v>
      </c>
      <c r="K653" s="614" t="s">
        <v>5369</v>
      </c>
    </row>
    <row r="654" spans="1:12" x14ac:dyDescent="0.3">
      <c r="A654" s="830"/>
      <c r="B654" s="615">
        <v>46106</v>
      </c>
      <c r="C654" s="614" t="s">
        <v>21</v>
      </c>
      <c r="D654" s="614" t="s">
        <v>14</v>
      </c>
      <c r="E654" s="619" t="s">
        <v>1791</v>
      </c>
      <c r="F654" s="619" t="s">
        <v>2821</v>
      </c>
      <c r="G654" s="617" t="s">
        <v>23</v>
      </c>
      <c r="H654" s="616" t="s">
        <v>4961</v>
      </c>
      <c r="I654" s="619"/>
      <c r="J654" s="616">
        <v>2</v>
      </c>
      <c r="K654" s="614" t="s">
        <v>5369</v>
      </c>
    </row>
    <row r="655" spans="1:12" x14ac:dyDescent="0.3">
      <c r="A655" s="831" t="s">
        <v>1650</v>
      </c>
      <c r="B655" s="831"/>
      <c r="C655" s="831"/>
      <c r="D655" s="831"/>
      <c r="E655" s="831"/>
      <c r="F655" s="831"/>
      <c r="G655" s="831"/>
      <c r="H655" s="831"/>
      <c r="I655" s="831"/>
      <c r="J655" s="620">
        <f>SUM(J649:J654)</f>
        <v>12</v>
      </c>
      <c r="K655" s="621"/>
    </row>
    <row r="659" spans="1:11" x14ac:dyDescent="0.3">
      <c r="A659" s="608" t="s">
        <v>43</v>
      </c>
      <c r="B659" s="608" t="s">
        <v>44</v>
      </c>
      <c r="C659" s="609" t="s">
        <v>2</v>
      </c>
      <c r="D659" s="609" t="s">
        <v>3</v>
      </c>
      <c r="E659" s="609" t="s">
        <v>1728</v>
      </c>
      <c r="F659" s="609" t="s">
        <v>5</v>
      </c>
      <c r="G659" s="609" t="s">
        <v>6</v>
      </c>
      <c r="H659" s="610" t="s">
        <v>45</v>
      </c>
      <c r="I659" s="609" t="s">
        <v>8</v>
      </c>
      <c r="J659" s="611" t="s">
        <v>46</v>
      </c>
      <c r="K659" s="612" t="s">
        <v>47</v>
      </c>
    </row>
    <row r="660" spans="1:11" x14ac:dyDescent="0.3">
      <c r="A660" s="831" t="s">
        <v>739</v>
      </c>
      <c r="B660" s="613" t="s">
        <v>5168</v>
      </c>
      <c r="C660" s="614" t="s">
        <v>311</v>
      </c>
      <c r="D660" s="614" t="s">
        <v>675</v>
      </c>
      <c r="E660" s="613" t="s">
        <v>5133</v>
      </c>
      <c r="F660" s="613" t="s">
        <v>5135</v>
      </c>
      <c r="G660" s="613" t="s">
        <v>347</v>
      </c>
      <c r="H660" s="613" t="s">
        <v>5138</v>
      </c>
      <c r="I660" s="613"/>
      <c r="J660" s="613">
        <v>2</v>
      </c>
      <c r="K660" s="614" t="s">
        <v>5369</v>
      </c>
    </row>
    <row r="661" spans="1:11" x14ac:dyDescent="0.3">
      <c r="A661" s="831"/>
      <c r="B661" s="613" t="s">
        <v>5169</v>
      </c>
      <c r="C661" s="614" t="s">
        <v>311</v>
      </c>
      <c r="D661" s="614" t="s">
        <v>320</v>
      </c>
      <c r="E661" s="613" t="s">
        <v>709</v>
      </c>
      <c r="F661" s="613" t="s">
        <v>3102</v>
      </c>
      <c r="G661" s="613" t="s">
        <v>3103</v>
      </c>
      <c r="H661" s="613" t="s">
        <v>5384</v>
      </c>
      <c r="I661" s="613" t="s">
        <v>638</v>
      </c>
      <c r="J661" s="613">
        <v>1</v>
      </c>
      <c r="K661" s="614" t="s">
        <v>5369</v>
      </c>
    </row>
    <row r="662" spans="1:11" ht="22.5" x14ac:dyDescent="0.3">
      <c r="A662" s="831"/>
      <c r="B662" s="613" t="s">
        <v>5171</v>
      </c>
      <c r="C662" s="614" t="s">
        <v>311</v>
      </c>
      <c r="D662" s="614" t="s">
        <v>320</v>
      </c>
      <c r="E662" s="613" t="s">
        <v>337</v>
      </c>
      <c r="F662" s="613" t="s">
        <v>3172</v>
      </c>
      <c r="G662" s="613" t="s">
        <v>3061</v>
      </c>
      <c r="H662" s="613" t="s">
        <v>5381</v>
      </c>
      <c r="I662" s="613" t="s">
        <v>638</v>
      </c>
      <c r="J662" s="613">
        <v>2</v>
      </c>
      <c r="K662" s="614" t="s">
        <v>5369</v>
      </c>
    </row>
    <row r="663" spans="1:11" x14ac:dyDescent="0.3">
      <c r="A663" s="831"/>
      <c r="B663" s="613" t="s">
        <v>2752</v>
      </c>
      <c r="C663" s="614" t="s">
        <v>311</v>
      </c>
      <c r="D663" s="614" t="s">
        <v>320</v>
      </c>
      <c r="E663" s="613" t="s">
        <v>337</v>
      </c>
      <c r="F663" s="613" t="s">
        <v>3172</v>
      </c>
      <c r="G663" s="613" t="s">
        <v>3061</v>
      </c>
      <c r="H663" s="613" t="s">
        <v>5382</v>
      </c>
      <c r="I663" s="613"/>
      <c r="J663" s="613">
        <v>2</v>
      </c>
      <c r="K663" s="614" t="s">
        <v>5369</v>
      </c>
    </row>
    <row r="664" spans="1:11" x14ac:dyDescent="0.3">
      <c r="A664" s="831"/>
      <c r="B664" s="613" t="s">
        <v>5185</v>
      </c>
      <c r="C664" s="614" t="s">
        <v>311</v>
      </c>
      <c r="D664" s="614" t="s">
        <v>320</v>
      </c>
      <c r="E664" s="613" t="s">
        <v>337</v>
      </c>
      <c r="F664" s="613" t="s">
        <v>3172</v>
      </c>
      <c r="G664" s="613" t="s">
        <v>3061</v>
      </c>
      <c r="H664" s="613" t="s">
        <v>5186</v>
      </c>
      <c r="I664" s="613" t="s">
        <v>638</v>
      </c>
      <c r="J664" s="613">
        <v>1</v>
      </c>
      <c r="K664" s="614" t="s">
        <v>5369</v>
      </c>
    </row>
    <row r="665" spans="1:11" x14ac:dyDescent="0.3">
      <c r="A665" s="831"/>
      <c r="B665" s="613" t="s">
        <v>5185</v>
      </c>
      <c r="C665" s="614" t="s">
        <v>311</v>
      </c>
      <c r="D665" s="614" t="s">
        <v>320</v>
      </c>
      <c r="E665" s="613" t="s">
        <v>5188</v>
      </c>
      <c r="F665" s="613" t="s">
        <v>689</v>
      </c>
      <c r="G665" s="613" t="s">
        <v>5190</v>
      </c>
      <c r="H665" s="613" t="s">
        <v>5385</v>
      </c>
      <c r="I665" s="613"/>
      <c r="J665" s="613">
        <v>1</v>
      </c>
      <c r="K665" s="614" t="s">
        <v>5369</v>
      </c>
    </row>
    <row r="666" spans="1:11" x14ac:dyDescent="0.3">
      <c r="A666" s="831"/>
      <c r="B666" s="613" t="s">
        <v>5193</v>
      </c>
      <c r="C666" s="614" t="s">
        <v>311</v>
      </c>
      <c r="D666" s="614" t="s">
        <v>320</v>
      </c>
      <c r="E666" s="613" t="s">
        <v>337</v>
      </c>
      <c r="F666" s="613" t="s">
        <v>3405</v>
      </c>
      <c r="G666" s="613" t="s">
        <v>5039</v>
      </c>
      <c r="H666" s="613" t="s">
        <v>5386</v>
      </c>
      <c r="I666" s="613"/>
      <c r="J666" s="613">
        <v>2</v>
      </c>
      <c r="K666" s="614" t="s">
        <v>5369</v>
      </c>
    </row>
    <row r="667" spans="1:11" ht="33.75" x14ac:dyDescent="0.3">
      <c r="A667" s="831"/>
      <c r="B667" s="613" t="s">
        <v>5197</v>
      </c>
      <c r="C667" s="614" t="s">
        <v>311</v>
      </c>
      <c r="D667" s="614" t="s">
        <v>675</v>
      </c>
      <c r="E667" s="613" t="s">
        <v>5198</v>
      </c>
      <c r="F667" s="613" t="s">
        <v>1923</v>
      </c>
      <c r="G667" s="613" t="s">
        <v>347</v>
      </c>
      <c r="H667" s="613" t="s">
        <v>5387</v>
      </c>
      <c r="I667" s="613"/>
      <c r="J667" s="613">
        <v>2</v>
      </c>
      <c r="K667" s="614" t="s">
        <v>5369</v>
      </c>
    </row>
    <row r="668" spans="1:11" x14ac:dyDescent="0.3">
      <c r="A668" s="831"/>
      <c r="B668" s="613" t="s">
        <v>5388</v>
      </c>
      <c r="C668" s="614" t="s">
        <v>311</v>
      </c>
      <c r="D668" s="614" t="s">
        <v>320</v>
      </c>
      <c r="E668" s="613" t="s">
        <v>337</v>
      </c>
      <c r="F668" s="613" t="s">
        <v>3058</v>
      </c>
      <c r="G668" s="613" t="s">
        <v>3061</v>
      </c>
      <c r="H668" s="613" t="s">
        <v>5389</v>
      </c>
      <c r="I668" s="613" t="s">
        <v>638</v>
      </c>
      <c r="J668" s="613">
        <v>2</v>
      </c>
      <c r="K668" s="614" t="s">
        <v>5369</v>
      </c>
    </row>
    <row r="669" spans="1:11" x14ac:dyDescent="0.3">
      <c r="A669" s="831"/>
      <c r="B669" s="613" t="s">
        <v>5212</v>
      </c>
      <c r="C669" s="614" t="s">
        <v>311</v>
      </c>
      <c r="D669" s="614" t="s">
        <v>675</v>
      </c>
      <c r="E669" s="613" t="s">
        <v>720</v>
      </c>
      <c r="F669" s="613" t="s">
        <v>1760</v>
      </c>
      <c r="G669" s="613" t="s">
        <v>347</v>
      </c>
      <c r="H669" s="613" t="s">
        <v>5383</v>
      </c>
      <c r="I669" s="613" t="s">
        <v>638</v>
      </c>
      <c r="J669" s="613">
        <v>1</v>
      </c>
      <c r="K669" s="614" t="s">
        <v>5369</v>
      </c>
    </row>
    <row r="670" spans="1:11" x14ac:dyDescent="0.3">
      <c r="A670" s="831"/>
      <c r="B670" s="613" t="s">
        <v>5219</v>
      </c>
      <c r="C670" s="614" t="s">
        <v>311</v>
      </c>
      <c r="D670" s="614" t="s">
        <v>675</v>
      </c>
      <c r="E670" s="613" t="s">
        <v>5220</v>
      </c>
      <c r="F670" s="613" t="s">
        <v>5222</v>
      </c>
      <c r="G670" s="613" t="s">
        <v>662</v>
      </c>
      <c r="H670" s="613" t="s">
        <v>5390</v>
      </c>
      <c r="I670" s="613" t="s">
        <v>638</v>
      </c>
      <c r="J670" s="613">
        <v>1</v>
      </c>
      <c r="K670" s="614" t="s">
        <v>5369</v>
      </c>
    </row>
    <row r="671" spans="1:11" x14ac:dyDescent="0.3">
      <c r="A671" s="831"/>
      <c r="B671" s="613" t="s">
        <v>5223</v>
      </c>
      <c r="C671" s="614" t="s">
        <v>311</v>
      </c>
      <c r="D671" s="614" t="s">
        <v>675</v>
      </c>
      <c r="E671" s="613" t="s">
        <v>5224</v>
      </c>
      <c r="F671" s="613" t="s">
        <v>5136</v>
      </c>
      <c r="G671" s="613" t="s">
        <v>347</v>
      </c>
      <c r="H671" s="613" t="s">
        <v>5391</v>
      </c>
      <c r="I671" s="613"/>
      <c r="J671" s="613">
        <v>2</v>
      </c>
      <c r="K671" s="614" t="s">
        <v>5369</v>
      </c>
    </row>
    <row r="672" spans="1:11" x14ac:dyDescent="0.3">
      <c r="A672" s="831"/>
      <c r="B672" s="613" t="s">
        <v>5228</v>
      </c>
      <c r="C672" s="614" t="s">
        <v>311</v>
      </c>
      <c r="D672" s="614" t="s">
        <v>675</v>
      </c>
      <c r="E672" s="613" t="s">
        <v>5224</v>
      </c>
      <c r="F672" s="613" t="s">
        <v>5136</v>
      </c>
      <c r="G672" s="613" t="s">
        <v>347</v>
      </c>
      <c r="H672" s="613" t="s">
        <v>5226</v>
      </c>
      <c r="I672" s="613"/>
      <c r="J672" s="613">
        <v>2</v>
      </c>
      <c r="K672" s="614" t="s">
        <v>5369</v>
      </c>
    </row>
    <row r="673" spans="1:11" ht="56.25" x14ac:dyDescent="0.3">
      <c r="A673" s="831"/>
      <c r="B673" s="613" t="s">
        <v>5238</v>
      </c>
      <c r="C673" s="614" t="s">
        <v>311</v>
      </c>
      <c r="D673" s="614" t="s">
        <v>320</v>
      </c>
      <c r="E673" s="613" t="s">
        <v>709</v>
      </c>
      <c r="F673" s="613" t="s">
        <v>3102</v>
      </c>
      <c r="G673" s="613" t="s">
        <v>3103</v>
      </c>
      <c r="H673" s="613" t="s">
        <v>5392</v>
      </c>
      <c r="I673" s="613" t="s">
        <v>638</v>
      </c>
      <c r="J673" s="613">
        <v>1</v>
      </c>
      <c r="K673" s="614" t="s">
        <v>5369</v>
      </c>
    </row>
    <row r="674" spans="1:11" x14ac:dyDescent="0.3">
      <c r="A674" s="831" t="s">
        <v>1650</v>
      </c>
      <c r="B674" s="831"/>
      <c r="C674" s="831"/>
      <c r="D674" s="831"/>
      <c r="E674" s="831"/>
      <c r="F674" s="831"/>
      <c r="G674" s="831"/>
      <c r="H674" s="831"/>
      <c r="I674" s="831"/>
      <c r="J674" s="235">
        <f>SUM(J660:J673)</f>
        <v>22</v>
      </c>
      <c r="K674" s="235"/>
    </row>
    <row r="676" spans="1:11" x14ac:dyDescent="0.3">
      <c r="A676" s="608" t="s">
        <v>43</v>
      </c>
      <c r="B676" s="608" t="s">
        <v>44</v>
      </c>
      <c r="C676" s="609" t="s">
        <v>2</v>
      </c>
      <c r="D676" s="609" t="s">
        <v>3</v>
      </c>
      <c r="E676" s="609" t="s">
        <v>1728</v>
      </c>
      <c r="F676" s="609" t="s">
        <v>5</v>
      </c>
      <c r="G676" s="609" t="s">
        <v>6</v>
      </c>
      <c r="H676" s="610" t="s">
        <v>45</v>
      </c>
      <c r="I676" s="609" t="s">
        <v>8</v>
      </c>
      <c r="J676" s="611" t="s">
        <v>46</v>
      </c>
      <c r="K676" s="612" t="s">
        <v>47</v>
      </c>
    </row>
    <row r="677" spans="1:11" x14ac:dyDescent="0.3">
      <c r="A677" s="831" t="s">
        <v>739</v>
      </c>
      <c r="B677" s="613" t="s">
        <v>5231</v>
      </c>
      <c r="C677" s="614" t="s">
        <v>306</v>
      </c>
      <c r="D677" s="614" t="s">
        <v>322</v>
      </c>
      <c r="E677" s="614" t="s">
        <v>307</v>
      </c>
      <c r="F677" s="613">
        <v>7062</v>
      </c>
      <c r="G677" s="613" t="s">
        <v>347</v>
      </c>
      <c r="H677" s="613" t="s">
        <v>4925</v>
      </c>
      <c r="I677" s="614" t="s">
        <v>664</v>
      </c>
      <c r="J677" s="614">
        <v>2</v>
      </c>
      <c r="K677" s="614" t="s">
        <v>5369</v>
      </c>
    </row>
    <row r="678" spans="1:11" x14ac:dyDescent="0.3">
      <c r="A678" s="831"/>
      <c r="B678" s="613" t="s">
        <v>5393</v>
      </c>
      <c r="C678" s="614" t="s">
        <v>311</v>
      </c>
      <c r="D678" s="614" t="s">
        <v>320</v>
      </c>
      <c r="E678" s="613" t="s">
        <v>2605</v>
      </c>
      <c r="F678" s="613" t="s">
        <v>4934</v>
      </c>
      <c r="G678" s="613" t="s">
        <v>3117</v>
      </c>
      <c r="H678" s="613" t="s">
        <v>5394</v>
      </c>
      <c r="I678" s="613" t="s">
        <v>1111</v>
      </c>
      <c r="J678" s="613">
        <v>1</v>
      </c>
      <c r="K678" s="614" t="s">
        <v>5369</v>
      </c>
    </row>
    <row r="679" spans="1:11" x14ac:dyDescent="0.3">
      <c r="A679" s="831"/>
      <c r="B679" s="615">
        <v>46104</v>
      </c>
      <c r="C679" s="614" t="s">
        <v>19</v>
      </c>
      <c r="D679" s="614" t="s">
        <v>25</v>
      </c>
      <c r="E679" s="614" t="s">
        <v>307</v>
      </c>
      <c r="F679" s="616" t="s">
        <v>3593</v>
      </c>
      <c r="G679" s="617" t="s">
        <v>482</v>
      </c>
      <c r="H679" s="613" t="s">
        <v>5362</v>
      </c>
      <c r="I679" s="614" t="s">
        <v>1259</v>
      </c>
      <c r="J679" s="614">
        <v>2</v>
      </c>
      <c r="K679" s="614" t="s">
        <v>5369</v>
      </c>
    </row>
    <row r="680" spans="1:11" x14ac:dyDescent="0.3">
      <c r="A680" s="831"/>
      <c r="B680" s="615" t="s">
        <v>4932</v>
      </c>
      <c r="C680" s="614" t="s">
        <v>19</v>
      </c>
      <c r="D680" s="614" t="s">
        <v>25</v>
      </c>
      <c r="E680" s="614" t="s">
        <v>307</v>
      </c>
      <c r="F680" s="616" t="s">
        <v>2963</v>
      </c>
      <c r="G680" s="617" t="s">
        <v>143</v>
      </c>
      <c r="H680" s="613" t="s">
        <v>1105</v>
      </c>
      <c r="I680" s="614" t="s">
        <v>1259</v>
      </c>
      <c r="J680" s="614">
        <v>3</v>
      </c>
      <c r="K680" s="614" t="s">
        <v>5369</v>
      </c>
    </row>
    <row r="681" spans="1:11" x14ac:dyDescent="0.3">
      <c r="A681" s="831" t="s">
        <v>1650</v>
      </c>
      <c r="B681" s="831"/>
      <c r="C681" s="831"/>
      <c r="D681" s="831"/>
      <c r="E681" s="831"/>
      <c r="F681" s="831"/>
      <c r="G681" s="831"/>
      <c r="H681" s="831"/>
      <c r="I681" s="831"/>
      <c r="J681" s="235">
        <f>SUM(J677:J680)</f>
        <v>8</v>
      </c>
      <c r="K681" s="235"/>
    </row>
    <row r="685" spans="1:11" x14ac:dyDescent="0.3">
      <c r="A685" s="625" t="s">
        <v>43</v>
      </c>
      <c r="B685" s="625" t="s">
        <v>44</v>
      </c>
      <c r="C685" s="609" t="s">
        <v>2</v>
      </c>
      <c r="D685" s="609" t="s">
        <v>3</v>
      </c>
      <c r="E685" s="609" t="s">
        <v>1728</v>
      </c>
      <c r="F685" s="609" t="s">
        <v>5</v>
      </c>
      <c r="G685" s="609" t="s">
        <v>6</v>
      </c>
      <c r="H685" s="609" t="s">
        <v>45</v>
      </c>
      <c r="I685" s="609" t="s">
        <v>8</v>
      </c>
      <c r="J685" s="612" t="s">
        <v>46</v>
      </c>
      <c r="K685" s="612" t="s">
        <v>47</v>
      </c>
    </row>
    <row r="686" spans="1:11" x14ac:dyDescent="0.3">
      <c r="A686" s="826" t="s">
        <v>1115</v>
      </c>
      <c r="B686" s="624">
        <v>46107</v>
      </c>
      <c r="C686" s="233" t="s">
        <v>124</v>
      </c>
      <c r="D686" s="233" t="s">
        <v>151</v>
      </c>
      <c r="E686" s="233" t="s">
        <v>5265</v>
      </c>
      <c r="F686" s="622" t="s">
        <v>3593</v>
      </c>
      <c r="G686" s="623" t="s">
        <v>34</v>
      </c>
      <c r="H686" s="234" t="s">
        <v>5301</v>
      </c>
      <c r="I686" s="233"/>
      <c r="J686" s="233">
        <v>1</v>
      </c>
      <c r="K686" s="614" t="s">
        <v>5369</v>
      </c>
    </row>
    <row r="687" spans="1:11" x14ac:dyDescent="0.3">
      <c r="A687" s="826"/>
      <c r="B687" s="624">
        <v>46108</v>
      </c>
      <c r="C687" s="233" t="s">
        <v>49</v>
      </c>
      <c r="D687" s="233" t="s">
        <v>151</v>
      </c>
      <c r="E687" s="233" t="s">
        <v>5265</v>
      </c>
      <c r="F687" s="622" t="s">
        <v>3593</v>
      </c>
      <c r="G687" s="623" t="s">
        <v>34</v>
      </c>
      <c r="H687" s="234" t="s">
        <v>5301</v>
      </c>
      <c r="I687" s="233"/>
      <c r="J687" s="233">
        <v>1</v>
      </c>
      <c r="K687" s="614" t="s">
        <v>5369</v>
      </c>
    </row>
    <row r="688" spans="1:11" x14ac:dyDescent="0.3">
      <c r="A688" s="826" t="s">
        <v>1650</v>
      </c>
      <c r="B688" s="826"/>
      <c r="C688" s="826"/>
      <c r="D688" s="826"/>
      <c r="E688" s="826"/>
      <c r="F688" s="826"/>
      <c r="G688" s="826"/>
      <c r="H688" s="826"/>
      <c r="I688" s="826"/>
      <c r="J688" s="235">
        <f>SUM(J685:J687)</f>
        <v>2</v>
      </c>
      <c r="K688" s="235"/>
    </row>
    <row r="691" spans="1:12" s="628" customFormat="1" ht="13.5" x14ac:dyDescent="0.3">
      <c r="A691" s="625" t="s">
        <v>43</v>
      </c>
      <c r="B691" s="625" t="s">
        <v>44</v>
      </c>
      <c r="C691" s="609" t="s">
        <v>2</v>
      </c>
      <c r="D691" s="609" t="s">
        <v>3</v>
      </c>
      <c r="E691" s="609" t="s">
        <v>1728</v>
      </c>
      <c r="F691" s="609" t="s">
        <v>5</v>
      </c>
      <c r="G691" s="609" t="s">
        <v>6</v>
      </c>
      <c r="H691" s="609" t="s">
        <v>45</v>
      </c>
      <c r="I691" s="609" t="s">
        <v>8</v>
      </c>
      <c r="J691" s="612" t="s">
        <v>46</v>
      </c>
      <c r="K691" s="612" t="s">
        <v>47</v>
      </c>
      <c r="L691" s="627"/>
    </row>
    <row r="692" spans="1:12" x14ac:dyDescent="0.3">
      <c r="A692" s="827" t="s">
        <v>1115</v>
      </c>
      <c r="B692" s="613" t="s">
        <v>5176</v>
      </c>
      <c r="C692" s="614" t="s">
        <v>306</v>
      </c>
      <c r="D692" s="614" t="s">
        <v>322</v>
      </c>
      <c r="E692" s="614" t="s">
        <v>307</v>
      </c>
      <c r="F692" s="613" t="s">
        <v>5177</v>
      </c>
      <c r="G692" s="613" t="s">
        <v>662</v>
      </c>
      <c r="H692" s="613" t="s">
        <v>1096</v>
      </c>
      <c r="I692" s="614" t="s">
        <v>664</v>
      </c>
      <c r="J692" s="614">
        <v>2</v>
      </c>
      <c r="K692" s="614" t="s">
        <v>5369</v>
      </c>
    </row>
    <row r="693" spans="1:12" x14ac:dyDescent="0.3">
      <c r="A693" s="827"/>
      <c r="B693" s="613" t="s">
        <v>5178</v>
      </c>
      <c r="C693" s="614" t="s">
        <v>306</v>
      </c>
      <c r="D693" s="614" t="s">
        <v>322</v>
      </c>
      <c r="E693" s="614" t="s">
        <v>307</v>
      </c>
      <c r="F693" s="613">
        <v>1570</v>
      </c>
      <c r="G693" s="613" t="s">
        <v>3179</v>
      </c>
      <c r="H693" s="613" t="s">
        <v>5028</v>
      </c>
      <c r="I693" s="614" t="s">
        <v>664</v>
      </c>
      <c r="J693" s="614">
        <v>2</v>
      </c>
      <c r="K693" s="614" t="s">
        <v>5369</v>
      </c>
    </row>
    <row r="694" spans="1:12" x14ac:dyDescent="0.3">
      <c r="A694" s="827"/>
      <c r="B694" s="613" t="s">
        <v>5200</v>
      </c>
      <c r="C694" s="614" t="s">
        <v>306</v>
      </c>
      <c r="D694" s="614" t="s">
        <v>322</v>
      </c>
      <c r="E694" s="614" t="s">
        <v>307</v>
      </c>
      <c r="F694" s="613">
        <v>8263</v>
      </c>
      <c r="G694" s="613" t="s">
        <v>3179</v>
      </c>
      <c r="H694" s="613" t="s">
        <v>1096</v>
      </c>
      <c r="I694" s="614" t="s">
        <v>664</v>
      </c>
      <c r="J694" s="614">
        <v>3</v>
      </c>
      <c r="K694" s="614" t="s">
        <v>5369</v>
      </c>
    </row>
    <row r="695" spans="1:12" x14ac:dyDescent="0.3">
      <c r="A695" s="827"/>
      <c r="B695" s="613" t="s">
        <v>5201</v>
      </c>
      <c r="C695" s="614" t="s">
        <v>306</v>
      </c>
      <c r="D695" s="614" t="s">
        <v>322</v>
      </c>
      <c r="E695" s="614" t="s">
        <v>307</v>
      </c>
      <c r="F695" s="613" t="s">
        <v>5202</v>
      </c>
      <c r="G695" s="613" t="s">
        <v>5203</v>
      </c>
      <c r="H695" s="613" t="s">
        <v>5204</v>
      </c>
      <c r="I695" s="614" t="s">
        <v>664</v>
      </c>
      <c r="J695" s="614">
        <v>2</v>
      </c>
      <c r="K695" s="614" t="s">
        <v>5369</v>
      </c>
    </row>
    <row r="696" spans="1:12" x14ac:dyDescent="0.3">
      <c r="A696" s="827"/>
      <c r="B696" s="613" t="s">
        <v>5231</v>
      </c>
      <c r="C696" s="614" t="s">
        <v>306</v>
      </c>
      <c r="D696" s="614" t="s">
        <v>322</v>
      </c>
      <c r="E696" s="614" t="s">
        <v>307</v>
      </c>
      <c r="F696" s="613" t="s">
        <v>4948</v>
      </c>
      <c r="G696" s="613" t="s">
        <v>3179</v>
      </c>
      <c r="H696" s="613" t="s">
        <v>1096</v>
      </c>
      <c r="I696" s="614" t="s">
        <v>664</v>
      </c>
      <c r="J696" s="614">
        <v>5</v>
      </c>
      <c r="K696" s="614" t="s">
        <v>5369</v>
      </c>
    </row>
    <row r="697" spans="1:12" x14ac:dyDescent="0.3">
      <c r="A697" s="827"/>
      <c r="B697" s="615" t="s">
        <v>4923</v>
      </c>
      <c r="C697" s="614" t="s">
        <v>19</v>
      </c>
      <c r="D697" s="614" t="s">
        <v>25</v>
      </c>
      <c r="E697" s="614" t="s">
        <v>307</v>
      </c>
      <c r="F697" s="616" t="s">
        <v>4949</v>
      </c>
      <c r="G697" s="617" t="s">
        <v>482</v>
      </c>
      <c r="H697" s="613" t="s">
        <v>4951</v>
      </c>
      <c r="I697" s="614" t="s">
        <v>168</v>
      </c>
      <c r="J697" s="614">
        <v>5</v>
      </c>
      <c r="K697" s="614" t="s">
        <v>5369</v>
      </c>
    </row>
    <row r="698" spans="1:12" x14ac:dyDescent="0.3">
      <c r="A698" s="827"/>
      <c r="B698" s="615">
        <v>46111</v>
      </c>
      <c r="C698" s="614" t="s">
        <v>49</v>
      </c>
      <c r="D698" s="614" t="s">
        <v>151</v>
      </c>
      <c r="E698" s="614" t="s">
        <v>5265</v>
      </c>
      <c r="F698" s="616" t="s">
        <v>4949</v>
      </c>
      <c r="G698" s="617" t="s">
        <v>482</v>
      </c>
      <c r="H698" s="613" t="s">
        <v>5326</v>
      </c>
      <c r="I698" s="614" t="s">
        <v>126</v>
      </c>
      <c r="J698" s="614">
        <v>1</v>
      </c>
      <c r="K698" s="614" t="s">
        <v>5369</v>
      </c>
      <c r="L698" s="626">
        <f>250000*7</f>
        <v>1750000</v>
      </c>
    </row>
    <row r="699" spans="1:12" x14ac:dyDescent="0.3">
      <c r="A699" s="826" t="s">
        <v>1650</v>
      </c>
      <c r="B699" s="826"/>
      <c r="C699" s="826"/>
      <c r="D699" s="826"/>
      <c r="E699" s="826"/>
      <c r="F699" s="826"/>
      <c r="G699" s="826"/>
      <c r="H699" s="826"/>
      <c r="I699" s="826"/>
      <c r="J699" s="235">
        <f>SUM(J692:J698)</f>
        <v>20</v>
      </c>
      <c r="K699" s="235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 x14ac:dyDescent="0.3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5429</v>
      </c>
      <c r="D4" t="s">
        <v>5430</v>
      </c>
    </row>
    <row r="5" spans="2:13" x14ac:dyDescent="0.3">
      <c r="B5" t="s">
        <v>5425</v>
      </c>
      <c r="C5" s="109">
        <v>160000</v>
      </c>
      <c r="D5" s="109"/>
    </row>
    <row r="6" spans="2:13" x14ac:dyDescent="0.3">
      <c r="B6" t="s">
        <v>5426</v>
      </c>
      <c r="C6" s="109">
        <f>59500*2</f>
        <v>119000</v>
      </c>
      <c r="D6" s="109">
        <f>186000*2</f>
        <v>372000</v>
      </c>
      <c r="H6" t="s">
        <v>5445</v>
      </c>
    </row>
    <row r="7" spans="2:13" x14ac:dyDescent="0.3">
      <c r="B7" t="s">
        <v>5427</v>
      </c>
      <c r="C7" s="109">
        <v>250000</v>
      </c>
      <c r="D7" s="109"/>
      <c r="H7" s="629" t="s">
        <v>162</v>
      </c>
      <c r="I7" s="629" t="s">
        <v>5434</v>
      </c>
      <c r="J7" s="629" t="s">
        <v>5435</v>
      </c>
      <c r="K7" s="629" t="s">
        <v>5441</v>
      </c>
      <c r="L7" s="629" t="s">
        <v>1458</v>
      </c>
      <c r="M7" s="629" t="s">
        <v>3324</v>
      </c>
    </row>
    <row r="8" spans="2:13" x14ac:dyDescent="0.3">
      <c r="B8" t="s">
        <v>5428</v>
      </c>
      <c r="C8" s="109">
        <v>500000</v>
      </c>
      <c r="D8" s="109"/>
      <c r="H8" s="629" t="s">
        <v>5437</v>
      </c>
      <c r="I8" s="381">
        <f>C6+D6</f>
        <v>491000</v>
      </c>
      <c r="J8" s="381">
        <f>(C5*2)+60000</f>
        <v>380000</v>
      </c>
      <c r="K8" s="381"/>
      <c r="L8" s="381">
        <f>SUM(I8:J8)</f>
        <v>871000</v>
      </c>
      <c r="M8" s="629" t="s">
        <v>5450</v>
      </c>
    </row>
    <row r="9" spans="2:13" x14ac:dyDescent="0.3">
      <c r="C9" s="109"/>
      <c r="D9" s="109"/>
      <c r="H9" s="629" t="s">
        <v>5438</v>
      </c>
      <c r="I9" s="381">
        <f>70000*2</f>
        <v>140000</v>
      </c>
      <c r="J9" s="381"/>
      <c r="K9" s="381"/>
      <c r="L9" s="381">
        <f>SUM(I9:J9)</f>
        <v>140000</v>
      </c>
      <c r="M9" s="629" t="s">
        <v>5449</v>
      </c>
    </row>
    <row r="10" spans="2:13" x14ac:dyDescent="0.3">
      <c r="C10" s="109"/>
      <c r="D10" s="109"/>
      <c r="H10" s="629" t="s">
        <v>5431</v>
      </c>
      <c r="I10" s="637">
        <f>250000*6</f>
        <v>1500000</v>
      </c>
      <c r="J10" s="637"/>
      <c r="K10" s="637">
        <f t="shared" ref="K10" si="0">46875*13</f>
        <v>609375</v>
      </c>
      <c r="L10" s="381">
        <f>SUM(I10:K10)</f>
        <v>2109375</v>
      </c>
      <c r="M10" s="629" t="s">
        <v>5451</v>
      </c>
    </row>
    <row r="11" spans="2:13" x14ac:dyDescent="0.3">
      <c r="C11" s="109"/>
      <c r="D11" s="109"/>
      <c r="H11" s="629" t="s">
        <v>5432</v>
      </c>
      <c r="I11" s="381">
        <v>550000</v>
      </c>
      <c r="J11" s="629"/>
      <c r="K11" s="637"/>
      <c r="L11" s="381">
        <f>SUM(I11:J11)</f>
        <v>550000</v>
      </c>
      <c r="M11" s="629" t="s">
        <v>5433</v>
      </c>
    </row>
    <row r="12" spans="2:13" x14ac:dyDescent="0.3">
      <c r="C12" s="109"/>
      <c r="D12" s="109"/>
      <c r="H12" s="649" t="s">
        <v>5443</v>
      </c>
      <c r="I12" s="649"/>
      <c r="J12" s="649"/>
      <c r="K12" s="649"/>
      <c r="L12" s="638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5446</v>
      </c>
    </row>
    <row r="15" spans="2:13" x14ac:dyDescent="0.3">
      <c r="H15" s="629" t="s">
        <v>162</v>
      </c>
      <c r="I15" s="629" t="s">
        <v>5434</v>
      </c>
      <c r="J15" s="629" t="s">
        <v>5435</v>
      </c>
      <c r="K15" s="629" t="s">
        <v>5442</v>
      </c>
      <c r="L15" s="629" t="s">
        <v>1458</v>
      </c>
      <c r="M15" s="629" t="s">
        <v>3324</v>
      </c>
    </row>
    <row r="16" spans="2:13" x14ac:dyDescent="0.3">
      <c r="H16" s="629" t="s">
        <v>5437</v>
      </c>
      <c r="I16" s="381">
        <f>(C6*2)+D6</f>
        <v>610000</v>
      </c>
      <c r="J16" s="381">
        <f>C5</f>
        <v>160000</v>
      </c>
      <c r="K16" s="381"/>
      <c r="L16" s="381">
        <f>SUM(I16:J16)</f>
        <v>770000</v>
      </c>
      <c r="M16" s="629" t="s">
        <v>5436</v>
      </c>
    </row>
    <row r="17" spans="8:13" x14ac:dyDescent="0.3">
      <c r="H17" s="629" t="s">
        <v>5439</v>
      </c>
      <c r="I17" s="381">
        <f>70000*2</f>
        <v>140000</v>
      </c>
      <c r="J17" s="381"/>
      <c r="K17" s="381"/>
      <c r="L17" s="381">
        <f>SUM(I17:J17)</f>
        <v>140000</v>
      </c>
      <c r="M17" s="629" t="s">
        <v>5448</v>
      </c>
    </row>
    <row r="18" spans="8:13" x14ac:dyDescent="0.3">
      <c r="H18" s="629" t="s">
        <v>5431</v>
      </c>
      <c r="I18" s="637">
        <f>250000*8</f>
        <v>2000000</v>
      </c>
      <c r="J18" s="637"/>
      <c r="K18" s="637">
        <f>46875*4</f>
        <v>187500</v>
      </c>
      <c r="L18" s="381">
        <f>SUM(I18:K18)</f>
        <v>2187500</v>
      </c>
      <c r="M18" s="629" t="s">
        <v>5440</v>
      </c>
    </row>
    <row r="19" spans="8:13" x14ac:dyDescent="0.3">
      <c r="H19" s="629" t="s">
        <v>5432</v>
      </c>
      <c r="I19" s="381">
        <v>550000</v>
      </c>
      <c r="J19" s="629"/>
      <c r="K19" s="629"/>
      <c r="L19" s="381">
        <f>SUM(I19:J19)</f>
        <v>550000</v>
      </c>
      <c r="M19" s="629" t="s">
        <v>5433</v>
      </c>
    </row>
    <row r="20" spans="8:13" x14ac:dyDescent="0.3">
      <c r="H20" s="649" t="s">
        <v>5444</v>
      </c>
      <c r="I20" s="649"/>
      <c r="J20" s="649"/>
      <c r="K20" s="649"/>
      <c r="L20" s="638">
        <f>SUM(L16:L19)</f>
        <v>3647500</v>
      </c>
    </row>
    <row r="22" spans="8:13" x14ac:dyDescent="0.3">
      <c r="H22" s="639" t="s">
        <v>5447</v>
      </c>
      <c r="I22" s="638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2026-04-06T04:58:55Z</dcterms:modified>
</cp:coreProperties>
</file>