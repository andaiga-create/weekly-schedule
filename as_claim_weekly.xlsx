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<sst xmlns="http://schemas.openxmlformats.org/spreadsheetml/2006/main" count="29509" uniqueCount="7272">
  <si>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</si>
  <si>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</si>
  <si>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</si>
  <si>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</si>
  <si>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</si>
  <si>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</si>
  <si>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</si>
  <si>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</si>
  <si>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</si>
  <si>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</si>
  <si>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</si>
  <si>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</si>
  <si>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</si>
  <si>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</si>
  <si>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</si>
  <si>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</si>
  <si>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</si>
  <si>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</si>
  <si>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</si>
  <si>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</si>
  <si>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</si>
  <si>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</si>
  <si>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</si>
  <si>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</si>
  <si>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</si>
  <si>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</si>
  <si>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</si>
  <si>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</si>
  <si>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</si>
  <si>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</si>
  <si>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</si>
  <si>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</si>
  <si>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</si>
  <si>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</si>
  <si>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</si>
  <si>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</si>
  <si>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</si>
  <si>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</si>
  <si>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</si>
  <si>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</si>
  <si>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</si>
  <si>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</si>
  <si>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</si>
  <si>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</si>
  <si>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</si>
  <si>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</si>
  <si>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</si>
  <si>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</si>
  <si>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</si>
  <si>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</si>
  <si>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</si>
  <si>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</si>
  <si>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</si>
  <si>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</si>
  <si>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</si>
  <si>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</si>
  <si>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</si>
  <si>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</si>
  <si>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</si>
  <si>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</si>
  <si>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</si>
  <si>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</si>
  <si>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</si>
  <si>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</si>
  <si>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</si>
  <si>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</si>
  <si>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</si>
  <si>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</si>
  <si>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</si>
  <si>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</si>
  <si>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</si>
  <si>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</si>
  <si>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</si>
  <si>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</si>
  <si>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</si>
  <si>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</si>
  <si>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</si>
  <si>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</si>
  <si>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</si>
  <si>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</si>
  <si>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</si>
  <si>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</si>
  <si>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</si>
  <si>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</si>
  <si>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</si>
  <si>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</si>
  <si>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</si>
  <si>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</si>
  <si>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</si>
  <si>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</si>
  <si>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</si>
  <si>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</si>
  <si>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</si>
  <si>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</si>
  <si>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</si>
  <si>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</si>
  <si>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</si>
  <si>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</si>
  <si>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</si>
  <si>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</si>
  <si>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</si>
  <si>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</si>
  <si>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</si>
  <si>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</si>
  <si>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</si>
  <si>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</si>
  <si>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</si>
  <si>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</si>
  <si>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</si>
  <si>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</si>
  <si>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</si>
  <si>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</si>
  <si>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</si>
  <si>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</si>
  <si>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</si>
  <si>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</si>
  <si>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</si>
  <si>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</si>
  <si>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</si>
  <si>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</si>
  <si>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</si>
  <si>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</si>
  <si>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</si>
  <si>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</si>
  <si>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</si>
  <si>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</si>
  <si>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</si>
  <si>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</si>
  <si>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</si>
  <si>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</si>
  <si>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</si>
  <si>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</si>
  <si>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</si>
  <si>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</si>
  <si>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</si>
  <si>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</si>
  <si>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</si>
  <si>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</si>
  <si>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</si>
  <si>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</si>
  <si>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</si>
  <si>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</si>
  <si>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</si>
  <si>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</si>
  <si>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</si>
  <si>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</si>
  <si>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</si>
  <si>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</si>
  <si>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</si>
  <si>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</si>
  <si>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</si>
  <si>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</si>
  <si>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</si>
  <si>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</si>
  <si>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</si>
  <si>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</si>
  <si>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</si>
  <si>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</si>
  <si>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</si>
  <si>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</si>
  <si>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</si>
  <si>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</si>
  <si>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</si>
  <si>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</si>
  <si>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</si>
  <si>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</si>
  <si>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</si>
  <si>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</si>
  <si>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</si>
  <si>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</si>
  <si>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</si>
  <si>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</si>
  <si>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</si>
  <si>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</si>
  <si>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</si>
  <si>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</si>
  <si>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</si>
  <si>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</si>
  <si>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</si>
  <si>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</si>
  <si>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</si>
  <si>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</si>
  <si>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</si>
  <si>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</si>
  <si>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</si>
  <si>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</si>
  <si>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</si>
  <si>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</si>
  <si>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</si>
  <si>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</si>
  <si>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</si>
  <si>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</si>
  <si>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</si>
  <si>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</si>
  <si>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</si>
  <si>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</si>
  <si>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</si>
  <si>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</si>
  <si>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</si>
  <si>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</si>
  <si>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</si>
  <si>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</si>
  <si>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</si>
  <si>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</si>
  <si>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</si>
  <si>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</si>
  <si>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</si>
  <si>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</si>
  <si>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</si>
  <si>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</si>
  <si>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</si>
  <si>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</si>
  <si>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</si>
  <si>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</si>
  <si>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</si>
  <si>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</si>
  <si>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</si>
  <si>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</si>
  <si>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</si>
  <si>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</si>
  <si>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</si>
  <si>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</si>
  <si>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</si>
  <si>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</si>
  <si>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</si>
  <si>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</si>
  <si>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</si>
  <si>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</si>
  <si>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</si>
  <si>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</si>
  <si>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</si>
  <si>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</si>
  <si>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</si>
  <si>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</si>
  <si>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</si>
  <si>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</si>
  <si>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</si>
  <si>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</si>
  <si>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</si>
  <si>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</si>
  <si>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</si>
  <si>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</si>
  <si>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</si>
  <si>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</si>
  <si>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</si>
  <si>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</si>
  <si>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</si>
  <si>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</si>
  <si>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</si>
  <si>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</si>
  <si>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</si>
  <si>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</si>
  <si>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</si>
  <si>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</si>
  <si>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</si>
  <si>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</si>
  <si>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</si>
  <si>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</si>
  <si>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</si>
  <si>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</si>
  <si>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</si>
  <si>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</si>
  <si>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</si>
  <si>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</si>
  <si>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</si>
  <si>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</si>
  <si>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</si>
  <si>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</si>
  <si>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</si>
  <si>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</si>
  <si>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</si>
  <si>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</si>
  <si>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</si>
  <si>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</si>
  <si>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</si>
  <si>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</si>
  <si>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</si>
  <si>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</si>
  <si>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</si>
  <si>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</si>
  <si>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</si>
  <si>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</si>
  <si>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</si>
  <si>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</si>
  <si>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</si>
  <si>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</si>
  <si>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</si>
  <si>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</si>
  <si>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</si>
  <si>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</si>
  <si>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</si>
  <si>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</si>
  <si>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</si>
  <si>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</si>
  <si>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</si>
  <si>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</si>
  <si>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</si>
  <si>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</si>
  <si>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</si>
  <si>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</si>
  <si>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</si>
  <si>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</si>
  <si>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</si>
  <si>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</si>
  <si>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</si>
  <si>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</si>
  <si>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</si>
  <si>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</si>
  <si>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</si>
  <si>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</si>
  <si>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</si>
  <si>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</si>
  <si>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</si>
  <si>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</si>
  <si>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</si>
  <si>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</si>
  <si>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</si>
  <si>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</si>
  <si>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</si>
  <si>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</si>
  <si>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</si>
  <si>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</si>
  <si>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</si>
  <si>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</si>
  <si>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</si>
  <si>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</si>
  <si>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</si>
  <si>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</si>
  <si>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</si>
  <si>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</si>
  <si>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</si>
  <si>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</si>
  <si>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</si>
  <si>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</si>
  <si>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</si>
  <si>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</si>
  <si>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</si>
  <si>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</si>
  <si>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</si>
  <si>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</si>
  <si>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</si>
  <si>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</si>
  <si>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</si>
  <si>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</si>
  <si>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</si>
  <si>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</si>
  <si>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</si>
  <si>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</si>
  <si>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</si>
  <si>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</si>
  <si>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</si>
  <si>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</si>
  <si>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</si>
  <si>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</si>
  <si>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</si>
  <si>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</si>
  <si>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</si>
  <si>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</si>
  <si>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</si>
  <si>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</si>
  <si>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</si>
  <si>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</si>
  <si>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</si>
  <si>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</si>
  <si>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</si>
  <si>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</si>
  <si>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</si>
  <si>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</si>
  <si>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</si>
  <si>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</si>
  <si>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</si>
  <si>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</si>
  <si>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</si>
  <si>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</si>
  <si>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</si>
  <si>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</si>
  <si>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</si>
  <si>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</si>
  <si>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</si>
  <si>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</si>
  <si>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</si>
  <si>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</si>
  <si>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</si>
  <si>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</si>
  <si>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</si>
  <si>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</si>
  <si>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</si>
  <si>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</si>
  <si>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</si>
  <si>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</si>
  <si>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</si>
  <si>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</si>
  <si>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</si>
  <si>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</si>
  <si>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</si>
  <si>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</si>
  <si>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</si>
  <si>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</si>
  <si>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</si>
  <si>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</si>
  <si>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</si>
  <si>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</si>
  <si>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</si>
  <si>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</si>
  <si>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</si>
  <si>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</si>
  <si>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</si>
  <si>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</si>
  <si>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</si>
  <si>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</si>
  <si>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</si>
  <si>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</si>
  <si>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</si>
  <si>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</si>
  <si>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</si>
  <si>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</si>
  <si>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</si>
  <si>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</si>
  <si>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</si>
  <si>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</si>
  <si>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</si>
  <si>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</si>
  <si>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</si>
  <si>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</si>
  <si>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</si>
  <si>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</si>
  <si>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</si>
  <si>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</si>
  <si>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</si>
  <si>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</si>
  <si>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</si>
  <si>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</si>
  <si>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</si>
  <si>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</si>
  <si>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</si>
  <si>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</si>
  <si>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</si>
  <si>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</si>
  <si>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</si>
  <si>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</si>
  <si>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</si>
  <si>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</si>
  <si>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</si>
  <si>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</si>
  <si>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</si>
  <si>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</si>
  <si>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</si>
  <si>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</si>
  <si>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</si>
  <si>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</si>
  <si>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</si>
  <si>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</si>
  <si>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</si>
  <si>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</si>
  <si>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</si>
  <si>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</si>
  <si>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</si>
  <si>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</si>
  <si>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</si>
  <si>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</si>
  <si>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</si>
  <si>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</si>
  <si>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</si>
  <si>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</si>
  <si>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</si>
  <si>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</si>
  <si>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</si>
  <si>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</si>
  <si>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</si>
  <si>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</si>
  <si>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</si>
  <si>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</si>
  <si>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</si>
  <si>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</si>
  <si>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</si>
  <si>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</si>
  <si>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</si>
  <si>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</si>
  <si>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</si>
  <si>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</si>
  <si>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</si>
  <si>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</si>
  <si>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</si>
  <si>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</si>
  <si>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</si>
  <si>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</si>
  <si>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</si>
  <si>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</si>
  <si>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</si>
  <si>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</si>
  <si>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</si>
  <si>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</si>
  <si>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</si>
  <si>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</si>
  <si>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</si>
  <si>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</si>
  <si>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</si>
  <si>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</si>
  <si>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</si>
  <si>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</si>
  <si>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</si>
  <si>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</si>
  <si>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</si>
  <si>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</si>
  <si>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</si>
  <si>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</si>
  <si>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</si>
  <si>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</si>
  <si>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</si>
  <si>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</si>
  <si>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</si>
  <si>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</si>
  <si>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</si>
  <si>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</si>
  <si>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</si>
  <si>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</si>
  <si>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</si>
  <si>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</si>
  <si>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</si>
  <si>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</si>
  <si>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</si>
  <si>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</si>
  <si>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</si>
  <si>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</si>
  <si>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</si>
  <si>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</si>
  <si>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</si>
  <si>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</si>
  <si>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</si>
  <si>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</si>
  <si>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</si>
  <si>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</si>
  <si>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</si>
  <si>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</si>
  <si>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</si>
  <si>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</si>
  <si>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</si>
  <si>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</si>
  <si>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</si>
  <si>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</si>
  <si>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</si>
  <si>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</si>
  <si>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</si>
  <si>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</si>
  <si>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</si>
  <si>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</si>
  <si>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</si>
  <si>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</si>
  <si>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</si>
  <si>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</si>
  <si>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</si>
  <si>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</si>
  <si>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</si>
  <si>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</si>
  <si>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</si>
  <si>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</si>
  <si>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</si>
  <si>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</si>
  <si>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</si>
  <si>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</si>
  <si>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</si>
  <si>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</si>
  <si>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</si>
  <si>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</si>
  <si>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</si>
  <si>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</si>
  <si>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</si>
  <si>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</si>
  <si>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</si>
  <si>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</si>
  <si>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</si>
  <si>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</si>
  <si>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</si>
  <si>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</si>
  <si>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</si>
  <si>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</si>
  <si>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</si>
  <si>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</si>
  <si>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</si>
  <si>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</si>
  <si>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</si>
  <si>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</si>
  <si>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</si>
  <si>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</si>
  <si>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</si>
  <si>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</si>
  <si>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</si>
  <si>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</si>
  <si>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</si>
  <si>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</si>
  <si>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</si>
  <si>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</si>
  <si>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</si>
  <si>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</si>
  <si>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</si>
  <si>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</si>
  <si>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</si>
  <si>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</si>
  <si>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</si>
  <si>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</si>
  <si>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</si>
  <si>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</si>
  <si>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</si>
  <si>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</si>
  <si>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</si>
  <si>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</si>
  <si>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</si>
  <si>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</si>
  <si>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</si>
  <si>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</si>
  <si>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</si>
  <si>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</si>
  <si>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</si>
  <si>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</si>
  <si>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</si>
  <si>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</si>
  <si>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</si>
  <si>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</si>
  <si>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</si>
  <si>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</si>
  <si>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</si>
  <si>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</si>
  <si>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</si>
  <si>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</si>
  <si>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</si>
  <si>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</si>
  <si>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</si>
  <si>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</si>
  <si>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</si>
  <si>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</si>
  <si>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</si>
  <si>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</si>
  <si>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</si>
  <si>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</si>
  <si>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</si>
  <si>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</si>
  <si>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</si>
  <si>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</si>
  <si>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</si>
  <si>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</si>
  <si>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</si>
  <si>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</si>
  <si>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</si>
  <si>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</si>
  <si>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</si>
  <si>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</si>
  <si>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</si>
  <si>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</si>
  <si>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</si>
  <si>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</si>
  <si>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</si>
  <si>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</si>
  <si>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</si>
  <si>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</si>
  <si>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</si>
  <si>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</si>
  <si>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</si>
  <si>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</si>
  <si>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</si>
  <si>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</si>
  <si>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</si>
  <si>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</si>
  <si>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</si>
  <si>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</si>
  <si>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</si>
  <si>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</si>
  <si>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</si>
  <si>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</si>
  <si>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</si>
  <si>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</si>
  <si>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</si>
  <si>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</si>
  <si>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</si>
  <si>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</si>
  <si>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</si>
  <si>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</si>
  <si>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</si>
  <si>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</si>
  <si>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</si>
  <si>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</si>
  <si>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</si>
  <si>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</si>
  <si>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</si>
  <si>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</si>
  <si>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</si>
  <si>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</si>
  <si>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</si>
  <si>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</si>
  <si>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</si>
  <si>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</si>
  <si>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</si>
  <si>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</si>
  <si>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</si>
  <si>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</si>
  <si>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</si>
  <si>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</si>
  <si>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</si>
  <si>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</si>
  <si>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</si>
  <si>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</si>
  <si>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</si>
  <si>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</si>
  <si>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</si>
  <si>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</si>
  <si>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</si>
  <si>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</si>
  <si>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</si>
  <si>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</si>
  <si>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</si>
  <si>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</si>
  <si>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</si>
  <si>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</si>
  <si>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</si>
  <si>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</si>
  <si>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</si>
  <si>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</si>
  <si>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</si>
  <si>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</si>
  <si>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</si>
  <si>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</si>
  <si>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</si>
  <si>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</si>
  <si>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</si>
  <si>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</si>
  <si>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</si>
  <si>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</si>
  <si>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</si>
  <si>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</si>
  <si>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</si>
  <si>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</si>
  <si>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</si>
  <si>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</si>
  <si>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</si>
  <si>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</si>
  <si>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</si>
  <si>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</si>
  <si>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</si>
  <si>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</si>
  <si>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</si>
  <si>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</si>
  <si>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</si>
  <si>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</si>
  <si>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</si>
  <si>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</si>
  <si>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</si>
  <si>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</si>
  <si>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</si>
  <si>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</si>
  <si>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</si>
  <si>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</si>
  <si>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</si>
  <si>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</si>
  <si>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</si>
  <si>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</si>
  <si>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</si>
  <si>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</si>
  <si>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</si>
  <si>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</si>
  <si>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</si>
  <si>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</si>
  <si>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</si>
  <si>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</si>
  <si>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</si>
  <si>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</si>
  <si>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</si>
  <si>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</si>
  <si>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</si>
  <si>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</si>
  <si>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</si>
  <si>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</si>
  <si>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</si>
  <si>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</si>
  <si>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</si>
  <si>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</si>
  <si>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</si>
  <si>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</si>
  <si>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</si>
  <si>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</si>
  <si>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</si>
  <si>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</si>
  <si>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</si>
  <si>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</si>
  <si>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</si>
  <si>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</si>
  <si>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</si>
  <si>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</si>
  <si>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</si>
  <si>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</si>
  <si>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</si>
  <si>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</si>
  <si>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</si>
  <si>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</si>
  <si>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</si>
  <si>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</si>
  <si>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</si>
  <si>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</si>
  <si>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</si>
  <si>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</si>
  <si>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</si>
  <si>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</si>
  <si>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</si>
  <si>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</si>
  <si>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</si>
  <si>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</si>
  <si>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</si>
  <si>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</si>
  <si>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</si>
  <si>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</si>
  <si>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</si>
  <si>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</si>
  <si>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</si>
  <si>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</si>
  <si>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</si>
  <si>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</si>
  <si>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</si>
  <si>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</si>
  <si>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</si>
  <si>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</si>
  <si>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</si>
  <si>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</si>
  <si>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</si>
  <si>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</si>
  <si>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</si>
  <si>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</si>
  <si>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</si>
  <si>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</si>
  <si>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</si>
  <si>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</si>
  <si>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</si>
  <si>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</si>
  <si>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</si>
  <si>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</si>
  <si>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</si>
  <si>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</si>
  <si>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</si>
  <si>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</si>
  <si>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</si>
  <si>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</si>
  <si>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</si>
  <si>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</si>
  <si>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</si>
  <si>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</si>
  <si>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</si>
  <si>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</si>
  <si>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</si>
  <si>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</si>
  <si>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</si>
  <si>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</si>
  <si>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</si>
  <si>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</si>
  <si>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</si>
  <si>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</si>
  <si>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</si>
  <si>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</si>
  <si>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</si>
  <si>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</si>
  <si>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</si>
  <si>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</si>
  <si>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</si>
  <si>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</si>
  <si>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</si>
  <si>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</si>
  <si>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</si>
  <si>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</si>
  <si>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</si>
  <si>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</si>
  <si>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</si>
  <si>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</si>
  <si>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</si>
  <si>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</si>
  <si>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</si>
  <si>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</si>
  <si>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</si>
  <si>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</si>
  <si>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</si>
  <si>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</si>
  <si>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</si>
  <si>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</si>
  <si>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</si>
  <si>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</si>
  <si>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</si>
  <si>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</si>
  <si>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</si>
  <si>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</si>
  <si>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</si>
  <si>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</si>
  <si>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</si>
  <si>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</si>
  <si>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</si>
  <si>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</si>
  <si>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</si>
  <si>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</si>
  <si>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</si>
  <si>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</si>
  <si>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</si>
  <si>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</si>
  <si>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</si>
  <si>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</si>
  <si>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</si>
  <si>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</si>
  <si>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</si>
  <si>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</si>
  <si>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</si>
  <si>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</si>
  <si>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</si>
  <si>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</si>
  <si>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</si>
  <si>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</si>
  <si>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</si>
  <si>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</si>
  <si>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</si>
  <si>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</si>
  <si>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</si>
  <si>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</si>
  <si>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</si>
  <si>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</si>
  <si>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</si>
  <si>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</si>
  <si>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</si>
  <si>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</si>
  <si>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</si>
  <si>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</si>
  <si>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</si>
  <si>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</si>
  <si>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</si>
  <si>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</si>
  <si>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</si>
  <si>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</si>
  <si>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</si>
  <si>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</si>
  <si>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</si>
  <si>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</si>
  <si>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</si>
  <si>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</si>
  <si>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</si>
  <si>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</si>
  <si>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</si>
  <si>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</si>
  <si>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</si>
  <si>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</si>
  <si>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</si>
  <si>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</si>
  <si>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</si>
  <si>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</si>
  <si>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</si>
  <si>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</si>
  <si>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</si>
  <si>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</si>
  <si>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</si>
  <si>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</si>
  <si>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</si>
  <si>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</si>
  <si>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</si>
  <si>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</si>
  <si>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</si>
  <si>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</si>
  <si>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</si>
  <si>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</si>
  <si>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</si>
  <si>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</si>
  <si>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</si>
  <si>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</si>
  <si>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</si>
  <si>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</si>
  <si>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</si>
  <si>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</si>
  <si>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</si>
  <si>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</si>
  <si>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</si>
  <si>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</si>
  <si>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</si>
  <si>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</si>
  <si>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</si>
  <si>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</si>
  <si>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</si>
  <si>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</si>
  <si>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</si>
  <si>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</si>
  <si>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</si>
  <si>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</si>
  <si>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</si>
  <si>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</si>
  <si>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</si>
  <si>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</si>
  <si>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</si>
  <si>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</si>
  <si>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</si>
  <si>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</si>
  <si>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</si>
  <si>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</si>
  <si>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</si>
  <si>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</si>
  <si>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</si>
  <si>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</si>
  <si>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</si>
  <si>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</si>
  <si>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</si>
  <si>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</si>
  <si>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</si>
  <si>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</si>
  <si>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</si>
  <si>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</si>
  <si>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</si>
  <si>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</si>
  <si>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</si>
  <si>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</si>
  <si>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</si>
  <si>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</si>
  <si>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</si>
  <si>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</si>
  <si>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</si>
  <si>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</si>
  <si>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</si>
  <si>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</si>
  <si>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</si>
  <si>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</si>
  <si>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</si>
  <si>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</si>
  <si>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</si>
  <si>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</si>
  <si>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</si>
  <si>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</si>
  <si>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</si>
  <si>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</si>
  <si>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</si>
  <si>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</si>
  <si>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</si>
  <si>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</si>
  <si>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</si>
  <si>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</si>
  <si>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</si>
  <si>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</si>
  <si>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</si>
  <si>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</si>
  <si>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</si>
  <si>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</si>
  <si>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</si>
  <si>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</si>
  <si>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</si>
  <si>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</si>
  <si>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</si>
  <si>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</si>
  <si>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</si>
  <si>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</si>
  <si>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</si>
  <si>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</si>
  <si>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</si>
  <si>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</si>
  <si>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</si>
  <si>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</si>
  <si>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</si>
  <si>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</si>
  <si>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</si>
  <si>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</si>
  <si>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</si>
  <si>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</si>
  <si>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</si>
  <si>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</si>
  <si>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</si>
  <si>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</si>
  <si>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</si>
  <si>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</si>
  <si>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</si>
  <si>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</si>
  <si>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</si>
  <si>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</si>
  <si>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</si>
  <si>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</si>
  <si>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</si>
  <si>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</si>
  <si>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</si>
  <si>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</si>
  <si>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</si>
  <si>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</si>
  <si>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</si>
  <si>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</si>
  <si>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</si>
  <si>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</si>
  <si>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</si>
  <si>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</si>
  <si>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</si>
  <si>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</si>
  <si>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</si>
  <si>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</si>
  <si>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</si>
  <si>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</si>
  <si>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</si>
  <si>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</si>
  <si>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</si>
  <si>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</si>
  <si>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</si>
  <si>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</si>
  <si>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</si>
  <si>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</si>
  <si>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</si>
  <si>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</si>
  <si>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</si>
  <si>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</si>
  <si>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</si>
  <si>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</si>
  <si>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</si>
  <si>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</si>
  <si>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</si>
  <si>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</si>
  <si>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</si>
  <si>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</si>
  <si>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</si>
  <si>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</si>
  <si>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</si>
  <si>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</si>
  <si>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</si>
  <si>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</si>
  <si>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</si>
  <si>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</si>
  <si>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</si>
  <si>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</si>
  <si>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</si>
  <si>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</si>
  <si>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</si>
  <si>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</si>
  <si>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</si>
  <si>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</si>
  <si>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</si>
  <si>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</si>
  <si>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</si>
  <si>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</si>
  <si>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</si>
  <si>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</si>
  <si>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</si>
  <si>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</si>
  <si>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</si>
  <si>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</si>
  <si>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</si>
  <si>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</si>
  <si>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</si>
  <si>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</si>
  <si>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</si>
  <si>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</si>
  <si>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</si>
  <si>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</si>
  <si>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</si>
  <si>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</si>
  <si>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</si>
  <si>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</si>
  <si>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</si>
  <si>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</si>
  <si>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</si>
  <si>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</si>
  <si>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</si>
  <si>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</si>
  <si>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</si>
  <si>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</si>
  <si>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</si>
  <si>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</si>
  <si>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</si>
  <si>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</si>
  <si>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</si>
  <si>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</si>
  <si>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</si>
  <si>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</si>
  <si>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</si>
  <si>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</si>
  <si>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</si>
  <si>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</si>
  <si>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</si>
  <si>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</si>
  <si>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</si>
  <si>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</si>
  <si>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</si>
  <si>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</si>
  <si>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</si>
  <si>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</si>
  <si>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</si>
  <si>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</si>
  <si>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</si>
  <si>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</si>
  <si>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</si>
  <si>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</si>
  <si>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</si>
  <si>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</si>
  <si>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</si>
  <si>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</si>
  <si>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</si>
  <si>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</si>
  <si>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</si>
  <si>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</si>
  <si>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</si>
  <si>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</si>
  <si>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</si>
  <si>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</si>
  <si>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</si>
  <si>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</si>
  <si>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</si>
  <si>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</si>
  <si>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</si>
  <si>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</si>
  <si>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</si>
  <si>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</si>
  <si>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</si>
  <si>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</si>
  <si>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</si>
  <si>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</si>
  <si>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</si>
  <si>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</si>
  <si>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</si>
  <si>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</si>
  <si>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</si>
  <si>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</si>
  <si>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</si>
  <si>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</si>
  <si>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</si>
  <si>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</si>
  <si>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</si>
  <si>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</si>
  <si>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</si>
  <si>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</si>
  <si>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</si>
  <si>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</si>
  <si>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</si>
  <si>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</si>
  <si>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</si>
  <si>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</si>
  <si>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</si>
  <si>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</si>
  <si>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</si>
  <si>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</si>
  <si>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</si>
  <si>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</si>
  <si>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</si>
  <si>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</si>
  <si>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</si>
  <si>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</si>
  <si>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</si>
  <si>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</si>
  <si>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</si>
  <si>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</si>
  <si>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</si>
  <si>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</si>
  <si>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</si>
  <si>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</si>
  <si>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</si>
  <si>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</si>
  <si>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</si>
  <si>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</si>
  <si>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</si>
  <si>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</si>
  <si>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</si>
  <si>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</si>
  <si>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</si>
  <si>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</si>
  <si>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</si>
  <si>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</si>
  <si>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</si>
  <si>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</si>
  <si>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</si>
  <si>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</si>
  <si>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</si>
  <si>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</si>
  <si>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</si>
  <si>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</si>
  <si>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</si>
  <si>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</si>
  <si>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</si>
  <si>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</si>
  <si>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</si>
  <si>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</si>
  <si>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</si>
  <si>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</si>
  <si>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</si>
  <si>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</si>
  <si>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</si>
  <si>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</si>
  <si>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</si>
  <si>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</si>
  <si>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</si>
  <si>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</si>
  <si>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</si>
  <si>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</si>
  <si>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</si>
  <si>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</si>
  <si>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</si>
  <si>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</si>
  <si>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</si>
  <si>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</si>
  <si>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</si>
  <si>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</si>
  <si>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</si>
  <si>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</si>
  <si>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</si>
  <si>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</si>
  <si>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</si>
  <si>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</si>
  <si>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</si>
  <si>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</si>
  <si>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</si>
  <si>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</si>
  <si>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</si>
  <si>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</si>
  <si>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</si>
  <si>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</si>
  <si>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</si>
  <si>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</si>
  <si>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</si>
  <si>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</si>
  <si>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</si>
  <si>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</si>
  <si>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</si>
  <si>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</si>
  <si>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</si>
  <si>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</si>
  <si>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</si>
  <si>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</si>
  <si>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</si>
  <si>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</si>
  <si>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</si>
  <si>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</si>
  <si>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</si>
  <si>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</si>
  <si>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</si>
  <si>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</si>
  <si>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</si>
  <si>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</si>
  <si>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</si>
  <si>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</si>
  <si>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</si>
  <si>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</si>
  <si>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</si>
  <si>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</si>
  <si>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</si>
  <si>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</si>
  <si>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</si>
  <si>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</si>
  <si>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</si>
  <si>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</si>
  <si>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</si>
  <si>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</si>
  <si>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</si>
  <si>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</si>
  <si>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</si>
  <si>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</si>
  <si>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</si>
  <si>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</si>
  <si>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</si>
  <si>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</si>
  <si>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</si>
  <si>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</si>
  <si>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</si>
  <si>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</si>
  <si>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</si>
  <si>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</si>
  <si>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</si>
  <si>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</si>
  <si>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</si>
  <si>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</si>
  <si>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</si>
  <si>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</si>
  <si>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</si>
  <si>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</si>
  <si>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</si>
  <si>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</si>
  <si>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</si>
  <si>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</si>
  <si>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</si>
  <si>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</si>
  <si>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</si>
  <si>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</si>
  <si>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</si>
  <si>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</si>
  <si>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</si>
  <si>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</si>
  <si>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</si>
  <si>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</si>
  <si>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</si>
  <si>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</si>
  <si>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</si>
  <si>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</si>
  <si>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</si>
  <si>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</si>
  <si>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</si>
  <si>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</si>
  <si>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</si>
  <si>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</si>
  <si>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</si>
  <si>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</si>
  <si>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</si>
  <si>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</si>
  <si>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</si>
  <si>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</si>
  <si>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</si>
  <si>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</si>
  <si>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</si>
  <si>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</si>
  <si>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</si>
  <si>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</si>
  <si>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</si>
  <si>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</si>
  <si>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</si>
  <si>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</si>
  <si>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</si>
  <si>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</si>
  <si>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</si>
  <si>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</si>
  <si>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</si>
  <si>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</si>
  <si>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</si>
  <si>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</si>
  <si>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</si>
  <si>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</si>
  <si>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</si>
  <si>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</si>
  <si>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</si>
  <si>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</si>
  <si>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</si>
  <si>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</si>
  <si>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</si>
  <si>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</si>
  <si>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</si>
  <si>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</si>
  <si>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</si>
  <si>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</si>
  <si>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</si>
  <si>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</si>
  <si>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</si>
  <si>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</si>
  <si>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</si>
  <si>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</si>
  <si>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</si>
  <si>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</si>
  <si>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</si>
  <si>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</si>
  <si>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</si>
  <si>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</si>
  <si>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</si>
  <si>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</si>
  <si>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</si>
  <si>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</si>
  <si>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</si>
  <si>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</si>
  <si>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</si>
  <si>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</si>
  <si>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</si>
  <si>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</si>
  <si>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</si>
  <si>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</si>
  <si>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</si>
  <si>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</si>
  <si>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</si>
  <si>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</si>
  <si>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</si>
  <si>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</si>
  <si>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</si>
  <si>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</si>
  <si>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</si>
  <si>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</si>
  <si>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</si>
  <si>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</si>
  <si>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</si>
  <si>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</si>
  <si>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</si>
  <si>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</si>
  <si>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</si>
  <si>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</si>
  <si>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</si>
  <si>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</si>
  <si>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</si>
  <si>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</si>
  <si>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</si>
  <si>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</si>
  <si>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</si>
  <si>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</si>
  <si>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</si>
  <si>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</si>
  <si>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</si>
  <si>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</si>
  <si>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</si>
  <si>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</si>
  <si>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</si>
  <si>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</si>
  <si>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</si>
  <si>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</si>
  <si>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</si>
  <si>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</si>
  <si>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</si>
  <si>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</si>
  <si>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</si>
  <si>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</si>
  <si>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</si>
  <si>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</si>
  <si>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</si>
  <si>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</si>
  <si>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</si>
  <si>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</si>
  <si>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</si>
  <si>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</si>
  <si>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</si>
  <si>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</si>
  <si>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</si>
  <si>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</si>
  <si>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</si>
  <si>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</si>
  <si>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</si>
  <si>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</si>
  <si>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</si>
  <si>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</si>
  <si>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</si>
  <si>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</si>
  <si>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</si>
  <si>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</si>
  <si>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</si>
  <si>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</si>
  <si>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</si>
  <si>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</si>
  <si>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</si>
  <si>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</si>
  <si>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</si>
  <si>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</si>
  <si>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</si>
  <si>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</si>
  <si>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</si>
  <si>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</si>
  <si>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</si>
  <si>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</si>
  <si>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</si>
  <si>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</si>
  <si>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</si>
  <si>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</si>
  <si>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</si>
  <si>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</si>
  <si>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</si>
  <si>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</si>
  <si>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</si>
  <si>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</si>
  <si>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</si>
  <si>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</si>
  <si>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</si>
  <si>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</si>
  <si>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</si>
  <si>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</si>
  <si>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</si>
  <si>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</si>
  <si>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</si>
  <si>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</si>
  <si>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</si>
  <si>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</si>
  <si>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</si>
  <si>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</si>
  <si>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</si>
  <si>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</si>
  <si>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</si>
  <si>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</si>
  <si>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</si>
  <si>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</si>
  <si>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</si>
  <si>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</si>
  <si>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</si>
  <si>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</si>
  <si>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</si>
  <si>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</si>
  <si>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</si>
  <si>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</si>
  <si>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</si>
  <si>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</si>
  <si>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</si>
  <si>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</si>
  <si>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</si>
  <si>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</si>
  <si>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</si>
  <si>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</si>
  <si>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</si>
  <si>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</si>
  <si>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</si>
  <si>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</si>
  <si>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</si>
  <si>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</si>
  <si>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</si>
  <si>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</si>
  <si>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</si>
  <si>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</si>
  <si>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</si>
  <si>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</si>
  <si>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</si>
  <si>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</si>
  <si>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</si>
  <si>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</si>
  <si>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</si>
  <si>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</si>
  <si>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</si>
  <si>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</si>
  <si>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</si>
  <si>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</si>
  <si>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</si>
  <si>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</si>
  <si>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</si>
  <si>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</si>
  <si>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</si>
  <si>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</si>
  <si>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</si>
  <si>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</si>
  <si>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</si>
  <si>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</si>
  <si>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</si>
  <si>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</si>
  <si>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</si>
  <si>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</si>
  <si>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</si>
  <si>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</si>
  <si>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</si>
  <si>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</si>
  <si>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</si>
  <si>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</si>
  <si>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</si>
  <si>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</si>
  <si>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</si>
  <si>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</si>
  <si>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</si>
  <si>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</si>
  <si>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</si>
  <si>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</si>
  <si>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</si>
  <si>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</si>
  <si>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</si>
  <si>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</si>
  <si>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</si>
  <si>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</si>
  <si>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</si>
  <si>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</si>
  <si>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</si>
  <si>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</si>
  <si>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</si>
  <si>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</si>
  <si>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</si>
  <si>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</si>
  <si>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</si>
  <si>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</si>
  <si>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</si>
  <si>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</si>
  <si>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</si>
  <si>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</si>
  <si>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</si>
  <si>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</si>
  <si>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</si>
  <si>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</si>
  <si>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</si>
  <si>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</si>
  <si>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</si>
  <si>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</si>
  <si>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</si>
  <si>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</si>
  <si>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</si>
  <si>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</si>
  <si>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</si>
  <si>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</si>
  <si>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</si>
  <si>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</si>
  <si>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</si>
  <si>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</si>
  <si>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</si>
  <si>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</si>
  <si>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</si>
  <si>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</si>
  <si>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</si>
  <si>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</si>
  <si>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</si>
  <si>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</si>
  <si>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</si>
  <si>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</si>
  <si>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</si>
  <si>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</si>
  <si>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</si>
  <si>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</si>
  <si>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</si>
  <si>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</si>
  <si>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</si>
  <si>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</si>
  <si>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</si>
  <si>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</si>
  <si>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</si>
  <si>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</si>
  <si>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</si>
  <si>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</si>
  <si>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</si>
  <si>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</si>
  <si>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</si>
  <si>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</si>
  <si>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</si>
  <si>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</si>
  <si>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</si>
  <si>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</si>
  <si>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</si>
  <si>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</si>
  <si>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</si>
  <si>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</si>
  <si>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</si>
  <si>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</si>
  <si>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</si>
  <si>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</si>
  <si>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</si>
  <si>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</si>
  <si>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</si>
  <si>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</si>
  <si>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</si>
  <si>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</si>
  <si>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</si>
  <si>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</si>
  <si>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</si>
  <si>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</si>
  <si>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</si>
  <si>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</si>
  <si>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</si>
  <si>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</si>
  <si>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</si>
  <si>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</si>
  <si>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</si>
  <si>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</si>
  <si>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</si>
  <si>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</si>
  <si>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</si>
  <si>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</si>
  <si>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</si>
  <si>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</si>
  <si>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</si>
  <si>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</si>
  <si>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</si>
  <si>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</si>
  <si>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</si>
  <si>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</si>
  <si>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</si>
  <si>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</si>
  <si>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</si>
  <si>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</si>
  <si>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</si>
  <si>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</si>
  <si>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</si>
  <si>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</si>
  <si>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</si>
  <si>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</si>
  <si>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</si>
  <si>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</si>
  <si>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</si>
  <si>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</si>
  <si>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</si>
  <si>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</si>
  <si>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</si>
  <si>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</si>
  <si>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</si>
  <si>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</si>
  <si>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</si>
  <si>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</si>
  <si>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</si>
  <si>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</si>
  <si>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</si>
  <si>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</si>
  <si>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</si>
  <si>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</si>
  <si>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</si>
  <si>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</si>
  <si>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</si>
  <si>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</si>
  <si>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</si>
  <si>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</si>
  <si>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</si>
  <si>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</si>
  <si>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</si>
  <si>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</si>
  <si>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</si>
  <si>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</si>
  <si>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</si>
  <si>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</si>
  <si>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</si>
  <si>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</si>
  <si>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</si>
  <si>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</si>
  <si>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</si>
  <si>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</si>
  <si>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</si>
  <si>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</si>
  <si>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</si>
  <si>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</si>
  <si>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</si>
  <si>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</si>
  <si>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</si>
  <si>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</si>
  <si>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</si>
  <si>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</si>
  <si>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</si>
  <si>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</si>
  <si>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</si>
  <si>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</si>
  <si>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</si>
  <si>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</si>
  <si>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</si>
  <si>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</si>
  <si>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</si>
  <si>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</si>
  <si>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</si>
  <si>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</si>
  <si>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</si>
  <si>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</si>
  <si>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</si>
  <si>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</si>
  <si>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</si>
  <si>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</si>
  <si>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</si>
  <si>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</si>
  <si>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</si>
  <si>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</si>
  <si>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</si>
  <si>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</si>
  <si>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</si>
  <si>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</si>
  <si>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</si>
  <si>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</si>
  <si>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</si>
  <si>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</si>
  <si>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</si>
  <si>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</si>
  <si>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</si>
  <si>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</si>
  <si>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</si>
  <si>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</si>
  <si>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</si>
  <si>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</si>
  <si>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</si>
  <si>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</si>
  <si>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</si>
  <si>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</si>
  <si>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</si>
  <si>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</si>
  <si>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</si>
  <si>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</si>
  <si>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</si>
  <si>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</si>
  <si>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</si>
  <si>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</si>
  <si>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</si>
  <si>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</si>
  <si>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</si>
  <si>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</si>
  <si>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</si>
  <si>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</si>
  <si>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</si>
  <si>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</si>
  <si>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</si>
  <si>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</si>
  <si>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</si>
  <si>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</si>
  <si>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</si>
  <si>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</si>
  <si>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</si>
  <si>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</si>
  <si>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</si>
  <si>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</si>
  <si>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</si>
  <si>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</si>
  <si>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</si>
  <si>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</si>
  <si>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</si>
  <si>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</si>
  <si>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</si>
  <si>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</si>
  <si>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</si>
  <si>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</si>
  <si>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</si>
  <si>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</si>
  <si>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</si>
  <si>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</si>
  <si>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</si>
  <si>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</si>
  <si>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</si>
  <si>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</si>
  <si>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</si>
  <si>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</si>
  <si>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</si>
  <si>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</si>
  <si>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</si>
  <si>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</si>
  <si>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</si>
  <si>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</si>
  <si>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</si>
  <si>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</si>
  <si>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</si>
  <si>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</si>
  <si>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</si>
  <si>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</si>
  <si>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</si>
  <si>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</si>
  <si>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</si>
  <si>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</si>
  <si>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</si>
  <si>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</si>
  <si>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</si>
  <si>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</si>
  <si>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</si>
  <si>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</si>
  <si>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</si>
  <si>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</si>
  <si>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</si>
  <si>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</si>
  <si>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</si>
  <si>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</si>
  <si>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</si>
  <si>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</si>
  <si>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</si>
  <si>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</si>
  <si>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</si>
  <si>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</si>
  <si>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</si>
  <si>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</si>
  <si>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</si>
  <si>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</si>
  <si>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</si>
  <si>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</si>
  <si>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</si>
  <si>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</si>
  <si>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</si>
  <si>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</si>
  <si>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</si>
  <si>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</si>
  <si>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</si>
  <si>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</si>
  <si>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</si>
  <si>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</si>
  <si>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</si>
  <si>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</si>
  <si>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</si>
  <si>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</si>
  <si>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</si>
  <si>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</si>
  <si>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</si>
  <si>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</si>
  <si>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</si>
  <si>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</si>
  <si>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</si>
  <si>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</si>
  <si>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</si>
  <si>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</si>
  <si>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</si>
  <si>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</si>
  <si>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</si>
  <si>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</si>
  <si>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</si>
  <si>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</si>
  <si>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</si>
  <si>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</si>
  <si>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</si>
  <si>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</si>
  <si>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</si>
  <si>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</si>
  <si>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</si>
  <si>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</si>
  <si>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</si>
  <si>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</si>
  <si>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</si>
  <si>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</si>
  <si>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</si>
  <si>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</si>
  <si>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</si>
  <si>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</si>
  <si>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</si>
  <si>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</si>
  <si>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</si>
  <si>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</si>
  <si>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</si>
  <si>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</si>
  <si>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</si>
  <si>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</si>
  <si>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</si>
  <si>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</si>
  <si>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</si>
  <si>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</si>
  <si>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</si>
  <si>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</si>
  <si>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</si>
  <si>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</si>
  <si>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</si>
  <si>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</si>
  <si>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</si>
  <si>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</si>
  <si>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</si>
  <si>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</si>
  <si>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</si>
  <si>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</si>
  <si>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</si>
  <si>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</si>
  <si>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</si>
  <si>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</si>
  <si>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</si>
  <si>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</si>
  <si>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</si>
  <si>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</si>
  <si>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</si>
  <si>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</si>
  <si>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</si>
  <si>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</si>
  <si>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</si>
  <si>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</si>
  <si>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</si>
  <si>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</si>
  <si>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</si>
  <si>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</si>
  <si>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</si>
  <si>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</si>
  <si>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</si>
  <si>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</si>
  <si>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</si>
  <si>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</si>
  <si>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</si>
  <si>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</si>
  <si>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</si>
  <si>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</si>
  <si>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</si>
  <si>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</si>
  <si>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</si>
  <si>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</si>
  <si>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</si>
  <si>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</si>
  <si>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</si>
  <si>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</si>
  <si>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</si>
  <si>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</si>
  <si>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</si>
  <si>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</si>
  <si>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</si>
  <si>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</si>
  <si>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</si>
  <si>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</si>
  <si>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</si>
  <si>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</si>
  <si>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</si>
  <si>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</si>
  <si>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</si>
  <si>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</si>
  <si>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</si>
  <si>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</si>
  <si>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</si>
  <si>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</si>
  <si>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</si>
  <si>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</si>
  <si>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</si>
  <si>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</si>
  <si>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</si>
  <si>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</si>
  <si>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</si>
  <si>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</si>
  <si>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</si>
  <si>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</si>
  <si>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</si>
  <si>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</si>
  <si>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</si>
  <si>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</si>
  <si>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</si>
  <si>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</si>
  <si>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</si>
  <si>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</si>
  <si>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</si>
  <si>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</si>
  <si>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</si>
  <si>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</si>
  <si>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</si>
  <si>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</si>
  <si>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</si>
  <si>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</si>
  <si>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</si>
  <si>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</si>
  <si>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</si>
  <si>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</si>
  <si>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</si>
  <si>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</si>
  <si>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</si>
  <si>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</si>
  <si>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</si>
  <si>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</si>
  <si>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</si>
  <si>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</si>
  <si>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</si>
  <si>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</si>
  <si>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</si>
  <si>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</si>
  <si>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</si>
  <si>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</si>
  <si>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</si>
  <si>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</si>
  <si>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</si>
  <si>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</si>
  <si>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</si>
  <si>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</si>
  <si>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</si>
  <si>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</si>
  <si>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</si>
  <si>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</si>
  <si>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</si>
  <si>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</si>
  <si>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</si>
  <si>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</si>
  <si>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</si>
  <si>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</si>
  <si>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</si>
  <si>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</si>
  <si>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</si>
  <si>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</si>
  <si>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</si>
  <si>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</si>
  <si>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</si>
  <si>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</si>
  <si>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</si>
  <si>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</si>
  <si>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</si>
  <si>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</si>
  <si>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</si>
  <si>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</si>
  <si>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</si>
  <si>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</si>
  <si>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</si>
  <si>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</si>
  <si>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</si>
  <si>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</si>
  <si>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</si>
  <si>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</si>
  <si>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</si>
  <si>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</si>
  <si>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</si>
  <si>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</si>
  <si>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</si>
  <si>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</si>
  <si>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</si>
  <si>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</si>
  <si>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</si>
  <si>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</si>
  <si>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</si>
  <si>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</si>
  <si>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</si>
  <si>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</si>
  <si>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</si>
  <si>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</si>
  <si>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</si>
  <si>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</si>
  <si>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</si>
  <si>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</si>
  <si>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</si>
  <si>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</si>
  <si>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</si>
  <si>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</si>
  <si>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</si>
  <si>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</si>
  <si>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</si>
  <si>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</si>
  <si>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</si>
  <si>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</si>
  <si>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</si>
  <si>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</si>
  <si>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</si>
  <si>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</si>
  <si>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</si>
  <si>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</si>
  <si>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</si>
  <si>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</si>
  <si>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</si>
  <si>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</si>
  <si>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</si>
  <si>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</si>
  <si>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</si>
  <si>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</si>
  <si>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</si>
  <si>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</si>
  <si>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</si>
  <si>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</si>
  <si>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</si>
  <si>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</si>
  <si>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</si>
  <si>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</si>
  <si>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</si>
  <si>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</si>
  <si>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</si>
  <si>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</si>
  <si>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</si>
  <si>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</si>
  <si>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</si>
  <si>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</si>
  <si>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</si>
  <si>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</si>
  <si>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</si>
  <si>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</si>
  <si>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</si>
  <si>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</si>
  <si>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</si>
  <si>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</si>
  <si>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</si>
  <si>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</si>
  <si>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</si>
  <si>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</si>
  <si>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</si>
  <si>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</si>
  <si>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</si>
  <si>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</si>
  <si>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</si>
  <si>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</si>
  <si>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</si>
  <si>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</si>
  <si>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</si>
  <si>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</si>
  <si>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</si>
  <si>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</si>
  <si>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</si>
  <si>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</si>
  <si>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</si>
  <si>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</si>
  <si>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</si>
  <si>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</si>
  <si>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</si>
  <si>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</si>
  <si>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</si>
  <si>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</si>
  <si>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</si>
  <si>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</si>
  <si>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</si>
  <si>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</si>
  <si>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</si>
  <si>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</si>
  <si>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</si>
  <si>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</si>
  <si>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</si>
  <si>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</si>
  <si>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</si>
  <si>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</si>
  <si>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</si>
  <si>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</si>
  <si>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</si>
  <si>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</si>
  <si>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</si>
  <si>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</si>
  <si>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</si>
  <si>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</si>
  <si>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</si>
  <si>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</si>
  <si>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</si>
  <si>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</si>
  <si>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</si>
  <si>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</si>
  <si>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</si>
  <si>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</si>
  <si>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</si>
  <si>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</si>
  <si>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</si>
  <si>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</si>
  <si>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</si>
  <si>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</si>
  <si>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</si>
  <si>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</si>
  <si>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</si>
  <si>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</si>
  <si>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</si>
  <si>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</si>
  <si>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</si>
  <si>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</si>
  <si>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</si>
  <si>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</si>
  <si>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</si>
  <si>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</si>
  <si>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</si>
  <si>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</si>
  <si>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</si>
  <si>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</si>
  <si>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</si>
  <si>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</si>
  <si>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</si>
  <si>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</si>
  <si>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</si>
  <si>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</si>
  <si>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</si>
  <si>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</si>
  <si>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</si>
  <si>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</si>
  <si>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</si>
  <si>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</si>
  <si>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</si>
  <si>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</si>
  <si>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</si>
  <si>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</si>
  <si>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</si>
  <si>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</si>
  <si>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</si>
  <si>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</si>
  <si>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</si>
  <si>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</si>
  <si>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</si>
  <si>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</si>
  <si>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</si>
  <si>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</si>
  <si>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</si>
  <si>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</si>
  <si>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</si>
  <si>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</si>
  <si>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</si>
  <si>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</si>
  <si>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</si>
  <si>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</si>
  <si>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</si>
  <si>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</si>
  <si>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</si>
  <si>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</si>
  <si>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</si>
  <si>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</si>
  <si>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</si>
  <si>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</si>
  <si>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</si>
  <si>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</si>
  <si>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</si>
  <si>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</si>
  <si>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</si>
  <si>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</si>
  <si>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</si>
  <si>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</si>
  <si>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</si>
  <si>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</si>
  <si>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</si>
  <si>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</si>
  <si>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</si>
  <si>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</si>
  <si>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</si>
  <si>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</si>
  <si>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</si>
  <si>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</si>
  <si>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</si>
  <si>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</si>
  <si>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</si>
  <si>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</si>
  <si>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</si>
  <si>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</si>
  <si>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</si>
  <si>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</si>
  <si>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</si>
  <si>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</si>
  <si>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</si>
  <si>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</si>
  <si>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</si>
  <si>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</si>
  <si>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</si>
  <si>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</si>
  <si>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</si>
  <si>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</si>
  <si>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</si>
  <si>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</si>
  <si>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</si>
  <si>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</si>
  <si>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</si>
  <si>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</si>
  <si>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</si>
  <si>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</si>
  <si>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</si>
  <si>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</si>
  <si>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</si>
  <si>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</si>
  <si>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</si>
  <si>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</si>
  <si>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</si>
  <si>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</si>
  <si>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</si>
  <si>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</si>
  <si>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</si>
  <si>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</si>
  <si>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</si>
  <si>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</si>
  <si>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</si>
  <si>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</si>
  <si>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</si>
  <si>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</si>
  <si>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</si>
  <si>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</si>
  <si>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</si>
  <si>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</si>
  <si>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</si>
  <si>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</si>
  <si>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</si>
  <si>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</si>
  <si>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</si>
  <si>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</si>
  <si>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</si>
  <si>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</si>
  <si>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</si>
  <si>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</si>
  <si>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</si>
  <si>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</si>
  <si>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</si>
  <si>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</si>
  <si>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</si>
  <si>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</si>
  <si>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</si>
  <si>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</si>
  <si>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</si>
  <si>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</si>
  <si>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</si>
  <si>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</si>
  <si>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</si>
  <si>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</si>
  <si>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</si>
  <si>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</si>
  <si>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</si>
  <si>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</si>
  <si>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</si>
  <si>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</si>
  <si>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</si>
  <si>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</si>
  <si>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</si>
  <si>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</si>
  <si>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</si>
  <si>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</si>
  <si>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</si>
  <si>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</si>
  <si>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</si>
  <si>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</si>
  <si>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</si>
  <si>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</si>
  <si>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</si>
  <si>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</si>
  <si>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</si>
  <si>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</si>
  <si>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</si>
  <si>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</si>
  <si>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</si>
  <si>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</si>
  <si>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</si>
  <si>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</si>
  <si>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</si>
  <si>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</si>
  <si>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</si>
  <si>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</si>
  <si>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</si>
  <si>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</si>
  <si>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</si>
  <si>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</si>
  <si>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</si>
  <si>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</si>
  <si>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</si>
  <si>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</si>
  <si>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</si>
  <si>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</si>
  <si>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</si>
  <si>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</si>
  <si>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</si>
  <si>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</si>
  <si>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</si>
  <si>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</si>
  <si>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</si>
  <si>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</si>
  <si>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</si>
  <si>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</si>
  <si>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</si>
  <si>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</si>
  <si>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</si>
  <si>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</si>
  <si>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</si>
  <si>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</si>
  <si>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</si>
  <si>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</si>
  <si>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</si>
  <si>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</si>
  <si>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</si>
  <si>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</si>
  <si>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</si>
  <si>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</si>
  <si>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</si>
  <si>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</si>
  <si>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</si>
  <si>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</si>
  <si>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</si>
  <si>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</si>
  <si>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</si>
  <si>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</si>
  <si>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</si>
  <si>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</si>
  <si>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</si>
  <si>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</si>
  <si>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</si>
  <si>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</si>
  <si>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</si>
  <si>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</si>
  <si>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</si>
  <si>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</si>
  <si>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</si>
  <si>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</si>
  <si>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</si>
  <si>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</si>
  <si>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</si>
  <si>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</si>
  <si>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</si>
  <si>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</si>
  <si>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</si>
  <si>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</si>
  <si>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</si>
  <si>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</si>
  <si>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</si>
  <si>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</si>
  <si>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</si>
  <si>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</si>
  <si>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</si>
  <si>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</si>
  <si>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</si>
  <si>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</si>
  <si>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</si>
  <si>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</si>
  <si>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</si>
  <si>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</si>
  <si>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</si>
  <si>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</si>
  <si>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</si>
  <si>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</si>
  <si>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</si>
  <si>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</si>
  <si>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</si>
  <si>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</si>
  <si>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</si>
  <si>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</si>
  <si>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</si>
  <si>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</si>
  <si>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</si>
  <si>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</si>
  <si>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</si>
  <si>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</si>
  <si>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</si>
  <si>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</si>
  <si>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</si>
  <si>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</si>
  <si>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</si>
  <si>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</si>
  <si>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</si>
  <si>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</si>
  <si>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</si>
  <si>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</si>
  <si>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</si>
  <si>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</si>
  <si>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</si>
  <si>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</si>
  <si>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</si>
  <si>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</si>
  <si>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</si>
  <si>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</si>
  <si>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</si>
  <si>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</si>
  <si>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</si>
  <si>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</si>
  <si>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</si>
  <si>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</si>
  <si>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</si>
  <si>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</si>
  <si>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</si>
  <si>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</si>
  <si>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</si>
  <si>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</si>
  <si>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</si>
  <si>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</si>
  <si>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</si>
  <si>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</si>
  <si>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</si>
  <si>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</si>
  <si>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</si>
  <si>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</si>
  <si>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</si>
  <si>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</si>
  <si>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</si>
  <si>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</si>
  <si>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</si>
  <si>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</si>
  <si>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</si>
  <si>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</si>
  <si>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</si>
  <si>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</si>
  <si>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</si>
  <si>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</si>
  <si>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</si>
  <si>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</si>
  <si>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</si>
  <si>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</si>
  <si>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</si>
  <si>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</si>
  <si>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</si>
  <si>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</si>
  <si>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</si>
  <si>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</si>
  <si>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</si>
  <si>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</si>
  <si>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</si>
  <si>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</si>
  <si>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</si>
  <si>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</si>
  <si>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</si>
  <si>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</si>
  <si>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</si>
  <si>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</si>
  <si>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</si>
  <si>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</si>
  <si>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</si>
  <si>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</si>
  <si>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</si>
  <si>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</si>
  <si>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</si>
  <si>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</si>
  <si>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</si>
  <si>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</si>
  <si>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</si>
  <si>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</si>
  <si>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</si>
  <si>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</si>
  <si>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</si>
  <si>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</si>
  <si>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</si>
  <si>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</si>
  <si>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</si>
  <si>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</si>
  <si>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</si>
  <si>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</si>
  <si>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</si>
  <si>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</si>
  <si>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</si>
  <si>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</si>
  <si>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</si>
  <si>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</si>
  <si>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</si>
  <si>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</si>
  <si>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</si>
  <si>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</si>
  <si>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</si>
  <si>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</si>
  <si>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</si>
  <si>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</si>
  <si>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</si>
  <si>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</si>
  <si>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</si>
  <si>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</si>
  <si>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</si>
  <si>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</si>
  <si>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</si>
  <si>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</si>
  <si>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</si>
  <si>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</si>
  <si>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</si>
  <si>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</si>
  <si>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</si>
  <si>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</si>
  <si>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</si>
  <si>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</si>
  <si>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</si>
  <si>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</si>
  <si>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</si>
  <si>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</si>
  <si>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</si>
  <si>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</si>
  <si>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</si>
  <si>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</si>
  <si>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</si>
  <si>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</si>
  <si>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</si>
  <si>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</si>
  <si>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</si>
  <si>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</si>
  <si>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</si>
  <si>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</si>
  <si>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</si>
  <si>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</si>
  <si>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</si>
  <si>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</si>
  <si>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</si>
  <si>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</si>
  <si>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</si>
  <si>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</si>
  <si>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</si>
  <si>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</si>
  <si>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</si>
  <si>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</si>
  <si>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</si>
  <si>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</si>
  <si>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</si>
  <si>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</si>
  <si>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</si>
  <si>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</si>
  <si>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</si>
  <si>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</si>
  <si>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</si>
  <si>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</si>
  <si>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</si>
  <si>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</si>
  <si>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</si>
  <si>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</si>
  <si>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</si>
  <si>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</si>
  <si>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</si>
  <si>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</si>
  <si>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</si>
  <si>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</si>
  <si>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</si>
  <si>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</si>
  <si>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</si>
  <si>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</si>
  <si>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</si>
  <si>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</si>
  <si>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</si>
  <si>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</si>
  <si>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</si>
  <si>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</si>
  <si>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</si>
  <si>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</si>
  <si>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</si>
  <si>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</si>
  <si>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</si>
  <si>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</si>
  <si>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</si>
  <si>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</si>
  <si>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</si>
  <si>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</si>
  <si>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</si>
  <si>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</si>
  <si>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</si>
  <si>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</si>
  <si>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</si>
  <si>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</si>
  <si>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</si>
  <si>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</si>
  <si>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</si>
  <si>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</si>
  <si>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</si>
  <si>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</si>
  <si>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</si>
  <si>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</si>
  <si>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</si>
  <si>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</si>
  <si>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</si>
  <si>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</si>
  <si>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</si>
  <si>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</si>
  <si>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</si>
  <si>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</si>
  <si>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</si>
  <si>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</si>
  <si>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</si>
  <si>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</si>
  <si>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</si>
  <si>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</si>
  <si>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</si>
  <si>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</si>
  <si>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</si>
  <si>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</si>
  <si>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</si>
  <si>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</si>
  <si>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</si>
  <si>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</si>
  <si>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</si>
  <si>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</si>
  <si>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</si>
  <si>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</si>
  <si>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</si>
  <si>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</si>
  <si>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</si>
  <si>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</si>
  <si>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</si>
  <si>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</si>
  <si>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</si>
  <si>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</si>
  <si>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</si>
  <si>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</si>
  <si>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</si>
  <si>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</si>
  <si>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</si>
  <si>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</si>
  <si>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</si>
  <si>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</si>
  <si>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</si>
  <si>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</si>
  <si>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</si>
  <si>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</si>
  <si>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</si>
  <si>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</si>
  <si>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</si>
  <si>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</si>
  <si>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</si>
  <si>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</si>
  <si>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</si>
  <si>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</si>
  <si>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</si>
  <si>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</si>
  <si>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</si>
  <si>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</si>
  <si>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</si>
  <si>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</si>
  <si>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</si>
  <si>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</si>
  <si>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</si>
  <si>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</si>
  <si>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</si>
  <si>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</si>
  <si>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</si>
  <si>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</si>
  <si>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</si>
  <si>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</si>
  <si>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</si>
  <si>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</si>
  <si>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</si>
  <si>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</si>
  <si>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</si>
  <si>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</si>
  <si>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</si>
  <si>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</si>
  <si>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</si>
  <si>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</si>
  <si>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</si>
  <si>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</si>
  <si>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</si>
  <si>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</si>
  <si>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</si>
  <si>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</si>
  <si>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</si>
  <si>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</si>
  <si>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</si>
  <si>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</si>
  <si>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</si>
  <si>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</si>
  <si>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</si>
  <si>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</si>
  <si>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</si>
  <si>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</si>
  <si>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</si>
  <si>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</si>
  <si>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</si>
  <si>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</si>
  <si>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</si>
  <si>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</si>
  <si>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</si>
  <si>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</si>
  <si>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</si>
  <si>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</si>
  <si>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</si>
  <si>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</si>
  <si>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</si>
  <si>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</si>
  <si>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</si>
  <si>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</si>
  <si>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</si>
  <si>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</si>
  <si>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</si>
  <si>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</si>
  <si>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</si>
  <si>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</si>
  <si>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</si>
  <si>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</si>
  <si>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</si>
  <si>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</si>
  <si>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</si>
  <si>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</si>
  <si>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</si>
  <si>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</si>
  <si>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</si>
  <si>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</si>
  <si>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</si>
  <si>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</si>
  <si>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</si>
  <si>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</si>
  <si>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</si>
  <si>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</si>
  <si>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</si>
  <si>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</si>
  <si>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</si>
  <si>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</si>
  <si>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</si>
  <si>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</si>
  <si>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</si>
  <si>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</si>
  <si>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</si>
  <si>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</si>
  <si>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</si>
  <si>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</si>
  <si>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</si>
  <si>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</si>
  <si>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</si>
  <si>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</si>
  <si>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</si>
  <si>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</si>
  <si>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</si>
  <si>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</si>
  <si>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</si>
  <si>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</si>
  <si>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</si>
  <si>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</si>
  <si>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</si>
  <si>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</si>
  <si>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</si>
  <si>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</si>
  <si>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</si>
  <si>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</si>
  <si>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</si>
  <si>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</si>
  <si>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</si>
  <si>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</si>
  <si>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</si>
  <si>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</si>
  <si>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</si>
  <si>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</si>
  <si>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</si>
  <si>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</si>
  <si>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</si>
  <si>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</si>
  <si>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</si>
  <si>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</si>
  <si>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</si>
  <si>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</si>
  <si>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</si>
  <si>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</si>
  <si>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</si>
  <si>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</si>
  <si>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</si>
  <si>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</si>
  <si>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</si>
  <si>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</si>
  <si>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</si>
  <si>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</si>
  <si>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</si>
  <si>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</si>
  <si>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</si>
  <si>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</si>
  <si>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</si>
  <si>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</si>
  <si>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</si>
  <si>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</si>
  <si>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</si>
  <si>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</si>
  <si>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</si>
  <si>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</si>
  <si>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</si>
  <si>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</si>
  <si>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</si>
  <si>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</si>
  <si>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</si>
  <si>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</si>
  <si>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</si>
  <si>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</si>
  <si>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</si>
  <si>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</si>
  <si>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</si>
  <si>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</si>
  <si>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</si>
  <si>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</si>
  <si>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</si>
  <si>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</si>
  <si>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</si>
  <si>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</si>
  <si>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</si>
  <si>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</si>
  <si>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</si>
  <si>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</si>
  <si>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</si>
  <si>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</si>
  <si>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</si>
  <si>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</si>
  <si>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</si>
  <si>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</si>
  <si>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</si>
  <si>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</si>
  <si>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</si>
  <si>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</si>
  <si>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</si>
  <si>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</si>
  <si>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</si>
  <si>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</si>
  <si>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</si>
  <si>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</si>
  <si>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</si>
  <si>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</si>
  <si>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</si>
  <si>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</si>
  <si>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</si>
  <si>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</si>
  <si>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</si>
  <si>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</si>
  <si>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</si>
  <si>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</si>
  <si>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</si>
  <si>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</si>
  <si>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</si>
  <si>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</si>
  <si>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</si>
  <si>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</si>
  <si>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</si>
  <si>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</si>
  <si>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</si>
  <si>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</si>
  <si>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</si>
  <si>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</si>
  <si>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</si>
  <si>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</si>
  <si>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</si>
  <si>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</si>
  <si>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</si>
  <si>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</si>
  <si>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</si>
  <si>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</si>
  <si>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</si>
  <si>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</si>
  <si>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</si>
  <si>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</si>
  <si>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</si>
  <si>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</si>
  <si>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</si>
  <si>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</si>
  <si>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</si>
  <si>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</si>
  <si>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</si>
  <si>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</si>
  <si>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</si>
  <si>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</si>
  <si>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</si>
  <si>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</si>
  <si>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</si>
  <si>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</si>
  <si>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</si>
  <si>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</si>
  <si>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</si>
  <si>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</si>
  <si>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</si>
  <si>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</si>
  <si>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</si>
  <si>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</si>
  <si>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</si>
  <si>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</si>
  <si>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</si>
  <si>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</si>
  <si>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</si>
  <si>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</si>
  <si>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</si>
  <si>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</si>
  <si>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</si>
  <si>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</si>
  <si>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</si>
  <si>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</si>
  <si>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</si>
  <si>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</si>
  <si>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</si>
  <si>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</si>
  <si>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</si>
  <si>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</si>
  <si>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</si>
  <si>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</si>
  <si>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</si>
  <si>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</si>
  <si>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</si>
  <si>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</si>
  <si>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</si>
  <si>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</si>
  <si>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</si>
  <si>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</si>
  <si>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</si>
  <si>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</si>
  <si>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</si>
  <si>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</si>
  <si>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</si>
  <si>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</si>
  <si>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</si>
  <si>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</si>
  <si>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</si>
  <si>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</si>
  <si>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</si>
  <si>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</si>
  <si>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</si>
  <si>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</si>
  <si>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</si>
  <si>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</si>
  <si>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</si>
  <si>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</si>
  <si>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</si>
  <si>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</si>
  <si>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</si>
  <si>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</si>
  <si>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</si>
  <si>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</si>
  <si>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</si>
  <si>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</si>
  <si>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</si>
  <si>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</si>
  <si>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</si>
  <si>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</si>
  <si>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</si>
  <si>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</si>
  <si>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</si>
  <si>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</si>
  <si>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</si>
  <si>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</si>
  <si>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</si>
  <si>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</si>
  <si>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</si>
  <si>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</si>
  <si>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</si>
  <si>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</si>
  <si>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</si>
  <si>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</si>
  <si>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</si>
  <si>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</si>
  <si>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</si>
  <si>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</si>
  <si>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</si>
  <si>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</si>
  <si>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</si>
  <si>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</si>
  <si>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</si>
  <si>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</si>
  <si>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</si>
  <si>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</si>
  <si>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</si>
  <si>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</si>
  <si>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</si>
  <si>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</si>
  <si>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</si>
  <si>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</si>
  <si>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</si>
  <si>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</si>
  <si>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</si>
  <si>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</si>
  <si>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</si>
  <si>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</si>
  <si>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</si>
  <si>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</si>
  <si>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</si>
  <si>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</si>
  <si>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</si>
  <si>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</si>
  <si>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</si>
  <si>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</si>
  <si>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</si>
  <si>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</si>
  <si>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</si>
  <si>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</si>
  <si>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</si>
  <si>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</si>
  <si>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</si>
  <si>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</si>
  <si>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</si>
  <si>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</si>
  <si>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</si>
  <si>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</si>
  <si>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</si>
  <si>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</si>
  <si>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</si>
  <si>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</si>
  <si>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</si>
  <si>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</si>
  <si>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</si>
  <si>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</si>
  <si>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</si>
  <si>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</si>
  <si>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</si>
  <si>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</si>
  <si>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</si>
  <si>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</si>
  <si>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</si>
  <si>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</si>
  <si>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</si>
  <si>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</si>
  <si>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</si>
  <si>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</si>
  <si>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</si>
  <si>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</si>
  <si>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</si>
  <si>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</si>
  <si>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</si>
  <si>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</si>
  <si>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</si>
  <si>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</si>
  <si>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</si>
  <si>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</si>
  <si>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</si>
  <si>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</si>
  <si>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</si>
  <si>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</si>
  <si>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</si>
  <si>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</si>
  <si>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</si>
  <si>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</si>
  <si>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</si>
  <si>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</si>
  <si>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</si>
  <si>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</si>
  <si>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</si>
  <si>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</si>
  <si>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</si>
  <si>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</si>
  <si>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</si>
  <si>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</si>
  <si>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</si>
  <si>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</si>
  <si>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</si>
  <si>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</si>
  <si>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</si>
  <si>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</si>
  <si>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</si>
  <si>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</si>
  <si>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</si>
  <si>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</si>
  <si>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</si>
  <si>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</si>
  <si>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</si>
  <si>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</si>
  <si>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</si>
  <si>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</si>
  <si>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</si>
  <si>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</si>
  <si>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</si>
  <si>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</si>
  <si>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</si>
  <si>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</si>
  <si>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</si>
  <si>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</si>
  <si>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</si>
  <si>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</si>
  <si>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</si>
  <si>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</si>
  <si>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</si>
  <si>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</si>
  <si>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</si>
  <si>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</si>
  <si>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</si>
  <si>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</si>
  <si>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</si>
  <si>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</si>
  <si>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</si>
  <si>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</si>
  <si>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</si>
  <si>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</si>
  <si>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</si>
  <si>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</si>
  <si>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</si>
  <si>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</si>
  <si>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</si>
  <si>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</si>
  <si>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</si>
  <si>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</si>
  <si>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</si>
  <si>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</si>
  <si>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</si>
  <si>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</si>
  <si>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</si>
  <si>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</si>
  <si>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</si>
  <si>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</si>
  <si>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</si>
  <si>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</si>
  <si>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</si>
  <si>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</si>
  <si>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</si>
  <si>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</si>
  <si>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</si>
  <si>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</si>
  <si>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</si>
  <si>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</si>
  <si>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</si>
  <si>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</si>
  <si>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</si>
  <si>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</si>
  <si>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</si>
  <si>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</si>
  <si>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</si>
  <si>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</si>
  <si>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</si>
  <si>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</si>
  <si>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</si>
  <si>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</si>
  <si>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</si>
  <si>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</si>
  <si>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</si>
  <si>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</si>
  <si>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</si>
  <si>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</si>
  <si>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</si>
  <si>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</si>
  <si>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</si>
  <si>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</si>
  <si>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</si>
  <si>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</si>
  <si>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</si>
  <si>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</si>
  <si>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</si>
  <si>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</si>
  <si>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</si>
  <si>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</si>
  <si>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</si>
  <si>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</si>
  <si>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</si>
  <si>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</si>
  <si>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</si>
  <si>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</si>
  <si>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</si>
  <si>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</si>
  <si>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</si>
  <si>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</si>
  <si>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</si>
  <si>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</si>
  <si>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</si>
  <si>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</si>
  <si>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</si>
  <si>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</si>
  <si>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</si>
  <si>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</si>
  <si>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</si>
  <si>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</si>
  <si>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</si>
  <si>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</si>
  <si>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</si>
  <si>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</si>
  <si>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</si>
  <si>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</si>
  <si>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</si>
  <si>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</si>
  <si>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</si>
  <si>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</si>
  <si>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</si>
  <si>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</si>
  <si>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</si>
  <si>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</si>
  <si>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</si>
  <si>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</si>
  <si>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</si>
  <si>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</si>
  <si>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</si>
  <si>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</si>
  <si>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</si>
  <si>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</si>
  <si>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</si>
  <si>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</si>
  <si>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</si>
  <si>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</si>
  <si>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</si>
  <si>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</si>
  <si>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</si>
  <si>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</si>
  <si>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</si>
  <si>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</si>
  <si>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</si>
  <si>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</si>
  <si>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</si>
  <si>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</si>
  <si>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</si>
  <si>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</si>
  <si>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</si>
  <si>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</si>
  <si>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</si>
  <si>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</si>
  <si>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</si>
  <si>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</si>
  <si>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</si>
  <si>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</si>
  <si>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</si>
  <si>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</si>
  <si>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</si>
  <si>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</si>
  <si>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</si>
  <si>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</si>
  <si>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</si>
  <si>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</si>
  <si>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</si>
  <si>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</si>
  <si>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</si>
  <si>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</si>
  <si>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</si>
  <si>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</si>
  <si>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</si>
  <si>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</si>
  <si>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</si>
  <si>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</si>
  <si>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</si>
  <si>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</si>
  <si>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</si>
  <si>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</si>
  <si>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</si>
  <si>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</si>
  <si>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</si>
  <si>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</si>
  <si>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</si>
  <si>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</si>
  <si>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</si>
  <si>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</si>
  <si>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</si>
  <si>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</si>
  <si>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</si>
  <si>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</si>
  <si>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</si>
  <si>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</si>
  <si>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</si>
  <si>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</si>
  <si>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</si>
  <si>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</si>
  <si>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</si>
  <si>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</si>
  <si>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</si>
  <si>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</si>
  <si>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</si>
  <si>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</si>
  <si>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</si>
  <si>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</si>
  <si>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</si>
  <si>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</si>
  <si>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</si>
  <si>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</si>
  <si>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</si>
  <si>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</si>
  <si>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</si>
  <si>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</si>
  <si>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</si>
  <si>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</si>
  <si>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</si>
  <si>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</si>
  <si>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</si>
  <si>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</si>
  <si>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</si>
  <si>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</si>
  <si>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</si>
  <si>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</si>
  <si>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</si>
  <si>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</si>
  <si>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</si>
  <si>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</si>
  <si>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</si>
  <si>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</si>
  <si>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</si>
  <si>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</si>
  <si>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</si>
  <si>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</si>
  <si>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</si>
  <si>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</si>
  <si>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</si>
  <si>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</si>
  <si>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</si>
  <si>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</si>
  <si>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</si>
  <si>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</si>
  <si>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</si>
  <si>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</si>
  <si>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</si>
  <si>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</si>
  <si>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</si>
  <si>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</si>
  <si>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</si>
  <si>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</si>
  <si>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</si>
  <si>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</si>
  <si>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</si>
  <si>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</si>
  <si>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</si>
  <si>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</si>
  <si>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</si>
  <si>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</si>
  <si>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</si>
  <si>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</si>
  <si>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</si>
  <si>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</si>
  <si>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</si>
  <si>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</si>
  <si>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</si>
  <si>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</si>
  <si>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</si>
  <si>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</si>
  <si>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</si>
  <si>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</si>
  <si>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</si>
  <si>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</si>
  <si>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</si>
  <si>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</si>
  <si>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</si>
  <si>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</si>
  <si>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</si>
  <si>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</si>
  <si>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</si>
  <si>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</si>
  <si>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</si>
  <si>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</si>
  <si>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</si>
  <si>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</si>
  <si>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</si>
  <si>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</si>
  <si>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</si>
  <si>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</si>
  <si>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</si>
  <si>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</si>
  <si>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</si>
  <si>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</si>
  <si>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</si>
  <si>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</si>
  <si>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</si>
  <si>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</si>
  <si>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</si>
  <si>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</si>
  <si>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</si>
  <si>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</si>
  <si>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</si>
  <si>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</si>
  <si>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</si>
  <si>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</si>
  <si>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</si>
  <si>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</si>
  <si>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</si>
  <si>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</si>
  <si>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</si>
  <si>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</si>
  <si>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</si>
  <si>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</si>
  <si>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</si>
  <si>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</si>
  <si>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</si>
  <si>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</si>
  <si>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</si>
  <si>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</si>
  <si>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</si>
  <si>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</si>
  <si>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</si>
  <si>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</si>
  <si>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</si>
  <si>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</si>
  <si>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</si>
  <si>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</si>
  <si>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</si>
  <si>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</si>
  <si>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</si>
  <si>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</si>
  <si>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</si>
  <si>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</si>
  <si>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</si>
  <si>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</si>
  <si>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</si>
  <si>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</si>
  <si>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</si>
  <si>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</si>
  <si>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</si>
  <si>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</si>
  <si>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</si>
  <si>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</si>
  <si>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</si>
  <si>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</si>
  <si>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</si>
  <si>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</si>
  <si>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</si>
  <si>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</si>
  <si>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</si>
  <si>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</si>
  <si>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</si>
  <si>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</si>
  <si>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</si>
  <si>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</si>
  <si>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</si>
  <si>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</si>
  <si>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</si>
  <si>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</si>
  <si>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</si>
  <si>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</si>
  <si>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</si>
  <si>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</si>
  <si>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</si>
  <si>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</si>
  <si>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</si>
  <si>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</si>
  <si>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</si>
  <si>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</si>
  <si>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</si>
  <si>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</si>
  <si>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</si>
  <si>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</si>
  <si>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</si>
  <si>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</si>
  <si>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</si>
  <si>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</si>
  <si>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</si>
  <si>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</si>
  <si>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</si>
  <si>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</si>
  <si>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</si>
  <si>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</si>
  <si>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</si>
  <si>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</si>
  <si>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</si>
  <si>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</si>
  <si>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</si>
  <si>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</si>
  <si>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</si>
  <si>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</si>
  <si>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</si>
  <si>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</si>
  <si>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</si>
  <si>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</si>
  <si>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</si>
  <si>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</si>
  <si>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</si>
  <si>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</si>
  <si>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</si>
  <si>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</si>
  <si>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</si>
  <si>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</si>
  <si>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</si>
  <si>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</si>
  <si>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</si>
  <si>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</si>
  <si>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</si>
  <si>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</si>
  <si>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</si>
  <si>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</si>
  <si>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</si>
  <si>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</si>
  <si>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</si>
  <si>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</si>
  <si>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</si>
  <si>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</si>
  <si>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</si>
  <si>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</si>
  <si>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</si>
  <si>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</si>
  <si>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</si>
  <si>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</si>
  <si>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</si>
  <si>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</si>
  <si>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</si>
  <si>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</si>
  <si>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</si>
  <si>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</si>
  <si>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</si>
  <si>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</si>
  <si>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</si>
  <si>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</si>
  <si>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</si>
  <si>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</si>
  <si>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</si>
  <si>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</si>
  <si>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</si>
  <si>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</si>
  <si>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</si>
  <si>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</si>
  <si>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</si>
  <si>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</si>
  <si>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</si>
  <si>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</si>
  <si>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</si>
  <si>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</si>
  <si>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</si>
  <si>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</si>
  <si>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</si>
  <si>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</si>
  <si>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</si>
  <si>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</si>
  <si>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</si>
  <si>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</si>
  <si>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</si>
  <si>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</si>
  <si>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</si>
  <si>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</si>
  <si>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</si>
  <si>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</si>
  <si>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</si>
  <si>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</si>
  <si>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</si>
  <si>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</si>
  <si>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</si>
  <si>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</si>
  <si>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</si>
  <si>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</si>
  <si>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</si>
  <si>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</si>
  <si>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</si>
  <si>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</si>
  <si>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</si>
  <si>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</si>
  <si>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</si>
  <si>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</si>
  <si>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</si>
  <si>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</si>
  <si>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</si>
  <si>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</si>
  <si>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</si>
  <si>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</si>
  <si>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</si>
  <si>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</si>
  <si>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</si>
  <si>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</si>
  <si>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</si>
  <si>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</si>
  <si>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</si>
  <si>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</si>
  <si>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</si>
  <si>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</si>
  <si>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</si>
  <si>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</si>
  <si>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</si>
  <si>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</si>
  <si>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</si>
  <si>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</si>
  <si>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</si>
  <si>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</si>
  <si>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</si>
  <si>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</si>
  <si>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</si>
  <si>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</si>
  <si>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</si>
  <si>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</si>
  <si>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</si>
  <si>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</si>
  <si>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</si>
  <si>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</si>
  <si>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</si>
  <si>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</si>
  <si>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</si>
  <si>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</si>
  <si>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</si>
  <si>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</si>
  <si>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</si>
  <si>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</si>
  <si>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</si>
  <si>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</si>
  <si>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</si>
  <si>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</si>
  <si>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</si>
  <si>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</si>
  <si>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</si>
  <si>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</si>
  <si>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</si>
  <si>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</si>
  <si>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</si>
  <si>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</si>
  <si>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</si>
  <si>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</si>
  <si>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</si>
  <si>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</si>
  <si>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</si>
  <si>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</si>
  <si>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</si>
  <si>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</si>
  <si>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</si>
  <si>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</si>
  <si>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</si>
  <si>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</si>
  <si>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</si>
  <si>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</si>
  <si>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</si>
  <si>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</si>
  <si>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</si>
  <si>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</si>
  <si>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</si>
  <si>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</si>
  <si>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</si>
  <si>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</si>
  <si>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</si>
  <si>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</si>
  <si>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</si>
  <si>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</si>
  <si>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</si>
  <si>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</si>
  <si>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</si>
  <si>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</si>
  <si>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</si>
  <si>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</si>
  <si>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</si>
  <si>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</si>
  <si>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</si>
  <si>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</si>
  <si>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</si>
  <si>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</si>
  <si>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</si>
  <si>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</si>
  <si>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</si>
  <si>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</si>
  <si>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</si>
  <si>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</si>
  <si>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</si>
  <si>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</si>
  <si>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</si>
  <si>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</si>
  <si>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</si>
  <si>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</si>
  <si>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</si>
  <si>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</si>
  <si>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</si>
  <si>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</si>
  <si>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</si>
  <si>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</si>
  <si>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</si>
  <si>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</si>
  <si>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</si>
  <si>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</si>
  <si>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</si>
  <si>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</si>
  <si>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</si>
  <si>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</si>
  <si>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</si>
  <si>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</si>
  <si>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</si>
  <si>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</si>
  <si>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</si>
  <si>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</si>
  <si>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</si>
  <si>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</si>
  <si>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</si>
  <si>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</si>
  <si>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</si>
  <si>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</si>
  <si>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</si>
  <si>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</si>
  <si>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</si>
  <si>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</si>
  <si>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</si>
  <si>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</si>
  <si>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</si>
  <si>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</si>
  <si>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</si>
  <si>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</si>
  <si>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</si>
  <si>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</si>
  <si>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</si>
  <si>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</si>
  <si>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</si>
  <si>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</si>
  <si>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</si>
  <si>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</si>
  <si>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</si>
  <si>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</si>
  <si>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</si>
  <si>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</si>
  <si>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</si>
  <si>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</si>
  <si>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</si>
  <si>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</si>
  <si>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</si>
  <si>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</si>
  <si>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</si>
  <si>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</si>
  <si>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</si>
  <si>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</si>
  <si>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</si>
  <si>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</si>
  <si>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</si>
  <si>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</si>
  <si>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</si>
  <si>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</si>
  <si>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</si>
  <si>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</si>
  <si>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</si>
  <si>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</si>
  <si>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</si>
  <si>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</si>
  <si>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</si>
  <si>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</si>
  <si>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</si>
  <si>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</si>
  <si>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</si>
  <si>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</si>
  <si>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</si>
  <si>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</si>
  <si>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</si>
  <si>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</si>
  <si>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</si>
  <si>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</si>
  <si>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</si>
  <si>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</si>
  <si>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</si>
  <si>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</si>
  <si>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</si>
  <si>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</si>
  <si>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</si>
  <si>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</si>
  <si>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</si>
  <si>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</si>
  <si>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</si>
  <si>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</si>
  <si>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</si>
  <si>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</si>
  <si>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</si>
  <si>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</si>
  <si>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</si>
  <si>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</si>
  <si>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</si>
  <si>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</si>
  <si>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</si>
  <si>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</si>
  <si>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</si>
  <si>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</si>
  <si>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</si>
  <si>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</si>
  <si>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</si>
  <si>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</si>
  <si>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</si>
  <si>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</si>
  <si>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</si>
  <si>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</si>
  <si>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</si>
  <si>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</si>
  <si>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</si>
  <si>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</si>
  <si>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</si>
  <si>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</si>
  <si>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</si>
  <si>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</si>
  <si>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</si>
  <si>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</si>
  <si>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</si>
  <si>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</si>
  <si>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</si>
  <si>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</si>
  <si>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</si>
  <si>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</si>
  <si>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</si>
  <si>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</si>
  <si>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</si>
  <si>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</si>
  <si>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</si>
  <si>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</si>
  <si>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</si>
  <si>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</si>
  <si>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</si>
  <si>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</si>
  <si>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</si>
  <si>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</si>
  <si>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</si>
  <si>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</si>
  <si>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</si>
  <si>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</si>
  <si>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</si>
  <si>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</si>
  <si>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</si>
  <si>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</si>
  <si>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</si>
  <si>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</si>
  <si>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</si>
  <si>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</si>
  <si>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</si>
  <si>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</si>
  <si>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</si>
  <si>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</si>
  <si>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</si>
  <si>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</si>
  <si>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</si>
  <si>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</si>
  <si>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</si>
  <si>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</si>
  <si>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</si>
  <si>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</si>
  <si>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</si>
  <si>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</si>
  <si>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</si>
  <si>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</si>
  <si>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</si>
  <si>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</si>
  <si>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</si>
  <si>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</si>
  <si>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</si>
  <si>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</si>
  <si>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</si>
  <si>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</si>
  <si>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</si>
  <si>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</si>
  <si>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</si>
  <si>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</si>
  <si>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</si>
  <si>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</si>
  <si>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</si>
  <si>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</si>
  <si>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</si>
  <si>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</si>
  <si>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</si>
  <si>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</si>
  <si>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</si>
  <si>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</si>
  <si>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</si>
  <si>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</si>
  <si>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</si>
  <si>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</si>
  <si>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</si>
  <si>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</si>
  <si>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</si>
  <si>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</si>
  <si>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</si>
  <si>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</si>
  <si>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</si>
  <si>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</si>
  <si>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</si>
  <si>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</si>
  <si>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</si>
  <si>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</si>
  <si>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</si>
  <si>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</si>
  <si>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</si>
  <si>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</si>
  <si>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</si>
  <si>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</si>
  <si>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</si>
  <si>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</si>
  <si>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</si>
  <si>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</si>
  <si>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</si>
  <si>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</si>
  <si>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</si>
  <si>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</si>
  <si>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</si>
  <si>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</si>
  <si>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</si>
  <si>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</si>
  <si>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</si>
  <si>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</si>
  <si>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</si>
  <si>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</si>
  <si>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</si>
  <si>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</si>
  <si>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</si>
  <si>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</si>
  <si>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</si>
  <si>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</si>
  <si>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</si>
  <si>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</si>
  <si>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</si>
  <si>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</si>
  <si>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</si>
  <si>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</si>
  <si>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</si>
  <si>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</si>
  <si>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</si>
  <si>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</si>
  <si>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</si>
  <si>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</si>
  <si>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</si>
  <si>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</si>
  <si>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</si>
  <si>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</si>
  <si>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</si>
  <si>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</si>
  <si>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</si>
  <si>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</si>
  <si>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</si>
  <si>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</si>
  <si>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</si>
  <si>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</si>
  <si>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</si>
  <si>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</si>
  <si>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</si>
  <si>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</si>
  <si>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</si>
  <si>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</si>
  <si>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</si>
  <si>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</si>
  <si>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</si>
  <si>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</si>
  <si>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</si>
  <si>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</si>
  <si>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</si>
  <si>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</si>
  <si>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</si>
  <si>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</si>
  <si>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</si>
  <si>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</si>
  <si>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</si>
  <si>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</si>
  <si>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</si>
  <si>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</si>
  <si>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</si>
  <si>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</si>
  <si>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</si>
  <si>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</si>
  <si>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</si>
  <si>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</si>
  <si>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</si>
  <si>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</si>
  <si>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</si>
  <si>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</si>
  <si>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</si>
  <si>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</si>
  <si>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</si>
  <si>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</si>
  <si>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</si>
  <si>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</si>
  <si>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</si>
  <si>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</si>
  <si>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</si>
  <si>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</si>
  <si>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</si>
  <si>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</si>
  <si>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</si>
  <si>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</si>
  <si>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</si>
  <si>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</si>
  <si>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</si>
  <si>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</si>
  <si>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</si>
  <si>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</si>
  <si>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</si>
  <si>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</si>
  <si>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</si>
  <si>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</si>
  <si>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</si>
  <si>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</si>
  <si>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</si>
  <si>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</si>
  <si>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</si>
  <si>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</si>
  <si>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</si>
  <si>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</si>
  <si>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</si>
  <si>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</si>
  <si>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</si>
  <si>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</si>
  <si>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</si>
  <si>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</si>
  <si>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</si>
  <si>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</si>
  <si>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</si>
  <si>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</si>
  <si>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</si>
  <si>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</si>
  <si>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</si>
  <si>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</si>
  <si>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</si>
  <si>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</si>
  <si>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</si>
  <si>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</si>
  <si>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</si>
  <si>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</si>
  <si>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</si>
  <si>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</si>
  <si>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</si>
  <si>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</si>
  <si>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</si>
  <si>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</si>
  <si>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</si>
  <si>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</si>
  <si>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</si>
  <si>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</si>
  <si>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</si>
  <si>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</si>
  <si>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</si>
  <si>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</si>
  <si>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</si>
  <si>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</si>
  <si>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</si>
  <si>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</si>
  <si>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</si>
  <si>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</si>
  <si>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</si>
  <si>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</si>
  <si>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</si>
  <si>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</si>
  <si>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</si>
  <si>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</si>
  <si>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</si>
  <si>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</si>
  <si>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</si>
  <si>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</si>
  <si>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</si>
  <si>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</si>
  <si>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</si>
  <si>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</si>
  <si>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</si>
  <si>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</si>
  <si>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</si>
  <si>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</si>
  <si>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</si>
  <si>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</si>
  <si>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</si>
  <si>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</si>
  <si>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</si>
  <si>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</si>
  <si>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</si>
  <si>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</si>
  <si>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</si>
  <si>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</si>
  <si>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</si>
  <si>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</si>
  <si>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</si>
  <si>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</si>
  <si>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</si>
  <si>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</si>
  <si>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</si>
  <si>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</si>
  <si>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</si>
  <si>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</si>
  <si>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</si>
  <si>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</si>
  <si>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</si>
  <si>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</si>
  <si>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</si>
  <si>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</si>
  <si>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</si>
  <si>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</si>
  <si>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</si>
  <si>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</si>
  <si>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</si>
  <si>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</si>
  <si>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</si>
  <si>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</si>
  <si>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</si>
  <si>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</si>
  <si>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</si>
  <si>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</si>
  <si>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</si>
  <si>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</si>
  <si>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</si>
  <si>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</si>
  <si>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</si>
  <si>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</si>
  <si>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</si>
  <si>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</si>
  <si>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</si>
  <si>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</si>
  <si>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</si>
  <si>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</si>
  <si>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</si>
  <si>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</si>
  <si>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</si>
  <si>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</si>
  <si>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</si>
  <si>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</si>
  <si>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</si>
  <si>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</si>
  <si>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</si>
  <si>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</si>
  <si>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</si>
  <si>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</si>
  <si>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</si>
  <si>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</si>
  <si>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</si>
  <si>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</si>
  <si>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</si>
  <si>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</si>
  <si>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</si>
  <si>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</si>
  <si>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</si>
  <si>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</si>
  <si>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</si>
  <si>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</si>
  <si>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</si>
  <si>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</si>
  <si>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</si>
  <si>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</si>
  <si>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</si>
  <si>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</si>
  <si>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</si>
  <si>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</si>
  <si>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</si>
  <si>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</si>
  <si>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</si>
  <si>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</si>
  <si>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</si>
  <si>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</si>
  <si>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</si>
  <si>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</si>
  <si>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</si>
  <si>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</si>
  <si>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</si>
  <si>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</si>
  <si>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</si>
  <si>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</si>
  <si>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</si>
  <si>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</si>
  <si>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</si>
  <si>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</si>
  <si>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</si>
  <si>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</si>
  <si>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</si>
  <si>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</si>
  <si>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</si>
  <si>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</si>
  <si>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</si>
  <si>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</si>
  <si>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</si>
  <si>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</si>
  <si>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</si>
  <si>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</si>
  <si>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</si>
  <si>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</si>
  <si>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</si>
  <si>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</si>
  <si>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</si>
  <si>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</si>
  <si>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</si>
  <si>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</si>
  <si>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</si>
  <si>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</si>
  <si>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</si>
  <si>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</si>
  <si>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</si>
  <si>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</si>
  <si>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</si>
  <si>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</si>
  <si>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</si>
  <si>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</si>
  <si>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</si>
  <si>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</si>
  <si>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</si>
  <si>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</si>
  <si>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</si>
  <si>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</si>
  <si>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</si>
  <si>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</si>
  <si>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</si>
  <si>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</si>
  <si>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</si>
  <si>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</si>
  <si>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</si>
  <si>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</si>
  <si>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</si>
  <si>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</si>
  <si>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</si>
  <si>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</si>
  <si>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</si>
  <si>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</si>
  <si>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</si>
  <si>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</si>
  <si>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</si>
  <si>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</si>
  <si>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</si>
  <si>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</si>
  <si>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</si>
  <si>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</si>
  <si>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</si>
  <si>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</si>
  <si>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</si>
  <si>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</si>
  <si>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</si>
  <si>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</si>
  <si>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</si>
  <si>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</si>
  <si>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</si>
  <si>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</si>
  <si>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</si>
  <si>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</si>
  <si>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</si>
  <si>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</si>
  <si>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</si>
  <si>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</si>
  <si>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</si>
  <si>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</si>
  <si>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</si>
  <si>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</si>
  <si>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</si>
  <si>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</si>
  <si>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</si>
  <si>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</si>
  <si>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</si>
  <si>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</si>
  <si>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</si>
  <si>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</si>
  <si>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</si>
  <si>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</si>
  <si>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</si>
  <si>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</si>
  <si>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</si>
  <si>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</si>
  <si>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</si>
  <si>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</si>
  <si>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</si>
  <si>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</si>
  <si>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</si>
  <si>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</si>
  <si>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</si>
  <si>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</si>
  <si>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</si>
  <si>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</si>
  <si>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</si>
  <si>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</si>
  <si>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</si>
  <si>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</si>
  <si>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</si>
  <si>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</si>
  <si>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</si>
  <si>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</si>
  <si>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</si>
  <si>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</si>
  <si>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</si>
  <si>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</si>
  <si>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</si>
  <si>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</si>
  <si>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</si>
  <si>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</si>
  <si>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</si>
  <si>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</si>
  <si>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</si>
  <si>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</si>
  <si>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</si>
  <si>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</si>
  <si>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</si>
  <si>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</si>
  <si>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</si>
  <si>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</si>
  <si>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</si>
  <si>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</si>
  <si>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</si>
  <si>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</si>
  <si>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</si>
  <si>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</si>
  <si>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</si>
  <si>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</si>
  <si>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</si>
  <si>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</si>
  <si>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</si>
  <si>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</si>
  <si>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</si>
  <si>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</si>
  <si>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</si>
  <si>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</si>
  <si>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</si>
  <si>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</si>
  <si>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</si>
  <si>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</si>
  <si>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</si>
  <si>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</si>
  <si>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</si>
  <si>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</si>
  <si>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</si>
  <si>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</si>
  <si>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</si>
  <si>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</si>
  <si>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</si>
  <si>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</si>
  <si>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</si>
  <si>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</si>
  <si>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</si>
  <si>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</si>
  <si>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</si>
  <si>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</si>
  <si>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</si>
  <si>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</si>
  <si>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</si>
  <si>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</si>
  <si>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</si>
  <si>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</si>
  <si>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</si>
  <si>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</si>
  <si>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</si>
  <si>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</si>
  <si>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</si>
  <si>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</si>
  <si>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</si>
  <si>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</si>
  <si>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</si>
  <si>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</si>
  <si>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</si>
  <si>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</si>
  <si>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</si>
  <si>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</si>
  <si>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</si>
  <si>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</si>
  <si>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</si>
  <si>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</si>
  <si>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</si>
  <si>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</si>
  <si>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</si>
  <si>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</si>
  <si>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</si>
  <si>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</si>
  <si>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</si>
  <si>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</si>
  <si>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</si>
  <si>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</si>
  <si>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</si>
  <si>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</si>
  <si>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</si>
  <si>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</si>
  <si>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</si>
  <si>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</si>
  <si>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</si>
  <si>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</si>
  <si>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</si>
  <si>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</si>
  <si>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</si>
  <si>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</si>
  <si>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</si>
  <si>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</si>
  <si>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</si>
  <si>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</si>
  <si>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</si>
  <si>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</si>
  <si>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</si>
  <si>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</si>
  <si>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</si>
  <si>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</si>
  <si>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</si>
  <si>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</si>
  <si>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</si>
  <si>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</si>
  <si>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</si>
  <si>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</si>
  <si>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</si>
  <si>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</si>
  <si>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</si>
  <si>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</si>
  <si>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</si>
  <si>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</si>
  <si>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</si>
  <si>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</si>
  <si>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</si>
  <si>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</si>
  <si>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</si>
  <si>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</si>
  <si>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</si>
  <si>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</si>
  <si>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</si>
  <si>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</si>
  <si>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</si>
  <si>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</si>
  <si>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</si>
  <si>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</si>
  <si>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</si>
  <si>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</si>
  <si>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</si>
  <si>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</si>
  <si>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</si>
  <si>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</si>
  <si>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</si>
  <si>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</si>
  <si>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</si>
  <si>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</si>
  <si>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</si>
  <si>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</si>
  <si>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</si>
  <si>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</si>
  <si>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</si>
  <si>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</si>
  <si>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</si>
  <si>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</si>
  <si>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</si>
  <si>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</si>
  <si>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</si>
  <si>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</si>
  <si>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</si>
  <si>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</si>
  <si>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</si>
  <si>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</si>
  <si>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</si>
  <si>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</si>
  <si>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</si>
  <si>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</si>
  <si>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</si>
  <si>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</si>
  <si>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</si>
  <si>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</si>
  <si>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</si>
  <si>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</si>
  <si>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</si>
  <si>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</si>
  <si>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</si>
  <si>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</si>
  <si>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</si>
  <si>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</si>
  <si>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</si>
  <si>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</si>
  <si>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</si>
  <si>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</si>
  <si>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</si>
  <si>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</si>
  <si>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</si>
  <si>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</si>
  <si>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</si>
  <si>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</si>
  <si>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</si>
  <si>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</si>
  <si>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</si>
  <si>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</si>
  <si>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</si>
  <si>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</si>
  <si>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</si>
  <si>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</si>
  <si>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</si>
  <si>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</si>
  <si>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</si>
  <si>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</si>
  <si>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</si>
  <si>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</si>
  <si>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</si>
  <si>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</si>
  <si>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</si>
  <si>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</si>
  <si>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</si>
  <si>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</si>
  <si>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</si>
  <si>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</si>
  <si>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</si>
  <si>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</si>
  <si>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</si>
  <si>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</si>
  <si>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</si>
  <si>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</si>
  <si>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</si>
  <si>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</si>
  <si>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</si>
  <si>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</si>
  <si>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</si>
  <si>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</si>
  <si>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</si>
  <si>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</si>
  <si>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</si>
  <si>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</si>
  <si>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</si>
  <si>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</si>
  <si>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</si>
  <si>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</si>
  <si>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</si>
  <si>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</si>
  <si>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</si>
  <si>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</si>
  <si>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</si>
  <si>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</si>
  <si>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</si>
  <si>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</si>
  <si>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</si>
  <si>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</si>
  <si>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</si>
  <si>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</si>
  <si>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</si>
  <si>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</si>
  <si>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</si>
  <si>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</si>
  <si>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</si>
  <si>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</si>
  <si>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</si>
  <si>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</si>
  <si>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</si>
  <si>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</si>
  <si>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</si>
  <si>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</si>
  <si>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</si>
  <si>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</si>
  <si>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</si>
  <si>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</si>
  <si>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</si>
  <si>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</si>
  <si>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</si>
  <si>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</si>
  <si>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</si>
  <si>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</si>
  <si>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</si>
  <si>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</si>
  <si>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</si>
  <si>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</si>
  <si>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</si>
  <si>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</si>
  <si>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</si>
  <si>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</si>
  <si>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</si>
  <si>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</si>
  <si>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</si>
  <si>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</si>
  <si>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</si>
  <si>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</si>
  <si>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</si>
  <si>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</si>
  <si>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</si>
  <si>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</si>
  <si>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</si>
  <si>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</si>
  <si>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</si>
  <si>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</si>
  <si>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</si>
  <si>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</si>
  <si>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</si>
  <si>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</si>
  <si>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</si>
  <si>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</si>
  <si>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</si>
  <si>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</si>
  <si>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</si>
  <si>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</si>
  <si>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</si>
  <si>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</si>
  <si>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</si>
  <si>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</si>
  <si>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</si>
  <si>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</si>
  <si>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</si>
  <si>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</si>
  <si>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</si>
  <si>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</si>
  <si>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</si>
  <si>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</si>
  <si>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</si>
  <si>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</si>
  <si>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</si>
  <si>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</si>
  <si>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</si>
  <si>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</si>
  <si>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</si>
  <si>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</si>
  <si>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</si>
  <si>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</si>
  <si>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</si>
  <si>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</si>
  <si>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</si>
  <si>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</si>
  <si>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</si>
  <si>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</si>
  <si>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</si>
  <si>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</si>
  <si>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</si>
  <si>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</si>
  <si>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</si>
  <si>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</si>
  <si>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</si>
  <si>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</si>
  <si>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</si>
  <si>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</si>
  <si>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</si>
  <si>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</si>
  <si>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</si>
  <si>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</si>
  <si>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</si>
  <si>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</si>
  <si>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</si>
  <si>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</si>
  <si>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</si>
  <si>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</si>
  <si>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</si>
  <si>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</si>
  <si>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</si>
  <si>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</si>
  <si>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</si>
  <si>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</si>
  <si>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</si>
  <si>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</si>
  <si>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</si>
  <si>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</si>
  <si>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</si>
  <si>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</si>
  <si>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</si>
  <si>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</si>
  <si>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</si>
  <si>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</si>
  <si>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</si>
  <si>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</si>
  <si>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</si>
  <si>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</si>
  <si>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</si>
  <si>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</si>
  <si>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</si>
  <si>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</si>
  <si>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</si>
  <si>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</si>
  <si>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</si>
  <si>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</si>
  <si>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</si>
  <si>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</si>
  <si>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</si>
  <si>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</si>
  <si>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</si>
  <si>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</si>
  <si>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</si>
  <si>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</si>
  <si>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</si>
  <si>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</si>
  <si>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</si>
  <si>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</si>
  <si>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</si>
  <si>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</si>
  <si>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</si>
  <si>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</si>
  <si>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</si>
  <si>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</si>
  <si>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</si>
  <si>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</si>
  <si>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</si>
  <si>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</si>
  <si>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</si>
  <si>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</si>
  <si>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</si>
  <si>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</si>
  <si>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</si>
  <si>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</si>
  <si>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</si>
  <si>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</si>
  <si>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</si>
  <si>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</si>
  <si>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</si>
  <si>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</si>
  <si>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</si>
  <si>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</si>
  <si>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</si>
  <si>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</si>
  <si>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</si>
  <si>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</si>
  <si>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</si>
  <si>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</si>
  <si>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</si>
  <si>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</si>
  <si>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</si>
  <si>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</si>
  <si>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</si>
  <si>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</si>
  <si>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</si>
  <si>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</si>
  <si>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</si>
  <si>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</si>
  <si>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</si>
  <si>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</si>
  <si>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</si>
  <si>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</si>
  <si>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</si>
  <si>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</si>
  <si>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</si>
  <si>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</si>
  <si>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</si>
  <si>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</si>
  <si>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</si>
  <si>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</si>
  <si>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</si>
  <si>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</si>
  <si>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</si>
  <si>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</si>
  <si>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</si>
  <si>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</si>
  <si>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</si>
  <si>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</si>
  <si>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</si>
  <si>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</si>
  <si>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</si>
  <si>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</si>
  <si>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</si>
  <si>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</si>
  <si>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</si>
  <si>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</si>
  <si>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</si>
  <si>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</si>
  <si>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</si>
  <si>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</si>
  <si>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</si>
  <si>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</si>
  <si>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</si>
  <si>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</si>
  <si>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</si>
  <si>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</si>
  <si>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</si>
  <si>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</si>
  <si>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</si>
  <si>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</si>
  <si>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</si>
  <si>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</si>
  <si>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</si>
  <si>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</si>
  <si>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</si>
  <si>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</si>
  <si>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</si>
  <si>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</si>
  <si>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</si>
  <si>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</si>
  <si>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</si>
  <si>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</si>
  <si>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</si>
  <si>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</si>
  <si>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</si>
  <si>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</si>
  <si>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</si>
  <si>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</si>
  <si>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</si>
  <si>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</si>
  <si>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</si>
  <si>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</si>
  <si>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</si>
  <si>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</si>
  <si>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</si>
  <si>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</si>
  <si>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</si>
  <si>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</si>
  <si>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</si>
  <si>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</si>
  <si>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</si>
  <si>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</si>
  <si>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</si>
  <si>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</si>
  <si>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</si>
  <si>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</si>
  <si>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</si>
  <si>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</si>
  <si>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</si>
  <si>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</si>
  <si>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</si>
  <si>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</si>
  <si>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</si>
  <si>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</si>
  <si>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</si>
  <si>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</si>
  <si>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</si>
  <si>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</si>
  <si>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</si>
  <si>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</si>
  <si>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</si>
  <si>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</si>
  <si>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</si>
  <si>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</si>
  <si>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</si>
  <si>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</si>
  <si>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</si>
  <si>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</si>
  <si>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</si>
  <si>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</si>
  <si>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</si>
  <si>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</si>
  <si>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</si>
  <si>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</si>
  <si>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</si>
  <si>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</si>
  <si>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</si>
  <si>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</si>
  <si>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</si>
  <si>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</si>
  <si>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</si>
  <si>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</si>
  <si>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</si>
  <si>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</si>
  <si>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</si>
  <si>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</si>
  <si>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</si>
  <si>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</si>
  <si>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</si>
  <si>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</si>
  <si>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</si>
  <si>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</si>
  <si>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</si>
  <si>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</si>
  <si>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</si>
  <si>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</si>
  <si>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</si>
  <si>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</si>
  <si>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</si>
  <si>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</si>
  <si>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</si>
  <si>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</si>
  <si>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</si>
  <si>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</si>
  <si>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</si>
  <si>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</si>
  <si>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</si>
  <si>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</si>
  <si>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</si>
  <si>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</si>
  <si>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</si>
  <si>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</si>
  <si>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</si>
  <si>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</si>
  <si>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</si>
  <si>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</si>
  <si>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</si>
  <si>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</si>
  <si>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</si>
  <si>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</si>
  <si>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</si>
  <si>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</si>
  <si>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</si>
  <si>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</si>
  <si>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</si>
  <si>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</si>
  <si>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</si>
  <si>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</si>
  <si>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</si>
  <si>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</si>
  <si>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</si>
  <si>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</si>
  <si>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</si>
  <si>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</si>
  <si>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</si>
  <si>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</si>
  <si>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</si>
  <si>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</si>
  <si>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</si>
  <si>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</si>
  <si>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</si>
  <si>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</si>
  <si>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</si>
  <si>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</si>
  <si>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</si>
  <si>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</si>
  <si>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</si>
  <si>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</si>
  <si>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</si>
  <si>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</si>
  <si>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</si>
  <si>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</si>
  <si>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</si>
  <si>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</si>
  <si>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</si>
  <si>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</si>
  <si>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</si>
  <si>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</si>
  <si>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</si>
  <si>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</si>
  <si>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</si>
  <si>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</si>
  <si>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</si>
  <si>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</si>
  <si>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</si>
  <si>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</si>
  <si>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</si>
  <si>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</si>
  <si>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</si>
  <si>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</si>
  <si>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</si>
  <si>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</si>
  <si>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</si>
  <si>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</si>
  <si>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</si>
  <si>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</si>
  <si>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</si>
  <si>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</si>
  <si>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</si>
  <si>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</si>
  <si>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</si>
  <si>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</si>
  <si>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</si>
  <si>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</si>
  <si>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</si>
  <si>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</si>
  <si>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</si>
  <si>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</si>
  <si>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</si>
  <si>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</si>
  <si>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</si>
  <si>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</si>
  <si>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</si>
  <si>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</si>
  <si>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</si>
  <si>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</si>
  <si>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</si>
  <si>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</si>
  <si>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</si>
  <si>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</si>
  <si>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</si>
  <si>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</si>
  <si>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</si>
  <si>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</si>
  <si>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</si>
  <si>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</si>
  <si>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</si>
  <si>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</si>
  <si>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</si>
  <si>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</si>
  <si>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</si>
  <si>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</si>
  <si>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</si>
  <si>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</si>
  <si>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</si>
  <si>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</si>
  <si>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</si>
  <si>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</si>
  <si>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</si>
  <si>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</si>
  <si>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</si>
  <si>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</si>
  <si>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</si>
  <si>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</si>
  <si>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</si>
  <si>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</si>
  <si>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</si>
  <si>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</si>
  <si>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</si>
  <si>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</si>
  <si>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</si>
  <si>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</si>
  <si>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</si>
  <si>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</si>
  <si>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</si>
  <si>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</si>
  <si>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</si>
  <si>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</si>
  <si>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</si>
  <si>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</si>
  <si>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</si>
  <si>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</si>
  <si>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</si>
  <si>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</si>
  <si>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</si>
  <si>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</si>
  <si>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</si>
  <si>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</si>
  <si>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</si>
  <si>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</si>
  <si>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</si>
  <si>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</si>
  <si>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</si>
  <si>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</si>
  <si>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</si>
  <si>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</si>
  <si>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</si>
  <si>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</si>
  <si>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</si>
  <si>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</si>
  <si>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</si>
  <si>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</si>
  <si>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</si>
  <si>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</si>
  <si>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</si>
  <si>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</si>
  <si>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</si>
  <si>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</si>
  <si>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</si>
  <si>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</si>
  <si>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</si>
  <si>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</si>
  <si>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</si>
  <si>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</si>
  <si>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</si>
  <si>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</si>
  <si>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</si>
  <si>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</si>
  <si>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</si>
  <si>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</si>
  <si>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</si>
  <si>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</si>
  <si>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</si>
  <si>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</si>
  <si>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</si>
  <si>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</si>
  <si>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</si>
  <si>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</si>
  <si>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</si>
  <si>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</si>
  <si>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</si>
  <si>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</si>
  <si>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</si>
  <si>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</si>
  <si>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</si>
  <si>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</si>
  <si>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</si>
  <si>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</si>
  <si>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</si>
  <si>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</si>
  <si>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</si>
  <si>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</si>
  <si>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</si>
  <si>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</si>
  <si>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</si>
  <si>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</si>
  <si>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</si>
  <si>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</si>
  <si>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</si>
  <si>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</si>
  <si>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</si>
  <si>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</si>
  <si>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</si>
  <si>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</si>
  <si>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</si>
  <si>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</si>
  <si>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</si>
  <si>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</si>
  <si>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</si>
  <si>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</si>
  <si>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</si>
  <si>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</si>
  <si>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</si>
  <si>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</si>
  <si>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</si>
  <si>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</si>
  <si>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</si>
  <si>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</si>
  <si>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</si>
  <si>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</si>
  <si>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</si>
  <si>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</si>
  <si>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</si>
  <si>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</si>
  <si>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</si>
  <si>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</si>
  <si>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</si>
  <si>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</si>
  <si>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</si>
  <si>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</si>
  <si>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</si>
  <si>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</si>
  <si>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</si>
  <si>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</si>
  <si>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</si>
  <si>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</si>
  <si>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</si>
  <si>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</si>
  <si>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</si>
  <si>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</si>
  <si>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</si>
  <si>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</si>
  <si>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</si>
  <si>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</si>
  <si>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</si>
  <si>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</si>
  <si>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</si>
  <si>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</si>
  <si>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</si>
  <si>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</si>
  <si>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</si>
  <si>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</si>
  <si>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</si>
  <si>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</si>
  <si>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</si>
  <si>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</si>
  <si>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</si>
  <si>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</si>
  <si>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</si>
  <si>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</si>
  <si>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</si>
  <si>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</si>
  <si>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</si>
  <si>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</si>
  <si>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</si>
  <si>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</si>
  <si>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</si>
  <si>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</si>
  <si>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</si>
  <si>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</si>
  <si>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</si>
  <si>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</si>
  <si>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</si>
  <si>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</si>
  <si>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</si>
  <si>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</si>
  <si>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</si>
  <si>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</si>
  <si>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</si>
  <si>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</si>
  <si>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</si>
  <si>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</si>
  <si>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</si>
  <si>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</si>
  <si>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</si>
  <si>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</si>
  <si>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</si>
  <si>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</si>
  <si>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</si>
  <si>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</si>
  <si>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</si>
  <si>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</si>
  <si>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</si>
  <si>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</si>
  <si>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</si>
  <si>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</si>
  <si>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</si>
  <si>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</si>
  <si>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</si>
  <si>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</si>
  <si>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</si>
  <si>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</si>
  <si>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</si>
  <si>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</si>
  <si>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</si>
  <si>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</si>
  <si>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</si>
  <si>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</si>
  <si>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</si>
  <si>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</si>
  <si>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</si>
  <si>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</si>
  <si>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</si>
  <si>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</si>
  <si>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</si>
  <si>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</si>
  <si>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</si>
  <si>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</si>
  <si>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</si>
  <si>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</si>
  <si>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</si>
  <si>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</si>
  <si>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</si>
  <si>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</si>
  <si>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</si>
  <si>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</si>
  <si>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</si>
  <si>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</si>
  <si>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</si>
  <si>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</si>
  <si>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</si>
  <si>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</si>
  <si>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</si>
  <si>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</si>
  <si>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</si>
  <si>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</si>
  <si>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</si>
  <si>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</si>
  <si>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</si>
  <si>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</si>
  <si>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</si>
  <si>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</si>
  <si>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</si>
  <si>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</si>
  <si>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</si>
  <si>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</si>
  <si>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</si>
  <si>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</si>
  <si>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</si>
  <si>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</si>
  <si>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</si>
  <si>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</si>
  <si>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</si>
  <si>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</si>
  <si>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</si>
  <si>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</si>
  <si>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</si>
  <si>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</si>
  <si>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</si>
  <si>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</si>
  <si>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</si>
  <si>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</si>
  <si>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</si>
  <si>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</si>
  <si>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</si>
  <si>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</si>
  <si>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</si>
  <si>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</si>
  <si>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</si>
  <si>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</si>
  <si>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</si>
  <si>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</si>
  <si>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</si>
  <si>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</si>
  <si>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</si>
  <si>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</si>
  <si>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</si>
  <si>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</si>
  <si>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</si>
  <si>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</si>
  <si>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</si>
  <si>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</si>
  <si>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</si>
  <si>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</si>
  <si>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</si>
  <si>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</si>
  <si>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</si>
  <si>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</si>
  <si>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</si>
  <si>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</si>
  <si>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</si>
  <si>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</si>
  <si>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</si>
  <si>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</si>
  <si>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</si>
  <si>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</si>
  <si>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</si>
  <si>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</si>
  <si>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</si>
  <si>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</si>
  <si>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</si>
  <si>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</si>
  <si>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</si>
  <si>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</si>
  <si>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</si>
  <si>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</si>
  <si>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</si>
  <si>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</si>
  <si>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</si>
  <si>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</si>
  <si>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</si>
  <si>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</si>
  <si>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</si>
  <si>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</si>
  <si>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</si>
  <si>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</si>
  <si>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</si>
  <si>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</si>
  <si>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</si>
  <si>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</si>
  <si>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</si>
  <si>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</si>
  <si>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</si>
  <si>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</si>
  <si>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</si>
  <si>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</si>
  <si>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</si>
  <si>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</si>
  <si>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</si>
  <si>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</si>
  <si>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</si>
  <si>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</si>
  <si>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</si>
  <si>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</si>
  <si>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</si>
  <si>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</si>
  <si>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</si>
  <si>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</si>
  <si>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</si>
  <si>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</si>
  <si>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</si>
  <si>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</si>
  <si>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</si>
  <si>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</si>
  <si>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</si>
  <si>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</si>
  <si>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</si>
  <si>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</si>
  <si>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</si>
  <si>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</si>
  <si>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</si>
  <si>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</si>
  <si>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</si>
  <si>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</si>
  <si>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</si>
  <si>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</si>
  <si>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</si>
  <si>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</si>
  <si>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</si>
  <si>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</si>
  <si>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</si>
  <si>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</si>
  <si>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</si>
  <si>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</si>
  <si>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</si>
  <si>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</si>
  <si>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</si>
  <si>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</si>
  <si>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</si>
  <si>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</si>
  <si>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</si>
  <si>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</si>
  <si>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</si>
  <si>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</si>
  <si>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</si>
  <si>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</si>
  <si>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</si>
  <si>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</si>
  <si>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</si>
  <si>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</si>
  <si>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</si>
  <si>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</si>
  <si>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</si>
  <si>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</si>
  <si>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</si>
  <si>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</si>
  <si>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</si>
  <si>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</si>
  <si>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</si>
  <si>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</si>
  <si>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</si>
  <si>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</si>
  <si>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</si>
  <si>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</si>
  <si>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</si>
  <si>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</si>
  <si>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</si>
  <si>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</si>
  <si>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</si>
  <si>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</si>
  <si>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</si>
  <si>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</si>
  <si>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</si>
  <si>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</si>
  <si>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</si>
  <si>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</si>
  <si>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</si>
  <si>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</si>
  <si>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</si>
  <si>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</si>
  <si>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</si>
  <si>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</si>
  <si>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</si>
  <si>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</si>
  <si>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</si>
  <si>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</si>
  <si>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</si>
  <si>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</si>
  <si>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</si>
  <si>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</si>
  <si>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</si>
  <si>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</si>
  <si>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</si>
  <si>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</si>
  <si>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</si>
  <si>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</si>
  <si>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</si>
  <si>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</si>
  <si>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</si>
  <si>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</si>
  <si>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</si>
  <si>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</si>
  <si>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</si>
  <si>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</si>
  <si>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</si>
  <si>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</si>
  <si>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</si>
  <si>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</si>
  <si>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</si>
  <si>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</si>
  <si>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</si>
  <si>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</si>
  <si>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</si>
  <si>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</si>
  <si>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</si>
  <si>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</si>
  <si>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</si>
  <si>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</si>
  <si>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</si>
  <si>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</si>
  <si>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</si>
  <si>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</si>
  <si>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</si>
  <si>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</si>
  <si>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</si>
  <si>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</si>
  <si>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</si>
  <si>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</si>
  <si>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</si>
  <si>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</si>
  <si>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</si>
  <si>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</si>
  <si>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</si>
  <si>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</si>
  <si>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</si>
  <si>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</si>
  <si>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</si>
  <si>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</si>
  <si>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</si>
  <si>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</si>
  <si>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</si>
  <si>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</si>
  <si>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</si>
  <si>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</si>
  <si>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</si>
  <si>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</si>
  <si>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</si>
  <si>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</si>
  <si>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</si>
  <si>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</si>
  <si>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</si>
  <si>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</si>
  <si>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</si>
  <si>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</si>
  <si>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</si>
  <si>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</si>
  <si>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</si>
  <si>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</si>
  <si>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</si>
  <si>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</si>
  <si>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</si>
  <si>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</si>
  <si>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</si>
  <si>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</si>
  <si>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</si>
  <si>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</si>
  <si>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</si>
  <si>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</si>
  <si>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</si>
  <si>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</si>
  <si>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</si>
  <si>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</si>
  <si>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</si>
  <si>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</si>
  <si>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</si>
  <si>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</si>
  <si>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</si>
  <si>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</si>
  <si>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</si>
  <si>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</si>
  <si>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</si>
  <si>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</si>
  <si>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</si>
  <si>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</si>
  <si>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</si>
  <si>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</si>
  <si>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</si>
  <si>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</si>
  <si>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</si>
  <si>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</si>
  <si>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</si>
  <si>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</si>
  <si>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</si>
  <si>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</si>
  <si>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</si>
  <si>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</si>
  <si>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</si>
  <si>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</si>
  <si>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</si>
  <si>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</si>
  <si>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</si>
  <si>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</si>
  <si>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</si>
  <si>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</si>
  <si>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</si>
  <si>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</si>
  <si>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</si>
  <si>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</si>
  <si>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</si>
  <si>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</si>
  <si>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</si>
  <si>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</si>
  <si>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</si>
  <si>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</si>
  <si>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</si>
  <si>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</si>
  <si>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</si>
  <si>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</si>
  <si>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</si>
  <si>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</si>
  <si>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</si>
  <si>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</si>
  <si>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</si>
  <si>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</si>
  <si>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</si>
  <si>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</si>
  <si>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</si>
  <si>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</si>
  <si>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</si>
  <si>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</si>
  <si>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</si>
  <si>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</si>
  <si>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</si>
  <si>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</si>
  <si>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</si>
  <si>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</si>
  <si>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</si>
  <si>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</si>
  <si>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</si>
  <si>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</si>
  <si>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</si>
  <si>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</si>
  <si>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</si>
  <si>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</si>
  <si>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</si>
  <si>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</si>
  <si>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</si>
  <si>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</si>
  <si>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</si>
  <si>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</si>
  <si>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</si>
  <si>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</si>
  <si>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</si>
  <si>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</si>
  <si>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</si>
  <si>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</si>
  <si>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</si>
  <si>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</si>
  <si>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</si>
  <si>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</si>
  <si>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</si>
  <si>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</si>
  <si>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</si>
  <si>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</si>
  <si>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</si>
  <si>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</si>
  <si>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</si>
  <si>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</si>
  <si>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</si>
  <si>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</si>
  <si>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</si>
  <si>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</si>
  <si>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</si>
  <si>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</si>
  <si>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</si>
  <si>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</si>
  <si>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</si>
  <si>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</si>
  <si>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</si>
  <si>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</si>
  <si>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</si>
  <si>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</si>
  <si>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</si>
  <si>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</si>
  <si>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</si>
  <si>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</si>
  <si>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</si>
  <si>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</si>
  <si>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</si>
  <si>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</si>
  <si>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</si>
  <si>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</si>
  <si>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</si>
  <si>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</si>
  <si>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</si>
  <si>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</si>
  <si>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</si>
  <si>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</si>
  <si>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</si>
  <si>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</si>
  <si>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</si>
  <si>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</si>
  <si>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</si>
  <si>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</si>
  <si>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</si>
  <si>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</si>
  <si>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</si>
  <si>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</si>
  <si>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</si>
  <si>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</si>
  <si>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</si>
  <si>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</si>
  <si>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</si>
  <si>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</si>
  <si>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</si>
  <si>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</si>
  <si>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</si>
  <si>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</si>
  <si>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</si>
  <si>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</si>
  <si>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</si>
  <si>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</si>
  <si>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</si>
  <si>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</si>
  <si>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</si>
  <si>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</si>
  <si>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</si>
  <si>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</si>
  <si>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</si>
  <si>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</si>
  <si>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</si>
  <si>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</si>
  <si>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</si>
  <si>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</si>
  <si>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</si>
  <si>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</si>
  <si>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</si>
  <si>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</si>
  <si>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</si>
  <si>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</si>
  <si>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</si>
  <si>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</si>
  <si>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</si>
  <si>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</si>
  <si>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</si>
  <si>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</si>
  <si>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</si>
  <si>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</si>
  <si>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</si>
  <si>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</si>
  <si>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</si>
  <si>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</si>
  <si>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</si>
  <si>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</si>
  <si>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</si>
  <si>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</si>
  <si>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</si>
  <si>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</si>
  <si>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</si>
  <si>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</si>
  <si>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</si>
  <si>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</si>
  <si>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</si>
  <si>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</si>
  <si>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</si>
  <si>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</si>
  <si>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</si>
  <si>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</si>
  <si>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</si>
  <si>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</si>
  <si>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</si>
  <si>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</si>
  <si>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</si>
  <si>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</si>
  <si>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</si>
  <si>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</si>
  <si>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</si>
  <si>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</si>
  <si>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</si>
  <si>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</si>
  <si>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</si>
  <si>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</si>
  <si>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</si>
  <si>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</si>
  <si>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</si>
  <si>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</si>
  <si>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</si>
  <si>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</si>
  <si>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</si>
  <si>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</si>
  <si>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</si>
  <si>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</si>
  <si>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</si>
  <si>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</si>
  <si>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</si>
  <si>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</si>
  <si>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</si>
  <si>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</si>
  <si>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</si>
  <si>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</si>
  <si>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</si>
  <si>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</si>
  <si>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</si>
  <si>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</si>
  <si>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</si>
  <si>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</si>
  <si>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</si>
  <si>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</si>
  <si>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</si>
  <si>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</si>
  <si>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</si>
  <si>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</si>
  <si>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</si>
  <si>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</si>
  <si>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</si>
  <si>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</si>
  <si>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</si>
  <si>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</si>
  <si>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</si>
  <si>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</si>
  <si>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</si>
  <si>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</si>
  <si>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</si>
  <si>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</si>
  <si>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</si>
  <si>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</si>
  <si>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</si>
  <si>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</si>
  <si>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</si>
  <si>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</si>
  <si>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</si>
  <si>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</si>
  <si>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</si>
  <si>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</si>
  <si>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</si>
  <si>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</si>
  <si>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</si>
  <si>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</si>
  <si>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</si>
  <si>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</si>
  <si>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</si>
  <si>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</si>
  <si>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</si>
  <si>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</si>
  <si>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</si>
  <si>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</si>
  <si>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</si>
  <si>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</si>
  <si>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</si>
  <si>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</si>
  <si>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</si>
  <si>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</si>
  <si>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</si>
  <si>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</si>
  <si>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</si>
  <si>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</si>
  <si>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</si>
  <si>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</si>
  <si>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</si>
  <si>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</si>
  <si>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</si>
  <si>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</si>
  <si>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</si>
  <si>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</si>
  <si>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</si>
  <si>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</si>
  <si>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</si>
  <si>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</si>
  <si>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</si>
  <si>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</si>
  <si>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</si>
  <si>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</si>
  <si>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</si>
  <si>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</si>
  <si>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</si>
  <si>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</si>
  <si>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</si>
  <si>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</si>
  <si>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</si>
  <si>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</si>
  <si>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</si>
  <si>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</si>
  <si>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</si>
  <si>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</si>
  <si>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</si>
  <si>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</si>
  <si>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</si>
  <si>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</si>
  <si>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</si>
  <si>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</si>
  <si>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</si>
  <si>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</si>
  <si>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</si>
  <si>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</si>
  <si>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</si>
  <si>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</si>
  <si>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</si>
  <si>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</si>
  <si>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</si>
  <si>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</si>
  <si>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</si>
  <si>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</si>
  <si>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</si>
  <si>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</si>
  <si>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</si>
  <si>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</si>
  <si>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</si>
  <si>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</si>
  <si>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</si>
  <si>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</si>
  <si>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</si>
  <si>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</si>
  <si>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</si>
  <si>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</si>
  <si>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</si>
  <si>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</si>
  <si>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</si>
  <si>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</si>
  <si>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</si>
  <si>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</si>
  <si>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</si>
  <si>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</si>
  <si>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</si>
  <si>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</si>
  <si>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</si>
  <si>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</si>
  <si>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</si>
  <si>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</si>
  <si>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</si>
  <si>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</si>
  <si>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</si>
  <si>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</si>
  <si>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</si>
  <si>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</si>
  <si>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</si>
  <si>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</si>
  <si>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</si>
  <si>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</si>
  <si>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</si>
  <si>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</si>
  <si>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</si>
  <si>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</si>
  <si>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</si>
  <si>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</si>
  <si>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</si>
  <si>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</si>
  <si>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</si>
  <si>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</si>
  <si>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</si>
  <si>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</si>
  <si>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</si>
  <si>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</si>
  <si>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</si>
  <si>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</si>
  <si>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</si>
  <si>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</si>
  <si>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</si>
  <si>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</si>
  <si>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</si>
  <si>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</si>
  <si>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</si>
  <si>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</si>
  <si>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</si>
  <si>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</si>
  <si>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</si>
  <si>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</si>
  <si>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</si>
  <si>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</si>
  <si>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</si>
  <si>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</si>
  <si>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</si>
  <si>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</si>
  <si>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</si>
  <si>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</si>
  <si>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</si>
  <si>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</si>
  <si>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</si>
  <si>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</si>
  <si>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</si>
  <si>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</si>
  <si>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</si>
  <si>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</si>
  <si>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</si>
  <si>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</si>
  <si>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</si>
  <si>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</si>
  <si>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</si>
  <si>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</si>
  <si>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</si>
  <si>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</si>
  <si>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</si>
  <si>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</si>
  <si>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</si>
  <si>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</si>
  <si>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</si>
  <si>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</si>
  <si>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</si>
  <si>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</si>
  <si>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</si>
  <si>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</si>
  <si>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</si>
  <si>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</si>
  <si>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</si>
  <si>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</si>
  <si>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</si>
  <si>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</si>
  <si>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</si>
  <si>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</si>
  <si>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</si>
  <si>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</si>
  <si>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</si>
  <si>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</si>
  <si>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</si>
  <si>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</si>
  <si>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</si>
  <si>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</si>
  <si>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</si>
  <si>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</si>
  <si>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</si>
  <si>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</si>
  <si>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</si>
  <si>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</si>
  <si>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</si>
  <si>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</si>
  <si>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</si>
  <si>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</si>
  <si>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</si>
  <si>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</si>
  <si>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</si>
  <si>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</si>
  <si>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</si>
  <si>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</si>
  <si>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</si>
  <si>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</si>
  <si>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</si>
  <si>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</si>
  <si>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</si>
  <si>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</si>
  <si>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</si>
  <si>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</si>
  <si>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</si>
  <si>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</si>
  <si>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</si>
  <si>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</si>
  <si>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</si>
  <si>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</si>
  <si>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</si>
  <si>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</si>
  <si>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</si>
  <si>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</si>
  <si>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</si>
  <si>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</si>
  <si>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</si>
  <si>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</si>
  <si>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</si>
  <si>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</si>
  <si>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</si>
  <si>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</si>
  <si>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</si>
  <si>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</si>
  <si>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</si>
  <si>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</si>
  <si>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</si>
  <si>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</si>
  <si>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</si>
  <si>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</si>
  <si>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</si>
  <si>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</si>
  <si>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</si>
  <si>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</si>
  <si>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</si>
  <si>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</si>
  <si>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</si>
  <si>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</si>
  <si>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</si>
  <si>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</si>
  <si>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</si>
  <si>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</si>
  <si>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</si>
  <si>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</si>
  <si>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</si>
  <si>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</si>
  <si>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</si>
  <si>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</si>
  <si>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</si>
  <si>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</si>
  <si>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</si>
  <si>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</si>
  <si>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</si>
  <si>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</si>
  <si>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</si>
  <si>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</si>
  <si>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</si>
  <si>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</si>
  <si>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</si>
  <si>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</si>
  <si>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</si>
  <si>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</si>
  <si>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</si>
  <si>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</si>
  <si>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</si>
  <si>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</si>
  <si>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</si>
  <si>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</si>
  <si>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</si>
  <si>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</si>
  <si>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</si>
  <si>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</si>
  <si>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</si>
  <si>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</si>
  <si>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</si>
  <si>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</si>
  <si>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</si>
  <si>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</si>
  <si>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</si>
  <si>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</si>
  <si>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</si>
  <si>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</si>
  <si>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</si>
  <si>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</si>
  <si>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</si>
  <si>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</si>
  <si>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</si>
  <si>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</si>
  <si>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</si>
  <si>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</si>
  <si>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</si>
  <si>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</si>
  <si>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</si>
  <si>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</si>
  <si>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</si>
  <si>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</si>
  <si>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</si>
  <si>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</si>
  <si>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</si>
  <si>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</si>
  <si>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</si>
  <si>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</si>
  <si>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</si>
  <si>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</si>
  <si>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</si>
  <si>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</si>
  <si>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</si>
  <si>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</si>
  <si>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</si>
  <si>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</si>
  <si>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</si>
  <si>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</si>
  <si>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</si>
  <si>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</si>
  <si>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</si>
  <si>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</si>
  <si>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</si>
  <si>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</si>
  <si>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</si>
  <si>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</si>
  <si>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</si>
  <si>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</si>
  <si>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</si>
  <si>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</si>
  <si>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</si>
  <si>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</si>
  <si>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</si>
  <si>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</si>
  <si>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</si>
  <si>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</si>
  <si>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</si>
  <si>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</si>
  <si>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</si>
  <si>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</si>
  <si>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</si>
  <si>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</si>
  <si>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</si>
  <si>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</si>
  <si>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</si>
  <si>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</si>
  <si>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</si>
  <si>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</si>
  <si>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</si>
  <si>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</si>
  <si>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</si>
  <si>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</si>
  <si>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</si>
  <si>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</si>
  <si>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</si>
  <si>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</si>
  <si>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</si>
  <si>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</si>
  <si>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</si>
  <si>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</si>
  <si>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</si>
  <si>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</si>
  <si>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</si>
  <si>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</si>
  <si>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</si>
  <si>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</si>
  <si>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</si>
  <si>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</si>
  <si>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</si>
  <si>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</si>
  <si>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</si>
  <si>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</si>
  <si>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</si>
  <si>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</si>
  <si>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</si>
  <si>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</si>
  <si>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</si>
  <si>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</si>
  <si>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</si>
  <si>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</si>
  <si>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</si>
  <si>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</si>
  <si>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</si>
  <si>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</si>
  <si>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</si>
  <si>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</si>
  <si>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</si>
  <si>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</si>
  <si>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</si>
  <si>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</si>
  <si>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</si>
  <si>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</si>
  <si>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</si>
  <si>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</si>
  <si>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</si>
  <si>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</si>
  <si>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</si>
  <si>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</si>
  <si>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</si>
  <si>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</si>
  <si>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</si>
  <si>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</si>
  <si>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</si>
  <si>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</si>
  <si>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</si>
  <si>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</si>
  <si>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</si>
  <si>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</si>
  <si>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</si>
  <si>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</si>
  <si>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</si>
  <si>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</si>
  <si>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</si>
  <si>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</si>
  <si>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</si>
  <si>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</si>
  <si>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</si>
  <si>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</si>
  <si>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</si>
  <si>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</si>
  <si>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</si>
  <si>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</si>
  <si>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</si>
  <si>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</si>
  <si>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</si>
  <si>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</si>
  <si>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</si>
  <si>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</si>
  <si>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</si>
  <si>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</si>
  <si>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</si>
  <si>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</si>
  <si>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</si>
  <si>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</si>
  <si>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</si>
  <si>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</si>
  <si>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</si>
  <si>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</si>
  <si>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</si>
  <si>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</si>
  <si>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</si>
  <si>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</si>
  <si>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</si>
  <si>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</si>
  <si>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</si>
  <si>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</si>
  <si>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</si>
  <si>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</si>
  <si>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</si>
  <si>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</si>
  <si>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</si>
  <si>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</si>
  <si>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</si>
  <si>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</si>
  <si>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</si>
  <si>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</si>
  <si>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</si>
  <si>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</si>
  <si>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</si>
  <si>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</si>
  <si>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</si>
  <si>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</si>
  <si>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</si>
  <si>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</si>
  <si>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</si>
  <si>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</si>
  <si>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</si>
  <si>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</si>
  <si>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</si>
  <si>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</si>
  <si>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</si>
  <si>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</si>
  <si>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</si>
  <si>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</si>
  <si>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</si>
  <si>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</si>
  <si>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</si>
  <si>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</si>
  <si>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</si>
  <si>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</si>
  <si>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</si>
  <si>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</si>
  <si>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</si>
  <si>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</si>
  <si>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</si>
  <si>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</si>
  <si>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</si>
  <si>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</si>
  <si>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</si>
  <si>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</si>
  <si>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</si>
  <si>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</si>
  <si>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</si>
  <si>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</si>
  <si>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</si>
  <si>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</si>
  <si>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</si>
  <si>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</si>
  <si>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</si>
  <si>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</si>
  <si>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</si>
  <si>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</si>
  <si>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</si>
  <si>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</si>
  <si>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</si>
  <si>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</si>
  <si>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</si>
  <si>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</si>
  <si>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</si>
  <si>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</si>
  <si>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</si>
  <si>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</si>
  <si>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</si>
  <si>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</si>
  <si>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</si>
  <si>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</si>
  <si>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</si>
  <si>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</si>
  <si>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</si>
  <si>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</si>
  <si>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</si>
  <si>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</si>
  <si>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</si>
  <si>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</si>
  <si>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</si>
  <si>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</si>
  <si>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</si>
  <si>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</si>
  <si>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</si>
  <si>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</si>
  <si>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</si>
  <si>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</si>
  <si>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</si>
  <si>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</si>
  <si>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</si>
  <si>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</si>
  <si>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</si>
  <si>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</si>
  <si>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</si>
  <si>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</si>
  <si>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</si>
  <si>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</si>
  <si>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</si>
  <si>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</si>
  <si>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</si>
  <si>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</si>
  <si>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</si>
  <si>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</si>
  <si>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</si>
  <si>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</si>
  <si>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</si>
  <si>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</si>
  <si>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</si>
  <si>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</si>
  <si>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</si>
  <si>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</si>
  <si>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</si>
  <si>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</si>
  <si>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</si>
  <si>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</si>
  <si>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</si>
  <si>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</si>
  <si>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</si>
  <si>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</si>
  <si>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</si>
  <si>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</si>
  <si>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</si>
  <si>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</si>
  <si>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</si>
  <si>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</si>
  <si>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</si>
  <si>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</si>
  <si>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</si>
  <si>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</si>
  <si>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</si>
  <si>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</si>
  <si>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</si>
  <si>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</si>
  <si>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</si>
  <si>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</si>
  <si>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</si>
  <si>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</si>
  <si>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</si>
  <si>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</si>
  <si>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</si>
  <si>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</si>
  <si>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</si>
  <si>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</si>
  <si>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</si>
  <si>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</si>
  <si>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</si>
  <si>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</si>
  <si>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</si>
  <si>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</si>
  <si>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</si>
  <si>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</si>
  <si>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</si>
  <si>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</si>
  <si>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</si>
  <si>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</si>
  <si>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</si>
  <si>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</si>
  <si>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</si>
  <si>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</si>
  <si>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</si>
  <si>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</si>
  <si>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</si>
  <si>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</si>
  <si>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</si>
  <si>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</si>
  <si>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</si>
  <si>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</si>
  <si>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</si>
  <si>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</si>
  <si>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</si>
  <si>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</si>
  <si>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</si>
  <si>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</si>
  <si>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</si>
  <si>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</si>
  <si>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</si>
  <si>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</si>
  <si>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</si>
  <si>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</si>
  <si>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</si>
  <si>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</si>
  <si>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</si>
  <si>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</si>
  <si>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</si>
  <si>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</si>
  <si>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</si>
  <si>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</si>
  <si>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</si>
  <si>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</si>
  <si>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</si>
  <si>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</si>
  <si>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</si>
  <si>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</si>
  <si>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</si>
  <si>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</si>
  <si>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</si>
  <si>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</si>
  <si>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</si>
  <si>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</si>
  <si>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</si>
  <si>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</si>
  <si>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</si>
  <si>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</si>
  <si>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</si>
  <si>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</si>
  <si>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</si>
  <si>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</si>
  <si>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</si>
  <si>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</si>
  <si>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</si>
  <si>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</si>
  <si>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</si>
  <si>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</si>
  <si>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</si>
  <si>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</si>
  <si>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</si>
  <si>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</si>
  <si>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</si>
  <si>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</si>
  <si>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</si>
  <si>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</si>
  <si>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</si>
  <si>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</si>
  <si>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</si>
  <si>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</si>
  <si>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</si>
  <si>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</si>
  <si>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</si>
  <si>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</si>
  <si>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</si>
  <si>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</si>
  <si>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</si>
  <si>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</si>
  <si>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</si>
  <si>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</si>
  <si>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</si>
  <si>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</si>
  <si>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</si>
  <si>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</si>
  <si>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</si>
  <si>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</si>
  <si>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</si>
  <si>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</si>
  <si>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</si>
  <si>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</si>
  <si>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</si>
  <si>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</si>
  <si>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</si>
  <si>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</si>
  <si>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</si>
  <si>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</si>
  <si>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</si>
  <si>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</si>
  <si>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</si>
  <si>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</si>
  <si>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</si>
  <si>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</si>
  <si>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</si>
  <si>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</si>
  <si>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</si>
  <si>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</si>
  <si>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</si>
  <si>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</si>
  <si>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</si>
  <si>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</si>
  <si>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</si>
  <si>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</si>
  <si>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</si>
  <si>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</si>
  <si>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</si>
  <si>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</si>
  <si>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</si>
  <si>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</si>
  <si>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</si>
  <si>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</si>
  <si>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</si>
  <si>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</si>
  <si>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</si>
  <si>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</si>
  <si>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</si>
  <si>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</si>
  <si>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</si>
  <si>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</si>
  <si>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</si>
  <si>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</si>
  <si>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</si>
  <si>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</si>
  <si>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</si>
  <si>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</si>
  <si>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</si>
  <si>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</si>
  <si>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</si>
  <si>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</si>
  <si>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</si>
  <si>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</si>
  <si>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</si>
  <si>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</si>
  <si>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</si>
  <si>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</si>
  <si>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</si>
  <si>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</si>
  <si>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</si>
  <si>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</si>
  <si>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</si>
  <si>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</si>
  <si>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</si>
  <si>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</si>
  <si>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</si>
  <si>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</si>
  <si>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</si>
  <si>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</si>
  <si>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</si>
  <si>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</si>
  <si>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</si>
  <si>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</si>
  <si>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</si>
  <si>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</si>
  <si>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</si>
  <si>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</si>
  <si>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</si>
  <si>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</si>
  <si>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</si>
  <si>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</si>
  <si>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</si>
  <si>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</si>
  <si>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</si>
  <si>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</si>
  <si>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</si>
  <si>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</si>
  <si>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</si>
  <si>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</si>
  <si>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</si>
  <si>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</si>
  <si>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</si>
  <si>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</si>
  <si>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</si>
  <si>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</si>
  <si>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</si>
  <si>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</si>
  <si>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</si>
  <si>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</si>
  <si>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</si>
  <si>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</si>
  <si>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</si>
  <si>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</si>
  <si>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</si>
  <si>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</si>
  <si>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</si>
  <si>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</si>
  <si>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</si>
  <si>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</si>
  <si>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</si>
  <si>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</si>
  <si>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</si>
  <si>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</si>
  <si>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</si>
  <si>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</si>
  <si>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</si>
  <si>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</si>
  <si>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</si>
  <si>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</si>
  <si>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</si>
  <si>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</si>
  <si>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</si>
  <si>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</si>
  <si>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</si>
  <si>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</si>
  <si>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</si>
  <si>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</si>
  <si>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</si>
  <si>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</si>
  <si>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</si>
  <si>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</si>
  <si>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</si>
  <si>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</si>
  <si>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</si>
  <si>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</si>
  <si>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</si>
  <si>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</si>
  <si>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</si>
  <si>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</si>
  <si>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</si>
  <si>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</si>
  <si>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</si>
  <si>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</si>
  <si>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</si>
  <si>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</si>
  <si>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</si>
  <si>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</si>
  <si>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</si>
  <si>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</si>
  <si>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</si>
  <si>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</si>
  <si>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</si>
  <si>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</si>
  <si>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</si>
  <si>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</si>
  <si>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</si>
  <si>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</si>
  <si>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</si>
  <si>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</si>
  <si>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</si>
  <si>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</si>
  <si>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</si>
  <si>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</si>
  <si>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</si>
  <si>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</si>
  <si>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</si>
  <si>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</si>
  <si>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</si>
  <si>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</si>
  <si>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</si>
  <si>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</si>
  <si>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</si>
  <si>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</si>
  <si>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</si>
  <si>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</si>
  <si>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</si>
  <si>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</si>
  <si>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</si>
  <si>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</si>
  <si>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</si>
  <si>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</si>
  <si>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</si>
  <si>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</si>
  <si>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</si>
  <si>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</si>
  <si>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</si>
  <si>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</si>
  <si>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</si>
  <si>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</si>
  <si>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</si>
  <si>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</si>
  <si>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</si>
  <si>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</si>
  <si>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</si>
  <si>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</si>
  <si>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</si>
  <si>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</si>
  <si>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</si>
  <si>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</si>
  <si>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</si>
  <si>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</si>
  <si>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</si>
  <si>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</si>
  <si>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</si>
  <si>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</si>
  <si>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</si>
  <si>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</si>
  <si>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</si>
  <si>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</si>
  <si>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</si>
  <si>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</si>
  <si>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</si>
  <si>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</si>
  <si>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</si>
  <si>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</si>
  <si>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</si>
  <si>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</si>
  <si>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</si>
  <si>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</si>
  <si>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</si>
  <si>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</si>
  <si>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</si>
  <si>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</si>
  <si>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</si>
  <si>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</si>
  <si>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</si>
  <si>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</si>
  <si>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</si>
  <si>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</si>
  <si>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</si>
  <si>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</si>
  <si>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</si>
  <si>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</si>
  <si>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</si>
  <si>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</si>
  <si>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</si>
  <si>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</si>
  <si>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</si>
  <si>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</si>
  <si>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</si>
  <si>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</si>
  <si>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</si>
  <si>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</si>
  <si>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</si>
  <si>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</si>
  <si>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</si>
  <si>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</si>
  <si>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</si>
  <si>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</si>
  <si>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</si>
  <si>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</si>
  <si>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</si>
  <si>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</si>
  <si>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</si>
  <si>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</si>
  <si>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</si>
  <si>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</si>
  <si>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</si>
  <si>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</si>
  <si>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</si>
  <si>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</si>
  <si>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</si>
  <si>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</si>
  <si>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</si>
  <si>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</si>
  <si>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</si>
  <si>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</si>
  <si>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</si>
  <si>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</si>
  <si>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</si>
  <si>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</si>
  <si>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</si>
  <si>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</si>
  <si>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</si>
  <si>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</si>
  <si>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</si>
  <si>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</si>
  <si>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</si>
  <si>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</si>
  <si>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</si>
  <si>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</si>
  <si>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</si>
  <si>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</si>
  <si>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</si>
  <si>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</si>
  <si>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</si>
  <si>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</si>
  <si>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</si>
  <si>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</si>
  <si>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</si>
  <si>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</si>
  <si>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</si>
  <si>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</si>
  <si>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</si>
  <si>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</si>
  <si>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</si>
  <si>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</si>
  <si>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</si>
  <si>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</si>
  <si>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</si>
  <si>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</si>
  <si>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</si>
  <si>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</si>
  <si>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</si>
  <si>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</si>
  <si>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</si>
  <si>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</si>
  <si>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</si>
  <si>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</si>
  <si>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</si>
  <si>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</si>
  <si>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</si>
  <si>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</si>
  <si>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</si>
  <si>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</si>
  <si>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</si>
  <si>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</si>
  <si>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</si>
  <si>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</si>
  <si>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</si>
  <si>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</si>
  <si>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</si>
  <si>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</si>
  <si>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</si>
  <si>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</si>
  <si>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</si>
  <si>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</si>
  <si>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</si>
  <si>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</si>
  <si>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</si>
  <si>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</si>
  <si>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</si>
  <si>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</si>
  <si>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</si>
  <si>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</si>
  <si>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</si>
  <si>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</si>
  <si>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</si>
  <si>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</si>
  <si>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</si>
  <si>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</si>
  <si>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</si>
  <si>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</si>
  <si>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</si>
  <si>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</si>
  <si>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</si>
  <si>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</si>
  <si>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</si>
  <si>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</si>
  <si>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</si>
  <si>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</si>
  <si>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</si>
  <si>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</si>
  <si>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</si>
  <si>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</si>
  <si>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</si>
  <si>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</si>
  <si>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</si>
  <si>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</si>
  <si>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</si>
  <si>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</si>
  <si>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</si>
  <si>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</si>
  <si>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</si>
  <si>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</si>
  <si>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</si>
  <si>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</si>
  <si>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</si>
  <si>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</si>
  <si>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</si>
  <si>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</si>
  <si>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</si>
  <si>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</si>
  <si>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</si>
  <si>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</si>
  <si>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</si>
  <si>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</si>
  <si>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</si>
  <si>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</si>
  <si>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</si>
  <si>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</si>
  <si>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</si>
  <si>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</si>
  <si>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</si>
  <si>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</si>
  <si>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</si>
  <si>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</si>
  <si>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</si>
  <si>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</si>
  <si>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</si>
  <si>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</si>
  <si>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</si>
  <si>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</si>
  <si>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</si>
  <si>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</si>
  <si>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</si>
  <si>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</si>
  <si>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</si>
  <si>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</si>
  <si>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</si>
  <si>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</si>
  <si>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</si>
  <si>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</si>
  <si>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</si>
  <si>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</si>
  <si>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</si>
  <si>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</si>
  <si>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</si>
  <si>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</si>
  <si>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</si>
  <si>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</si>
  <si>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</si>
  <si>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</si>
  <si>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</si>
  <si>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</si>
  <si>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</si>
  <si>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</si>
  <si>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</si>
  <si>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</si>
  <si>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</si>
  <si>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</si>
  <si>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</si>
  <si>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</si>
  <si>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</si>
  <si>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</si>
  <si>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</si>
  <si>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</si>
  <si>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</si>
  <si>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</si>
  <si>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</si>
  <si>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</si>
  <si>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</si>
  <si>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</si>
  <si>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</si>
  <si>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</si>
  <si>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</si>
  <si>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</si>
  <si>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</si>
  <si>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</si>
  <si>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</si>
  <si>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</si>
  <si>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</si>
  <si>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</si>
  <si>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</si>
  <si>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</si>
  <si>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</si>
  <si>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</si>
  <si>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</si>
  <si>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</si>
  <si>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</si>
  <si>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</si>
  <si>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</si>
  <si>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</si>
  <si>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</si>
  <si>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</si>
  <si>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</si>
  <si>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</si>
  <si>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</si>
  <si>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</si>
  <si>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</si>
  <si>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</si>
  <si>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</si>
  <si>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</si>
  <si>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</si>
  <si>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</si>
  <si>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</si>
  <si>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</si>
  <si>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</si>
  <si>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</si>
  <si>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</si>
  <si>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</si>
  <si>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</si>
  <si>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</si>
  <si>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</si>
  <si>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</si>
  <si>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</si>
  <si>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</si>
  <si>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</si>
  <si>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</si>
  <si>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</si>
  <si>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</si>
  <si>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</si>
  <si>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</si>
  <si>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</si>
  <si>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</si>
  <si>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</si>
  <si>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</si>
  <si>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</si>
  <si>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</si>
  <si>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</si>
  <si>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</si>
  <si>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</si>
  <si>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</si>
  <si>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</si>
  <si>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</si>
  <si>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</si>
  <si>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</si>
  <si>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</si>
  <si>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</si>
  <si>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</si>
  <si>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</si>
  <si>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</si>
  <si>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</si>
  <si>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</si>
  <si>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</si>
  <si>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</si>
  <si>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</si>
  <si>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</si>
  <si>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</si>
  <si>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</si>
  <si>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</si>
  <si>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</si>
  <si>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</si>
  <si>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</si>
  <si>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</si>
  <si>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</si>
  <si>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</si>
  <si>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</si>
  <si>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</si>
  <si>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</si>
  <si>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</si>
  <si>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</si>
  <si>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</si>
  <si>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</si>
  <si>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</si>
  <si>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</si>
  <si>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</si>
  <si>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</si>
  <si>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</si>
  <si>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</si>
  <si>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</si>
  <si>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</si>
  <si>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</si>
  <si>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</si>
  <si>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</si>
  <si>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</si>
  <si>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</si>
  <si>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</si>
  <si>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</si>
  <si>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</si>
  <si>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</si>
  <si>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</si>
  <si>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</si>
  <si>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</si>
  <si>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</si>
  <si>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</si>
  <si>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</si>
  <si>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</si>
  <si>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</si>
  <si>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</si>
  <si>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</si>
  <si>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</si>
  <si>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</si>
  <si>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</si>
  <si>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</si>
  <si>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</si>
  <si>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</si>
  <si>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</si>
  <si>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</si>
  <si>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</si>
  <si>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</si>
  <si>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</si>
  <si>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</si>
  <si>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</si>
  <si>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</si>
  <si>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</si>
  <si>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</si>
  <si>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</si>
  <si>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</si>
  <si>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</si>
  <si>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</si>
  <si>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</si>
  <si>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</si>
  <si>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</si>
  <si>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</si>
  <si>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</si>
  <si>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</si>
  <si>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</si>
  <si>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</si>
  <si>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</si>
  <si>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</si>
  <si>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</si>
  <si>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</si>
  <si>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</si>
  <si>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</si>
  <si>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</si>
  <si>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</si>
  <si>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</si>
  <si>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</si>
  <si>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</si>
  <si>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</si>
  <si>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</si>
  <si>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</si>
  <si>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</si>
  <si>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</si>
  <si>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</si>
  <si>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</si>
  <si>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</si>
  <si>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</si>
  <si>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</si>
  <si>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</si>
  <si>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</si>
  <si>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</si>
  <si>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</si>
  <si>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</si>
  <si>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</si>
  <si>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</si>
  <si>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</si>
  <si>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</si>
  <si>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</si>
  <si>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</si>
  <si>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</si>
  <si>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</si>
  <si>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</si>
  <si>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</si>
  <si>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</si>
  <si>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</si>
  <si>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</si>
  <si>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</si>
  <si>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</si>
  <si>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</si>
  <si>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</si>
  <si>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</si>
  <si>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</si>
  <si>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</si>
  <si>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</si>
  <si>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</si>
  <si>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</si>
  <si>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</si>
  <si>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</si>
  <si>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</si>
  <si>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</si>
  <si>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</si>
  <si>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</si>
  <si>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</si>
  <si>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</si>
  <si>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</si>
  <si>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</si>
  <si>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</si>
  <si>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</si>
  <si>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</si>
  <si>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</si>
  <si>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</si>
  <si>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</si>
  <si>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</si>
  <si>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</si>
  <si>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</si>
  <si>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</si>
  <si>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</si>
  <si>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</si>
  <si>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</si>
  <si>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</si>
  <si>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</si>
  <si>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</si>
  <si>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</si>
  <si>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</si>
  <si>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</si>
  <si>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</si>
  <si>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</si>
  <si>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</si>
  <si>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</si>
  <si>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</si>
  <si>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</si>
  <si>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</si>
  <si>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</si>
  <si>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</si>
  <si>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</si>
  <si>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</si>
  <si>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</si>
  <si>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</si>
  <si>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</si>
  <si>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</si>
  <si>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</si>
  <si>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</si>
  <si>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</si>
  <si>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</si>
  <si>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</si>
  <si>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</si>
  <si>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</si>
  <si>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</si>
  <si>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</si>
  <si>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</si>
  <si>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</si>
  <si>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</si>
  <si>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</si>
  <si>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</si>
  <si>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</si>
  <si>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</si>
  <si>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</si>
  <si>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</si>
  <si>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</si>
  <si>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</si>
  <si>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</si>
  <si>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</si>
  <si>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</si>
  <si>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</si>
  <si>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</si>
  <si>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</si>
  <si>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</si>
  <si>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</si>
  <si>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</si>
  <si>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</si>
  <si>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</si>
  <si>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</si>
  <si>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</si>
  <si>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</si>
  <si>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</si>
  <si>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</si>
  <si>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</si>
  <si>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</si>
  <si>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</si>
  <si>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</si>
  <si>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</si>
  <si>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</si>
  <si>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</si>
  <si>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</si>
  <si>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</si>
  <si>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</si>
  <si>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</si>
  <si>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</si>
  <si>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</si>
  <si>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</si>
  <si>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</si>
  <si>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</si>
  <si>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</si>
  <si>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</si>
  <si>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</si>
  <si>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</si>
  <si>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</si>
  <si>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</si>
  <si>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</si>
  <si>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</si>
  <si>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</si>
  <si>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</si>
  <si>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</si>
  <si>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</si>
  <si>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</si>
  <si>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</si>
  <si>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</si>
  <si>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</si>
  <si>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</si>
  <si>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</si>
  <si>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</si>
  <si>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</si>
  <si>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</si>
  <si>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</si>
  <si>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</si>
  <si>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</si>
  <si>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</si>
  <si>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</si>
  <si>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</si>
  <si>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</si>
  <si>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</si>
  <si>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</si>
  <si>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</si>
  <si>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</si>
  <si>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</si>
  <si>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</si>
  <si>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</si>
  <si>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</si>
  <si>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</si>
  <si>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</si>
  <si>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</si>
  <si>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</si>
  <si>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</si>
  <si>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</si>
  <si>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</si>
  <si>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</si>
  <si>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</si>
  <si>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</si>
  <si>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</si>
  <si>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</si>
  <si>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모터 샤프트 손상 수정 후 설치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</si>
  <si>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</si>
  <si>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</si>
  <si>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</si>
  <si>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</si>
  <si>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</si>
  <si>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</si>
  <si>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</si>
  <si>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</si>
  <si>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</si>
  <si>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</si>
  <si>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</si>
  <si>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</si>
  <si>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</si>
  <si>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</si>
  <si>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</si>
  <si>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</si>
  <si>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</si>
  <si>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</si>
  <si>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</si>
  <si>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</si>
  <si>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</si>
  <si>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</si>
  <si>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</si>
  <si>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</si>
  <si>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</si>
  <si>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</si>
  <si>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</si>
  <si>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박재규, 박용웅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</si>
</sst>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0"/>
  <sheetViews>
    <sheetView showGridLines="0" tabSelected="1" topLeftCell="B689" zoomScaleNormal="100" workbookViewId="0">
      <selection activeCell="H692" sqref="H69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40" t="s">
        <v>3261</v>
      </c>
      <c r="B1" s="840"/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1"/>
      <c r="Q22" s="842"/>
      <c r="R22" s="842"/>
      <c r="S22" s="84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1"/>
      <c r="Q27" s="842"/>
      <c r="R27" s="842"/>
      <c r="S27" s="84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1"/>
      <c r="Q36" s="842"/>
      <c r="R36" s="842"/>
      <c r="S36" s="84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1"/>
      <c r="Q37" s="842"/>
      <c r="R37" s="842"/>
      <c r="S37" s="84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1"/>
      <c r="Q40" s="842"/>
      <c r="R40" s="842"/>
      <c r="S40" s="84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1"/>
      <c r="Q41" s="842"/>
      <c r="R41" s="842"/>
      <c r="S41" s="84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1" t="s">
        <v>4390</v>
      </c>
      <c r="Q43" s="842"/>
      <c r="R43" s="842"/>
      <c r="S43" s="84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1"/>
      <c r="Q61" s="842"/>
      <c r="R61" s="842"/>
      <c r="S61" s="84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1"/>
      <c r="Q64" s="842"/>
      <c r="R64" s="842"/>
      <c r="S64" s="84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1"/>
      <c r="Q67" s="842"/>
      <c r="R67" s="842"/>
      <c r="S67" s="84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1"/>
      <c r="Q74" s="842"/>
      <c r="R74" s="842"/>
      <c r="S74" s="84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1"/>
      <c r="Q83" s="842"/>
      <c r="R83" s="842"/>
      <c r="S83" s="84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1"/>
      <c r="Q85" s="842"/>
      <c r="R85" s="842"/>
      <c r="S85" s="84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1" t="s">
        <v>4390</v>
      </c>
      <c r="Q93" s="842"/>
      <c r="R93" s="842"/>
      <c r="S93" s="84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5"/>
      <c r="Q169" s="846"/>
      <c r="R169" s="846"/>
      <c r="S169" s="84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3" t="s">
        <v>4688</v>
      </c>
      <c r="Q182" s="844"/>
      <c r="R182" s="844"/>
      <c r="S182" s="84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91"/>
      <c r="O619" s="430" t="s">
        <v>7014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7010</v>
      </c>
      <c r="E622" s="791" t="s">
        <v>6964</v>
      </c>
      <c r="F622" s="791" t="s">
        <v>7009</v>
      </c>
      <c r="G622" s="16" t="s">
        <v>7007</v>
      </c>
      <c r="H622" s="797" t="s">
        <v>7008</v>
      </c>
      <c r="I622" s="791" t="s">
        <v>7011</v>
      </c>
      <c r="J622" s="791" t="s">
        <v>5606</v>
      </c>
      <c r="K622" s="277" t="s">
        <v>7012</v>
      </c>
      <c r="L622" s="16" t="s">
        <v>6287</v>
      </c>
      <c r="M622" s="8">
        <v>3</v>
      </c>
      <c r="N622" s="791"/>
      <c r="O622" s="430" t="s">
        <v>7015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7032</v>
      </c>
      <c r="F623" s="454" t="s">
        <v>3415</v>
      </c>
      <c r="G623" s="459" t="s">
        <v>23</v>
      </c>
      <c r="H623" s="806" t="s">
        <v>7027</v>
      </c>
      <c r="I623" s="803"/>
      <c r="J623" s="803" t="s">
        <v>7030</v>
      </c>
      <c r="K623" s="277" t="s">
        <v>15</v>
      </c>
      <c r="L623" s="16" t="s">
        <v>7031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7033</v>
      </c>
      <c r="H625" s="453" t="s">
        <v>7034</v>
      </c>
      <c r="I625" s="453" t="s">
        <v>1690</v>
      </c>
      <c r="J625" s="454" t="s">
        <v>316</v>
      </c>
      <c r="K625" s="136" t="s">
        <v>1356</v>
      </c>
      <c r="L625" s="459" t="s">
        <v>7035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7028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6980</v>
      </c>
      <c r="H627" s="797" t="s">
        <v>6949</v>
      </c>
      <c r="I627" s="791" t="s">
        <v>6996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7037</v>
      </c>
      <c r="I628" s="803" t="s">
        <v>7036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7038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6997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6"/>
      <c r="O631" s="430" t="s">
        <v>7002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7039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6979</v>
      </c>
      <c r="H635" s="797" t="s">
        <v>6949</v>
      </c>
      <c r="I635" s="791"/>
      <c r="J635" s="791" t="s">
        <v>6998</v>
      </c>
      <c r="K635" s="125" t="s">
        <v>15</v>
      </c>
      <c r="L635" s="16" t="s">
        <v>6287</v>
      </c>
      <c r="M635" s="8">
        <v>3</v>
      </c>
      <c r="N635" s="796"/>
      <c r="O635" s="430" t="s">
        <v>6999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6"/>
      <c r="O636" s="430" t="s">
        <v>7002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7032</v>
      </c>
      <c r="F637" s="454" t="s">
        <v>3415</v>
      </c>
      <c r="G637" s="459" t="s">
        <v>23</v>
      </c>
      <c r="H637" s="806" t="s">
        <v>7045</v>
      </c>
      <c r="I637" s="803"/>
      <c r="J637" s="803" t="s">
        <v>7046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7040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6"/>
      <c r="O640" s="430" t="s">
        <v>7002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7059</v>
      </c>
      <c r="D646" s="4" t="s">
        <v>17</v>
      </c>
      <c r="E646" s="806" t="s">
        <v>7060</v>
      </c>
      <c r="F646" s="803" t="s">
        <v>7061</v>
      </c>
      <c r="G646" s="16" t="s">
        <v>7062</v>
      </c>
      <c r="H646" s="806" t="s">
        <v>7063</v>
      </c>
      <c r="I646" s="803"/>
      <c r="J646" s="803" t="s">
        <v>7064</v>
      </c>
      <c r="K646" s="125" t="s">
        <v>7065</v>
      </c>
      <c r="L646" s="16" t="s">
        <v>7066</v>
      </c>
      <c r="M646" s="8">
        <v>2</v>
      </c>
      <c r="N646" s="805"/>
      <c r="O646" s="428" t="s">
        <v>7067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7069</v>
      </c>
      <c r="J648" s="803" t="s">
        <v>7068</v>
      </c>
      <c r="K648" s="125" t="s">
        <v>15</v>
      </c>
      <c r="L648" s="16" t="s">
        <v>7077</v>
      </c>
      <c r="M648" s="8">
        <v>2</v>
      </c>
      <c r="N648" s="805"/>
      <c r="O648" s="428" t="s">
        <v>7071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7069</v>
      </c>
      <c r="J649" s="803" t="s">
        <v>7070</v>
      </c>
      <c r="K649" s="125" t="s">
        <v>15</v>
      </c>
      <c r="L649" s="16" t="s">
        <v>7077</v>
      </c>
      <c r="M649" s="8">
        <v>2</v>
      </c>
      <c r="N649" s="805"/>
      <c r="O649" s="428" t="s">
        <v>7072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7047</v>
      </c>
      <c r="H650" s="806" t="s">
        <v>7110</v>
      </c>
      <c r="I650" s="803" t="s">
        <v>7069</v>
      </c>
      <c r="J650" s="803" t="s">
        <v>7070</v>
      </c>
      <c r="K650" s="125" t="s">
        <v>15</v>
      </c>
      <c r="L650" s="16" t="s">
        <v>7077</v>
      </c>
      <c r="M650" s="8">
        <v>2</v>
      </c>
      <c r="N650" s="805"/>
      <c r="O650" s="428" t="s">
        <v>7072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7041</v>
      </c>
      <c r="I652" s="806" t="s">
        <v>7073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7042</v>
      </c>
      <c r="I654" s="803" t="s">
        <v>7043</v>
      </c>
      <c r="J654" s="806" t="s">
        <v>7044</v>
      </c>
      <c r="K654" s="125" t="s">
        <v>1356</v>
      </c>
      <c r="L654" s="16" t="s">
        <v>33</v>
      </c>
      <c r="M654" s="8">
        <v>5</v>
      </c>
      <c r="N654" s="805"/>
      <c r="O654" s="828" t="s">
        <v>7076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6984</v>
      </c>
      <c r="E656" s="791" t="s">
        <v>6985</v>
      </c>
      <c r="F656" s="791" t="s">
        <v>6986</v>
      </c>
      <c r="G656" s="16" t="s">
        <v>205</v>
      </c>
      <c r="H656" s="797" t="s">
        <v>6988</v>
      </c>
      <c r="I656" s="791"/>
      <c r="J656" s="791" t="s">
        <v>6987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7058</v>
      </c>
      <c r="H657" s="806" t="s">
        <v>7075</v>
      </c>
      <c r="I657" s="803" t="s">
        <v>7069</v>
      </c>
      <c r="J657" s="803" t="s">
        <v>1300</v>
      </c>
      <c r="K657" s="125" t="s">
        <v>15</v>
      </c>
      <c r="L657" s="16" t="s">
        <v>7078</v>
      </c>
      <c r="M657" s="8">
        <v>2</v>
      </c>
      <c r="N657" s="805"/>
      <c r="O657" s="428" t="s">
        <v>7050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7113</v>
      </c>
      <c r="I658" s="815" t="s">
        <v>7114</v>
      </c>
      <c r="J658" s="815" t="s">
        <v>7120</v>
      </c>
      <c r="K658" s="125" t="s">
        <v>7116</v>
      </c>
      <c r="L658" s="16" t="s">
        <v>7117</v>
      </c>
      <c r="M658" s="8">
        <v>2</v>
      </c>
      <c r="N658" s="826"/>
      <c r="O658" s="428" t="s">
        <v>7122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7054</v>
      </c>
      <c r="H659" s="797" t="s">
        <v>7118</v>
      </c>
      <c r="I659" s="791" t="s">
        <v>7119</v>
      </c>
      <c r="J659" s="791" t="s">
        <v>7055</v>
      </c>
      <c r="K659" s="125" t="s">
        <v>7056</v>
      </c>
      <c r="L659" s="16" t="s">
        <v>7057</v>
      </c>
      <c r="M659" s="8">
        <v>2</v>
      </c>
      <c r="N659" s="796" t="s">
        <v>7121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7123</v>
      </c>
      <c r="I660" s="815" t="s">
        <v>7124</v>
      </c>
      <c r="J660" s="815"/>
      <c r="K660" s="125" t="s">
        <v>7125</v>
      </c>
      <c r="L660" s="16" t="s">
        <v>7126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7106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7094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7144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7095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7129</v>
      </c>
      <c r="D665" s="4" t="s">
        <v>7130</v>
      </c>
      <c r="E665" s="815" t="s">
        <v>7133</v>
      </c>
      <c r="F665" s="815" t="s">
        <v>7132</v>
      </c>
      <c r="G665" s="815" t="s">
        <v>7131</v>
      </c>
      <c r="H665" s="827" t="s">
        <v>7134</v>
      </c>
      <c r="I665" s="815" t="s">
        <v>7114</v>
      </c>
      <c r="J665" s="815"/>
      <c r="K665" s="125"/>
      <c r="L665" s="16" t="s">
        <v>7135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7051</v>
      </c>
      <c r="D668" s="4" t="s">
        <v>7052</v>
      </c>
      <c r="E668" s="31" t="s">
        <v>107</v>
      </c>
      <c r="F668" s="31" t="s">
        <v>7053</v>
      </c>
      <c r="G668" s="16" t="s">
        <v>1721</v>
      </c>
      <c r="H668" s="193" t="s">
        <v>7111</v>
      </c>
      <c r="I668" s="31" t="s">
        <v>7114</v>
      </c>
      <c r="J668" s="31" t="s">
        <v>7115</v>
      </c>
      <c r="K668" s="125" t="s">
        <v>7116</v>
      </c>
      <c r="L668" s="16" t="s">
        <v>7140</v>
      </c>
      <c r="M668" s="8">
        <v>2</v>
      </c>
      <c r="N668" s="31" t="s">
        <v>7128</v>
      </c>
      <c r="O668" s="438" t="s">
        <v>7163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7107</v>
      </c>
      <c r="H669" s="827" t="s">
        <v>7136</v>
      </c>
      <c r="I669" s="815"/>
      <c r="J669" s="815" t="s">
        <v>7137</v>
      </c>
      <c r="K669" s="125" t="s">
        <v>7116</v>
      </c>
      <c r="L669" s="16" t="s">
        <v>7138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7156</v>
      </c>
      <c r="E670" s="815" t="s">
        <v>7157</v>
      </c>
      <c r="F670" s="815">
        <v>7060</v>
      </c>
      <c r="G670" s="16" t="s">
        <v>7158</v>
      </c>
      <c r="H670" s="827" t="s">
        <v>7159</v>
      </c>
      <c r="I670" s="815" t="s">
        <v>7160</v>
      </c>
      <c r="J670" s="815" t="s">
        <v>7161</v>
      </c>
      <c r="K670" s="125" t="s">
        <v>7116</v>
      </c>
      <c r="L670" s="16">
        <v>9080</v>
      </c>
      <c r="M670" s="8">
        <v>2</v>
      </c>
      <c r="N670" s="815"/>
      <c r="O670" s="438" t="s">
        <v>7162</v>
      </c>
      <c r="P670" s="815"/>
    </row>
    <row r="671" spans="1:16" s="17" customFormat="1" ht="33" customHeight="1" x14ac:dyDescent="0.3">
      <c r="A671" s="812"/>
      <c r="B671" s="503" t="s">
        <v>7155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5" t="s">
        <v>2917</v>
      </c>
      <c r="H671" s="238" t="s">
        <v>7153</v>
      </c>
      <c r="I671" s="316"/>
      <c r="J671" s="316"/>
      <c r="K671" s="836"/>
      <c r="L671" s="835"/>
      <c r="M671" s="837"/>
      <c r="N671" s="838"/>
      <c r="O671" s="839" t="s">
        <v>7154</v>
      </c>
      <c r="P671" s="815"/>
    </row>
    <row r="672" spans="1:16" s="17" customFormat="1" ht="33" customHeight="1" x14ac:dyDescent="0.3">
      <c r="A672" s="812"/>
      <c r="B672" s="503" t="s">
        <v>7155</v>
      </c>
      <c r="C672" s="183" t="s">
        <v>5257</v>
      </c>
      <c r="D672" s="183" t="s">
        <v>7173</v>
      </c>
      <c r="E672" s="316" t="s">
        <v>7174</v>
      </c>
      <c r="F672" s="316">
        <v>3306</v>
      </c>
      <c r="G672" s="835" t="s">
        <v>7175</v>
      </c>
      <c r="H672" s="238" t="s">
        <v>7176</v>
      </c>
      <c r="I672" s="316"/>
      <c r="J672" s="316"/>
      <c r="K672" s="836"/>
      <c r="L672" s="835"/>
      <c r="M672" s="837"/>
      <c r="N672" s="838"/>
      <c r="O672" s="839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7127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7051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7233</v>
      </c>
      <c r="I675" s="815" t="s">
        <v>7141</v>
      </c>
      <c r="J675" s="815" t="s">
        <v>7234</v>
      </c>
      <c r="K675" s="125" t="s">
        <v>7116</v>
      </c>
      <c r="L675" s="16" t="s">
        <v>7143</v>
      </c>
      <c r="M675" s="8">
        <v>2</v>
      </c>
      <c r="N675" s="815" t="s">
        <v>7187</v>
      </c>
      <c r="O675" s="1143" t="s">
        <v>7235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7051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7108</v>
      </c>
      <c r="I676" s="815" t="s">
        <v>7114</v>
      </c>
      <c r="J676" s="815" t="s">
        <v>7139</v>
      </c>
      <c r="K676" s="125" t="s">
        <v>7116</v>
      </c>
      <c r="L676" s="16" t="s">
        <v>7140</v>
      </c>
      <c r="M676" s="8">
        <v>2</v>
      </c>
      <c r="N676" s="815"/>
      <c r="O676" s="438" t="s">
        <v>7109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7051</v>
      </c>
      <c r="D677" s="4" t="s">
        <v>14</v>
      </c>
      <c r="E677" s="815" t="s">
        <v>107</v>
      </c>
      <c r="F677" s="815" t="s">
        <v>7164</v>
      </c>
      <c r="G677" s="16" t="s">
        <v>7165</v>
      </c>
      <c r="H677" s="827" t="s">
        <v>7166</v>
      </c>
      <c r="I677" s="815"/>
      <c r="J677" s="815" t="s">
        <v>7167</v>
      </c>
      <c r="K677" s="125" t="s">
        <v>7168</v>
      </c>
      <c r="L677" s="16" t="s">
        <v>7169</v>
      </c>
      <c r="M677" s="8">
        <v>4</v>
      </c>
      <c r="N677" s="815"/>
      <c r="O677" s="438" t="s">
        <v>7178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7051</v>
      </c>
      <c r="D678" s="4" t="s">
        <v>14</v>
      </c>
      <c r="E678" s="815" t="s">
        <v>107</v>
      </c>
      <c r="F678" s="815" t="s">
        <v>7183</v>
      </c>
      <c r="G678" s="16" t="s">
        <v>7165</v>
      </c>
      <c r="H678" s="827" t="s">
        <v>7232</v>
      </c>
      <c r="I678" s="815" t="s">
        <v>7185</v>
      </c>
      <c r="J678" s="815" t="s">
        <v>7186</v>
      </c>
      <c r="K678" s="125" t="s">
        <v>15</v>
      </c>
      <c r="L678" s="16" t="s">
        <v>7182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7145</v>
      </c>
      <c r="D679" s="4" t="s">
        <v>7146</v>
      </c>
      <c r="E679" s="31" t="s">
        <v>7147</v>
      </c>
      <c r="F679" s="31" t="s">
        <v>7148</v>
      </c>
      <c r="G679" s="16" t="s">
        <v>7149</v>
      </c>
      <c r="H679" s="193" t="s">
        <v>7172</v>
      </c>
      <c r="I679" s="31"/>
      <c r="J679" s="193" t="s">
        <v>7170</v>
      </c>
      <c r="K679" s="125" t="s">
        <v>7150</v>
      </c>
      <c r="L679" s="16" t="s">
        <v>7138</v>
      </c>
      <c r="M679" s="8">
        <v>2</v>
      </c>
      <c r="N679" s="422"/>
      <c r="O679" s="438" t="s">
        <v>7179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7051</v>
      </c>
      <c r="D681" s="4" t="s">
        <v>14</v>
      </c>
      <c r="E681" s="815" t="s">
        <v>107</v>
      </c>
      <c r="F681" s="815" t="s">
        <v>7164</v>
      </c>
      <c r="G681" s="16" t="s">
        <v>7165</v>
      </c>
      <c r="H681" s="827" t="s">
        <v>7166</v>
      </c>
      <c r="I681" s="815"/>
      <c r="J681" s="815" t="s">
        <v>7167</v>
      </c>
      <c r="K681" s="125" t="s">
        <v>7168</v>
      </c>
      <c r="L681" s="16" t="s">
        <v>7169</v>
      </c>
      <c r="M681" s="8">
        <v>4</v>
      </c>
      <c r="N681" s="826"/>
      <c r="O681" s="438" t="s">
        <v>7178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7107</v>
      </c>
      <c r="H682" s="16" t="s">
        <v>7177</v>
      </c>
      <c r="I682" s="815" t="s">
        <v>7119</v>
      </c>
      <c r="J682" s="815" t="s">
        <v>7115</v>
      </c>
      <c r="K682" s="277" t="s">
        <v>15</v>
      </c>
      <c r="L682" s="16" t="s">
        <v>7140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7145</v>
      </c>
      <c r="D683" s="4" t="s">
        <v>7146</v>
      </c>
      <c r="E683" s="815" t="s">
        <v>7147</v>
      </c>
      <c r="F683" s="815" t="s">
        <v>7148</v>
      </c>
      <c r="G683" s="16" t="s">
        <v>7149</v>
      </c>
      <c r="H683" s="827" t="s">
        <v>7171</v>
      </c>
      <c r="I683" s="815"/>
      <c r="J683" s="827" t="s">
        <v>7170</v>
      </c>
      <c r="K683" s="125" t="s">
        <v>7150</v>
      </c>
      <c r="L683" s="16" t="s">
        <v>7138</v>
      </c>
      <c r="M683" s="8">
        <v>2</v>
      </c>
      <c r="N683" s="422"/>
      <c r="O683" s="438" t="s">
        <v>7179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7051</v>
      </c>
      <c r="D685" s="4" t="s">
        <v>14</v>
      </c>
      <c r="E685" s="815" t="s">
        <v>107</v>
      </c>
      <c r="F685" s="815" t="s">
        <v>7164</v>
      </c>
      <c r="G685" s="16" t="s">
        <v>7165</v>
      </c>
      <c r="H685" s="827" t="s">
        <v>7166</v>
      </c>
      <c r="I685" s="815"/>
      <c r="J685" s="815" t="s">
        <v>7167</v>
      </c>
      <c r="K685" s="125" t="s">
        <v>7168</v>
      </c>
      <c r="L685" s="16" t="s">
        <v>7169</v>
      </c>
      <c r="M685" s="8">
        <v>4</v>
      </c>
      <c r="N685" s="826"/>
      <c r="O685" s="438" t="s">
        <v>7178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7051</v>
      </c>
      <c r="D686" s="4" t="s">
        <v>14</v>
      </c>
      <c r="E686" s="815" t="s">
        <v>107</v>
      </c>
      <c r="F686" s="815" t="s">
        <v>7164</v>
      </c>
      <c r="G686" s="16" t="s">
        <v>7165</v>
      </c>
      <c r="H686" s="827" t="s">
        <v>7166</v>
      </c>
      <c r="I686" s="815"/>
      <c r="J686" s="815" t="s">
        <v>7167</v>
      </c>
      <c r="K686" s="125" t="s">
        <v>7168</v>
      </c>
      <c r="L686" s="16" t="s">
        <v>7169</v>
      </c>
      <c r="M686" s="8">
        <v>4</v>
      </c>
      <c r="N686" s="826" t="s">
        <v>7230</v>
      </c>
      <c r="O686" s="438" t="s">
        <v>7178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830"/>
      <c r="B688" s="399">
        <v>46283</v>
      </c>
      <c r="C688" s="4" t="s">
        <v>7259</v>
      </c>
      <c r="D688" s="4" t="s">
        <v>7260</v>
      </c>
      <c r="E688" s="834" t="s">
        <v>7261</v>
      </c>
      <c r="F688" s="832">
        <v>3306</v>
      </c>
      <c r="G688" s="16" t="s">
        <v>7262</v>
      </c>
      <c r="H688" s="834" t="s">
        <v>7263</v>
      </c>
      <c r="I688" s="834" t="s">
        <v>7264</v>
      </c>
      <c r="J688" s="834" t="s">
        <v>7265</v>
      </c>
      <c r="K688" s="125" t="s">
        <v>66</v>
      </c>
      <c r="L688" s="16" t="s">
        <v>7266</v>
      </c>
      <c r="M688" s="8">
        <v>4</v>
      </c>
      <c r="N688" s="833"/>
      <c r="O688" s="438"/>
      <c r="P688" s="832"/>
    </row>
    <row r="689" spans="1:16" s="17" customFormat="1" ht="33" customHeight="1" x14ac:dyDescent="0.3">
      <c r="A689" s="831"/>
      <c r="B689" s="399">
        <v>46284</v>
      </c>
      <c r="C689" s="4" t="s">
        <v>7259</v>
      </c>
      <c r="D689" s="4" t="s">
        <v>7260</v>
      </c>
      <c r="E689" s="834" t="s">
        <v>7261</v>
      </c>
      <c r="F689" s="832">
        <v>3306</v>
      </c>
      <c r="G689" s="16" t="s">
        <v>7262</v>
      </c>
      <c r="H689" s="834" t="s">
        <v>7263</v>
      </c>
      <c r="I689" s="834" t="s">
        <v>7264</v>
      </c>
      <c r="J689" s="834" t="s">
        <v>7265</v>
      </c>
      <c r="K689" s="125" t="s">
        <v>66</v>
      </c>
      <c r="L689" s="16" t="s">
        <v>7266</v>
      </c>
      <c r="M689" s="8">
        <v>4</v>
      </c>
      <c r="N689" s="832"/>
      <c r="O689" s="432"/>
      <c r="P689" s="832"/>
    </row>
    <row r="690" spans="1:16" s="17" customFormat="1" ht="33" customHeight="1" x14ac:dyDescent="0.3">
      <c r="A690" s="596"/>
      <c r="B690" s="399">
        <v>46285</v>
      </c>
      <c r="C690" s="4" t="s">
        <v>7259</v>
      </c>
      <c r="D690" s="4" t="s">
        <v>7260</v>
      </c>
      <c r="E690" s="834" t="s">
        <v>7261</v>
      </c>
      <c r="F690" s="832">
        <v>3306</v>
      </c>
      <c r="G690" s="16" t="s">
        <v>7262</v>
      </c>
      <c r="H690" s="834" t="s">
        <v>7263</v>
      </c>
      <c r="I690" s="834" t="s">
        <v>7264</v>
      </c>
      <c r="J690" s="834" t="s">
        <v>7265</v>
      </c>
      <c r="K690" s="125" t="s">
        <v>66</v>
      </c>
      <c r="L690" s="16" t="s">
        <v>7266</v>
      </c>
      <c r="M690" s="8">
        <v>4</v>
      </c>
      <c r="N690" s="31"/>
      <c r="O690" s="432"/>
      <c r="P690" s="31"/>
    </row>
    <row r="691" spans="1:16" s="17" customFormat="1" ht="33" customHeight="1" x14ac:dyDescent="0.3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 x14ac:dyDescent="0.3">
      <c r="A692" s="594" t="s">
        <v>6765</v>
      </c>
      <c r="B692" s="399">
        <v>46286</v>
      </c>
      <c r="C692" s="4" t="s">
        <v>6962</v>
      </c>
      <c r="D692" s="4" t="s">
        <v>6963</v>
      </c>
      <c r="E692" s="31" t="s">
        <v>5254</v>
      </c>
      <c r="F692" s="31" t="s">
        <v>6965</v>
      </c>
      <c r="G692" s="16" t="s">
        <v>6966</v>
      </c>
      <c r="H692" s="193" t="s">
        <v>7241</v>
      </c>
      <c r="I692" s="832" t="s">
        <v>7268</v>
      </c>
      <c r="J692" s="31"/>
      <c r="K692" s="125" t="s">
        <v>6967</v>
      </c>
      <c r="L692" s="16" t="s">
        <v>7242</v>
      </c>
      <c r="M692" s="18" t="s">
        <v>7254</v>
      </c>
      <c r="N692" s="31"/>
      <c r="O692" s="430"/>
      <c r="P692" s="31"/>
    </row>
    <row r="693" spans="1:16" s="17" customFormat="1" ht="33" customHeight="1" x14ac:dyDescent="0.3">
      <c r="A693" s="830"/>
      <c r="B693" s="399">
        <v>46286</v>
      </c>
      <c r="C693" s="4" t="s">
        <v>3650</v>
      </c>
      <c r="D693" s="4" t="s">
        <v>17</v>
      </c>
      <c r="E693" s="834" t="s">
        <v>7060</v>
      </c>
      <c r="F693" s="832" t="s">
        <v>7061</v>
      </c>
      <c r="G693" s="16" t="s">
        <v>23</v>
      </c>
      <c r="H693" s="834" t="s">
        <v>7063</v>
      </c>
      <c r="I693" s="832"/>
      <c r="J693" s="834" t="s">
        <v>487</v>
      </c>
      <c r="K693" s="125" t="s">
        <v>42</v>
      </c>
      <c r="L693" s="16" t="s">
        <v>7267</v>
      </c>
      <c r="M693" s="8">
        <v>2</v>
      </c>
      <c r="N693" s="832"/>
      <c r="O693" s="437" t="s">
        <v>7271</v>
      </c>
      <c r="P693" s="832"/>
    </row>
    <row r="694" spans="1:16" s="17" customFormat="1" ht="33" customHeight="1" x14ac:dyDescent="0.3">
      <c r="A694" s="830"/>
      <c r="B694" s="399">
        <v>46286</v>
      </c>
      <c r="C694" s="4" t="s">
        <v>6707</v>
      </c>
      <c r="D694" s="4" t="s">
        <v>25</v>
      </c>
      <c r="E694" s="832" t="s">
        <v>6709</v>
      </c>
      <c r="F694" s="832">
        <v>7065</v>
      </c>
      <c r="G694" s="16" t="s">
        <v>145</v>
      </c>
      <c r="H694" s="834" t="s">
        <v>6706</v>
      </c>
      <c r="I694" s="832" t="s">
        <v>7268</v>
      </c>
      <c r="J694" s="834"/>
      <c r="K694" s="277" t="s">
        <v>7256</v>
      </c>
      <c r="L694" s="16">
        <v>9080</v>
      </c>
      <c r="M694" s="8">
        <v>2</v>
      </c>
      <c r="N694" s="832"/>
      <c r="O694" s="430"/>
      <c r="P694" s="832"/>
    </row>
    <row r="695" spans="1:16" s="17" customFormat="1" ht="33" customHeight="1" x14ac:dyDescent="0.3">
      <c r="A695" s="830"/>
      <c r="B695" s="399">
        <v>46286</v>
      </c>
      <c r="C695" s="4" t="s">
        <v>7259</v>
      </c>
      <c r="D695" s="4" t="s">
        <v>7260</v>
      </c>
      <c r="E695" s="834" t="s">
        <v>7261</v>
      </c>
      <c r="F695" s="832">
        <v>3306</v>
      </c>
      <c r="G695" s="16" t="s">
        <v>7262</v>
      </c>
      <c r="H695" s="834" t="s">
        <v>7263</v>
      </c>
      <c r="I695" s="834" t="s">
        <v>7264</v>
      </c>
      <c r="J695" s="834" t="s">
        <v>7265</v>
      </c>
      <c r="K695" s="125" t="s">
        <v>66</v>
      </c>
      <c r="L695" s="16" t="s">
        <v>7266</v>
      </c>
      <c r="M695" s="8">
        <v>4</v>
      </c>
      <c r="N695" s="832"/>
      <c r="O695" s="430"/>
      <c r="P695" s="832"/>
    </row>
    <row r="696" spans="1:16" s="17" customFormat="1" ht="33" customHeight="1" x14ac:dyDescent="0.3">
      <c r="A696" s="799"/>
      <c r="B696" s="399">
        <v>46286</v>
      </c>
      <c r="C696" s="4" t="s">
        <v>64</v>
      </c>
      <c r="D696" s="4" t="s">
        <v>14</v>
      </c>
      <c r="E696" s="832" t="s">
        <v>107</v>
      </c>
      <c r="F696" s="832" t="s">
        <v>2959</v>
      </c>
      <c r="G696" s="16" t="s">
        <v>67</v>
      </c>
      <c r="H696" s="806" t="s">
        <v>7243</v>
      </c>
      <c r="I696" s="803"/>
      <c r="J696" s="834" t="s">
        <v>7270</v>
      </c>
      <c r="K696" s="125" t="s">
        <v>66</v>
      </c>
      <c r="L696" s="16" t="s">
        <v>7244</v>
      </c>
      <c r="M696" s="8">
        <v>3</v>
      </c>
      <c r="N696" s="803"/>
      <c r="O696" s="431"/>
      <c r="P696" s="803"/>
    </row>
    <row r="697" spans="1:16" s="17" customFormat="1" ht="33" customHeight="1" x14ac:dyDescent="0.3">
      <c r="A697" s="830"/>
      <c r="B697" s="399">
        <v>46287</v>
      </c>
      <c r="C697" s="4" t="s">
        <v>64</v>
      </c>
      <c r="D697" s="4" t="s">
        <v>14</v>
      </c>
      <c r="E697" s="832" t="s">
        <v>107</v>
      </c>
      <c r="F697" s="832" t="s">
        <v>2959</v>
      </c>
      <c r="G697" s="16" t="s">
        <v>67</v>
      </c>
      <c r="H697" s="834" t="s">
        <v>7243</v>
      </c>
      <c r="I697" s="832"/>
      <c r="J697" s="834" t="s">
        <v>7270</v>
      </c>
      <c r="K697" s="125" t="s">
        <v>66</v>
      </c>
      <c r="L697" s="16" t="s">
        <v>7244</v>
      </c>
      <c r="M697" s="8">
        <v>3</v>
      </c>
      <c r="N697" s="832"/>
      <c r="O697" s="431"/>
      <c r="P697" s="832"/>
    </row>
    <row r="698" spans="1:16" s="17" customFormat="1" ht="33" customHeight="1" x14ac:dyDescent="0.3">
      <c r="A698" s="830"/>
      <c r="B698" s="399">
        <v>46287</v>
      </c>
      <c r="C698" s="4" t="s">
        <v>6707</v>
      </c>
      <c r="D698" s="4" t="s">
        <v>25</v>
      </c>
      <c r="E698" s="832" t="s">
        <v>6709</v>
      </c>
      <c r="F698" s="832">
        <v>7065</v>
      </c>
      <c r="G698" s="16" t="s">
        <v>145</v>
      </c>
      <c r="H698" s="834" t="s">
        <v>6706</v>
      </c>
      <c r="I698" s="832" t="s">
        <v>7255</v>
      </c>
      <c r="J698" s="834"/>
      <c r="K698" s="277" t="s">
        <v>7256</v>
      </c>
      <c r="L698" s="16">
        <v>9080</v>
      </c>
      <c r="M698" s="18" t="s">
        <v>7269</v>
      </c>
      <c r="N698" s="832"/>
      <c r="O698" s="431"/>
      <c r="P698" s="832"/>
    </row>
    <row r="699" spans="1:16" s="17" customFormat="1" ht="33" customHeight="1" x14ac:dyDescent="0.3">
      <c r="A699" s="830"/>
      <c r="B699" s="399">
        <v>46287</v>
      </c>
      <c r="C699" s="4" t="s">
        <v>7259</v>
      </c>
      <c r="D699" s="4" t="s">
        <v>7260</v>
      </c>
      <c r="E699" s="834" t="s">
        <v>7261</v>
      </c>
      <c r="F699" s="832">
        <v>3306</v>
      </c>
      <c r="G699" s="16" t="s">
        <v>7262</v>
      </c>
      <c r="H699" s="834" t="s">
        <v>7263</v>
      </c>
      <c r="I699" s="834" t="s">
        <v>7264</v>
      </c>
      <c r="J699" s="834" t="s">
        <v>7265</v>
      </c>
      <c r="K699" s="125" t="s">
        <v>66</v>
      </c>
      <c r="L699" s="16" t="s">
        <v>7266</v>
      </c>
      <c r="M699" s="8">
        <v>4</v>
      </c>
      <c r="N699" s="832"/>
      <c r="O699" s="431"/>
      <c r="P699" s="832"/>
    </row>
    <row r="700" spans="1:16" s="17" customFormat="1" ht="33" customHeight="1" x14ac:dyDescent="0.3">
      <c r="A700" s="812"/>
      <c r="B700" s="399">
        <v>46287</v>
      </c>
      <c r="C700" s="4" t="s">
        <v>21</v>
      </c>
      <c r="D700" s="4" t="s">
        <v>14</v>
      </c>
      <c r="E700" s="815" t="s">
        <v>7225</v>
      </c>
      <c r="F700" s="815" t="s">
        <v>7226</v>
      </c>
      <c r="G700" s="16" t="s">
        <v>7227</v>
      </c>
      <c r="H700" s="827" t="s">
        <v>7231</v>
      </c>
      <c r="I700" s="815" t="s">
        <v>7228</v>
      </c>
      <c r="J700" s="827"/>
      <c r="K700" s="125" t="s">
        <v>7229</v>
      </c>
      <c r="L700" s="16" t="s">
        <v>4550</v>
      </c>
      <c r="M700" s="8">
        <v>1</v>
      </c>
      <c r="N700" s="815"/>
      <c r="O700" s="431"/>
      <c r="P700" s="815"/>
    </row>
    <row r="701" spans="1:16" s="17" customFormat="1" ht="33" customHeight="1" x14ac:dyDescent="0.3">
      <c r="A701" s="830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4" t="s">
        <v>7236</v>
      </c>
      <c r="I701" s="832" t="s">
        <v>7237</v>
      </c>
      <c r="J701" s="834" t="s">
        <v>7238</v>
      </c>
      <c r="K701" s="125" t="s">
        <v>7239</v>
      </c>
      <c r="L701" s="16" t="s">
        <v>7240</v>
      </c>
      <c r="M701" s="8">
        <v>3</v>
      </c>
      <c r="N701" s="832"/>
      <c r="O701" s="431"/>
      <c r="P701" s="832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32" t="s">
        <v>6709</v>
      </c>
      <c r="F702" s="832">
        <v>7065</v>
      </c>
      <c r="G702" s="16" t="s">
        <v>145</v>
      </c>
      <c r="H702" s="834" t="s">
        <v>6706</v>
      </c>
      <c r="I702" s="832" t="s">
        <v>7257</v>
      </c>
      <c r="J702" s="834"/>
      <c r="K702" s="277" t="s">
        <v>7256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830"/>
      <c r="B703" s="399">
        <v>46288</v>
      </c>
      <c r="C703" s="4" t="s">
        <v>64</v>
      </c>
      <c r="D703" s="4" t="s">
        <v>14</v>
      </c>
      <c r="E703" s="832" t="s">
        <v>107</v>
      </c>
      <c r="F703" s="832" t="s">
        <v>2959</v>
      </c>
      <c r="G703" s="16" t="s">
        <v>67</v>
      </c>
      <c r="H703" s="834" t="s">
        <v>7243</v>
      </c>
      <c r="I703" s="832"/>
      <c r="J703" s="834" t="s">
        <v>7270</v>
      </c>
      <c r="K703" s="125" t="s">
        <v>66</v>
      </c>
      <c r="L703" s="16" t="s">
        <v>7244</v>
      </c>
      <c r="M703" s="8">
        <v>3</v>
      </c>
      <c r="N703" s="833"/>
      <c r="O703" s="430"/>
      <c r="P703" s="832"/>
    </row>
    <row r="704" spans="1:16" s="17" customFormat="1" ht="33" customHeight="1" x14ac:dyDescent="0.3">
      <c r="A704" s="595"/>
      <c r="B704" s="399">
        <v>46289</v>
      </c>
      <c r="C704" s="4"/>
      <c r="D704" s="4"/>
      <c r="E704" s="31"/>
      <c r="F704" s="31"/>
      <c r="G704" s="16"/>
      <c r="H704" s="834" t="s">
        <v>7151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5"/>
      <c r="B705" s="399">
        <v>46290</v>
      </c>
      <c r="C705" s="4"/>
      <c r="D705" s="4"/>
      <c r="E705" s="31"/>
      <c r="F705" s="31"/>
      <c r="G705" s="16"/>
      <c r="H705" s="193" t="s">
        <v>7151</v>
      </c>
      <c r="I705" s="31"/>
      <c r="J705" s="193"/>
      <c r="K705" s="125"/>
      <c r="L705" s="16"/>
      <c r="M705" s="8"/>
      <c r="N705" s="422"/>
      <c r="O705" s="430"/>
      <c r="P705" s="31"/>
    </row>
    <row r="706" spans="1:16" s="17" customFormat="1" ht="33" customHeight="1" x14ac:dyDescent="0.3">
      <c r="A706" s="596"/>
      <c r="B706" s="399">
        <v>46291</v>
      </c>
      <c r="C706" s="4"/>
      <c r="D706" s="4"/>
      <c r="E706" s="291"/>
      <c r="F706" s="31"/>
      <c r="G706" s="16"/>
      <c r="H706" s="193" t="s">
        <v>7152</v>
      </c>
      <c r="I706" s="31"/>
      <c r="J706" s="31"/>
      <c r="K706" s="125"/>
      <c r="L706" s="16"/>
      <c r="M706" s="8"/>
      <c r="N706" s="31"/>
      <c r="O706" s="432"/>
      <c r="P706" s="31"/>
    </row>
    <row r="707" spans="1:16" s="17" customFormat="1" ht="33" customHeight="1" x14ac:dyDescent="0.3">
      <c r="A707" s="322" t="s">
        <v>0</v>
      </c>
      <c r="B707" s="323" t="s">
        <v>1</v>
      </c>
      <c r="C707" s="322" t="s">
        <v>2</v>
      </c>
      <c r="D707" s="322" t="s">
        <v>3</v>
      </c>
      <c r="E707" s="322" t="s">
        <v>4</v>
      </c>
      <c r="F707" s="322" t="s">
        <v>5</v>
      </c>
      <c r="G707" s="322" t="s">
        <v>6</v>
      </c>
      <c r="H707" s="324" t="s">
        <v>7</v>
      </c>
      <c r="I707" s="322" t="s">
        <v>8</v>
      </c>
      <c r="J707" s="322" t="s">
        <v>9</v>
      </c>
      <c r="K707" s="325" t="s">
        <v>10</v>
      </c>
      <c r="L707" s="326" t="s">
        <v>11</v>
      </c>
      <c r="M707" s="322" t="s">
        <v>12</v>
      </c>
      <c r="N707" s="327" t="s">
        <v>13</v>
      </c>
      <c r="O707" s="427" t="s">
        <v>63</v>
      </c>
      <c r="P707" s="322" t="s">
        <v>123</v>
      </c>
    </row>
    <row r="708" spans="1:16" s="17" customFormat="1" ht="33" customHeight="1" x14ac:dyDescent="0.3">
      <c r="A708" s="594"/>
      <c r="B708" s="399">
        <v>46293</v>
      </c>
      <c r="C708" s="4" t="s">
        <v>21</v>
      </c>
      <c r="D708" s="4" t="s">
        <v>14</v>
      </c>
      <c r="E708" s="815" t="s">
        <v>107</v>
      </c>
      <c r="F708" s="827" t="s">
        <v>6745</v>
      </c>
      <c r="G708" s="16" t="s">
        <v>7112</v>
      </c>
      <c r="H708" s="827" t="s">
        <v>4109</v>
      </c>
      <c r="I708" s="815"/>
      <c r="J708" s="815" t="s">
        <v>6987</v>
      </c>
      <c r="K708" s="125" t="s">
        <v>15</v>
      </c>
      <c r="L708" s="16" t="s">
        <v>4550</v>
      </c>
      <c r="M708" s="8">
        <v>1</v>
      </c>
      <c r="N708" s="31"/>
      <c r="O708" s="431" t="s">
        <v>7029</v>
      </c>
      <c r="P708" s="31"/>
    </row>
    <row r="709" spans="1:16" s="17" customFormat="1" ht="33" customHeight="1" x14ac:dyDescent="0.3">
      <c r="A709" s="830"/>
      <c r="B709" s="399">
        <v>46293</v>
      </c>
      <c r="C709" s="4" t="s">
        <v>6707</v>
      </c>
      <c r="D709" s="4" t="s">
        <v>25</v>
      </c>
      <c r="E709" s="832" t="s">
        <v>6709</v>
      </c>
      <c r="F709" s="832">
        <v>7065</v>
      </c>
      <c r="G709" s="16" t="s">
        <v>145</v>
      </c>
      <c r="H709" s="834" t="s">
        <v>6706</v>
      </c>
      <c r="I709" s="832" t="s">
        <v>7255</v>
      </c>
      <c r="J709" s="834"/>
      <c r="K709" s="277" t="s">
        <v>7256</v>
      </c>
      <c r="L709" s="16">
        <v>9080</v>
      </c>
      <c r="M709" s="18" t="s">
        <v>7269</v>
      </c>
      <c r="N709" s="832"/>
      <c r="O709" s="431"/>
      <c r="P709" s="832"/>
    </row>
    <row r="710" spans="1:16" s="17" customFormat="1" ht="33" customHeight="1" x14ac:dyDescent="0.3">
      <c r="A710" s="595"/>
      <c r="B710" s="399">
        <v>46294</v>
      </c>
      <c r="C710" s="4" t="s">
        <v>64</v>
      </c>
      <c r="D710" s="4" t="s">
        <v>7245</v>
      </c>
      <c r="E710" s="291" t="s">
        <v>7246</v>
      </c>
      <c r="F710" s="31" t="s">
        <v>7247</v>
      </c>
      <c r="G710" s="16" t="s">
        <v>7248</v>
      </c>
      <c r="H710" s="193" t="s">
        <v>7252</v>
      </c>
      <c r="I710" s="31" t="s">
        <v>7249</v>
      </c>
      <c r="J710" s="31"/>
      <c r="K710" s="125" t="s">
        <v>7239</v>
      </c>
      <c r="L710" s="16" t="s">
        <v>7253</v>
      </c>
      <c r="M710" s="8">
        <v>2</v>
      </c>
      <c r="N710" s="31"/>
      <c r="O710" s="430" t="s">
        <v>6766</v>
      </c>
      <c r="P710" s="31"/>
    </row>
    <row r="711" spans="1:16" s="17" customFormat="1" ht="33" customHeight="1" x14ac:dyDescent="0.3">
      <c r="A711" s="830"/>
      <c r="B711" s="399">
        <v>46294</v>
      </c>
      <c r="C711" s="4" t="s">
        <v>64</v>
      </c>
      <c r="D711" s="4" t="s">
        <v>7245</v>
      </c>
      <c r="E711" s="291" t="s">
        <v>7246</v>
      </c>
      <c r="F711" s="832" t="s">
        <v>7247</v>
      </c>
      <c r="G711" s="16" t="s">
        <v>7250</v>
      </c>
      <c r="H711" s="834" t="s">
        <v>7251</v>
      </c>
      <c r="I711" s="832" t="s">
        <v>7249</v>
      </c>
      <c r="J711" s="832"/>
      <c r="K711" s="125" t="s">
        <v>7239</v>
      </c>
      <c r="L711" s="16" t="s">
        <v>7253</v>
      </c>
      <c r="M711" s="8">
        <v>2</v>
      </c>
      <c r="N711" s="832"/>
      <c r="O711" s="431"/>
      <c r="P711" s="832"/>
    </row>
    <row r="712" spans="1:16" s="17" customFormat="1" ht="33" customHeight="1" x14ac:dyDescent="0.3">
      <c r="A712" s="830"/>
      <c r="B712" s="399">
        <v>46294</v>
      </c>
      <c r="C712" s="4" t="s">
        <v>6707</v>
      </c>
      <c r="D712" s="4" t="s">
        <v>25</v>
      </c>
      <c r="E712" s="832" t="s">
        <v>6709</v>
      </c>
      <c r="F712" s="832">
        <v>7065</v>
      </c>
      <c r="G712" s="16" t="s">
        <v>145</v>
      </c>
      <c r="H712" s="834" t="s">
        <v>6706</v>
      </c>
      <c r="I712" s="832" t="s">
        <v>7255</v>
      </c>
      <c r="J712" s="834"/>
      <c r="K712" s="277" t="s">
        <v>7256</v>
      </c>
      <c r="L712" s="16">
        <v>9080</v>
      </c>
      <c r="M712" s="18" t="s">
        <v>7269</v>
      </c>
      <c r="N712" s="832"/>
      <c r="O712" s="431"/>
      <c r="P712" s="832"/>
    </row>
    <row r="713" spans="1:16" s="17" customFormat="1" ht="33" customHeight="1" x14ac:dyDescent="0.3">
      <c r="A713" s="595"/>
      <c r="B713" s="399">
        <v>46295</v>
      </c>
      <c r="C713" s="4" t="s">
        <v>21</v>
      </c>
      <c r="D713" s="4" t="s">
        <v>14</v>
      </c>
      <c r="E713" s="832" t="s">
        <v>1787</v>
      </c>
      <c r="F713" s="832" t="s">
        <v>2978</v>
      </c>
      <c r="G713" s="16" t="s">
        <v>23</v>
      </c>
      <c r="H713" s="834" t="s">
        <v>7258</v>
      </c>
      <c r="I713" s="832"/>
      <c r="J713" s="832"/>
      <c r="K713" s="125"/>
      <c r="L713" s="16"/>
      <c r="M713" s="8"/>
      <c r="N713" s="422"/>
      <c r="O713" s="430"/>
      <c r="P713" s="31"/>
    </row>
    <row r="714" spans="1:16" s="17" customFormat="1" ht="33" customHeight="1" x14ac:dyDescent="0.3">
      <c r="A714" s="830"/>
      <c r="B714" s="399">
        <v>46295</v>
      </c>
      <c r="C714" s="4" t="s">
        <v>6707</v>
      </c>
      <c r="D714" s="4" t="s">
        <v>25</v>
      </c>
      <c r="E714" s="832" t="s">
        <v>6709</v>
      </c>
      <c r="F714" s="832">
        <v>7065</v>
      </c>
      <c r="G714" s="16" t="s">
        <v>145</v>
      </c>
      <c r="H714" s="834" t="s">
        <v>6706</v>
      </c>
      <c r="I714" s="832" t="s">
        <v>7255</v>
      </c>
      <c r="J714" s="834"/>
      <c r="K714" s="277" t="s">
        <v>7256</v>
      </c>
      <c r="L714" s="16">
        <v>9080</v>
      </c>
      <c r="M714" s="18" t="s">
        <v>7269</v>
      </c>
      <c r="N714" s="833"/>
      <c r="O714" s="430"/>
      <c r="P714" s="832"/>
    </row>
    <row r="715" spans="1:16" s="17" customFormat="1" ht="33" customHeight="1" x14ac:dyDescent="0.3">
      <c r="A715" s="595"/>
      <c r="B715" s="399">
        <v>46296</v>
      </c>
      <c r="C715" s="4"/>
      <c r="D715" s="4"/>
      <c r="E715" s="31"/>
      <c r="F715" s="31"/>
      <c r="G715" s="16"/>
      <c r="H715" s="193"/>
      <c r="I715" s="31"/>
      <c r="J715" s="193"/>
      <c r="K715" s="125"/>
      <c r="L715" s="16"/>
      <c r="M715" s="8"/>
      <c r="N715" s="422"/>
      <c r="O715" s="430"/>
      <c r="P715" s="31"/>
    </row>
    <row r="716" spans="1:16" s="17" customFormat="1" ht="33" customHeight="1" x14ac:dyDescent="0.3">
      <c r="A716" s="830"/>
      <c r="B716" s="399">
        <v>46296</v>
      </c>
      <c r="C716" s="4" t="s">
        <v>6707</v>
      </c>
      <c r="D716" s="4" t="s">
        <v>25</v>
      </c>
      <c r="E716" s="832" t="s">
        <v>6709</v>
      </c>
      <c r="F716" s="832">
        <v>7065</v>
      </c>
      <c r="G716" s="16" t="s">
        <v>145</v>
      </c>
      <c r="H716" s="834" t="s">
        <v>6706</v>
      </c>
      <c r="I716" s="832" t="s">
        <v>7255</v>
      </c>
      <c r="J716" s="834"/>
      <c r="K716" s="277" t="s">
        <v>7256</v>
      </c>
      <c r="L716" s="16">
        <v>9080</v>
      </c>
      <c r="M716" s="18" t="s">
        <v>7269</v>
      </c>
      <c r="N716" s="833"/>
      <c r="O716" s="430"/>
      <c r="P716" s="832"/>
    </row>
    <row r="717" spans="1:16" s="17" customFormat="1" ht="33" customHeight="1" x14ac:dyDescent="0.3">
      <c r="A717" s="595"/>
      <c r="B717" s="399">
        <v>46297</v>
      </c>
      <c r="C717" s="4"/>
      <c r="D717" s="4"/>
      <c r="E717" s="815"/>
      <c r="F717" s="827"/>
      <c r="G717" s="16"/>
      <c r="H717" s="827"/>
      <c r="I717" s="815"/>
      <c r="J717" s="815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830"/>
      <c r="B718" s="399">
        <v>46297</v>
      </c>
      <c r="C718" s="4" t="s">
        <v>6707</v>
      </c>
      <c r="D718" s="4" t="s">
        <v>25</v>
      </c>
      <c r="E718" s="832" t="s">
        <v>6709</v>
      </c>
      <c r="F718" s="832">
        <v>7065</v>
      </c>
      <c r="G718" s="16" t="s">
        <v>145</v>
      </c>
      <c r="H718" s="834" t="s">
        <v>6706</v>
      </c>
      <c r="I718" s="832" t="s">
        <v>7255</v>
      </c>
      <c r="J718" s="834"/>
      <c r="K718" s="277" t="s">
        <v>7256</v>
      </c>
      <c r="L718" s="16">
        <v>9080</v>
      </c>
      <c r="M718" s="18" t="s">
        <v>7269</v>
      </c>
      <c r="N718" s="833"/>
      <c r="O718" s="430"/>
      <c r="P718" s="832"/>
    </row>
    <row r="719" spans="1:16" s="17" customFormat="1" ht="33" customHeight="1" x14ac:dyDescent="0.3">
      <c r="A719" s="596"/>
      <c r="B719" s="399">
        <v>46298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594"/>
      <c r="B721" s="399">
        <v>46300</v>
      </c>
      <c r="C721" s="4"/>
      <c r="D721" s="4"/>
      <c r="E721" s="31"/>
      <c r="F721" s="31"/>
      <c r="G721" s="16"/>
      <c r="H721" s="193"/>
      <c r="I721" s="31"/>
      <c r="J721" s="31"/>
      <c r="K721" s="125"/>
      <c r="L721" s="16"/>
      <c r="M721" s="8"/>
      <c r="N721" s="31"/>
      <c r="O721" s="431"/>
      <c r="P721" s="31"/>
    </row>
    <row r="722" spans="1:16" s="17" customFormat="1" ht="33" customHeight="1" x14ac:dyDescent="0.3">
      <c r="A722" s="595"/>
      <c r="B722" s="399">
        <v>46301</v>
      </c>
      <c r="C722" s="4"/>
      <c r="D722" s="4"/>
      <c r="E722" s="291"/>
      <c r="F722" s="31"/>
      <c r="G722" s="16"/>
      <c r="H722" s="193"/>
      <c r="I722" s="31"/>
      <c r="J722" s="31"/>
      <c r="K722" s="125"/>
      <c r="L722" s="16"/>
      <c r="M722" s="8"/>
      <c r="N722" s="31"/>
      <c r="O722" s="431"/>
      <c r="P722" s="31"/>
    </row>
    <row r="723" spans="1:16" s="17" customFormat="1" ht="33" customHeight="1" x14ac:dyDescent="0.3">
      <c r="A723" s="595"/>
      <c r="B723" s="399">
        <v>46302</v>
      </c>
      <c r="C723" s="4" t="s">
        <v>21</v>
      </c>
      <c r="D723" s="4" t="s">
        <v>14</v>
      </c>
      <c r="E723" s="832" t="s">
        <v>107</v>
      </c>
      <c r="F723" s="834" t="s">
        <v>6745</v>
      </c>
      <c r="G723" s="16" t="s">
        <v>67</v>
      </c>
      <c r="H723" s="834" t="s">
        <v>213</v>
      </c>
      <c r="I723" s="832"/>
      <c r="J723" s="832" t="s">
        <v>255</v>
      </c>
      <c r="K723" s="125" t="s">
        <v>15</v>
      </c>
      <c r="L723" s="16" t="s">
        <v>4550</v>
      </c>
      <c r="M723" s="8">
        <v>1</v>
      </c>
      <c r="N723" s="422"/>
      <c r="O723" s="430"/>
      <c r="P723" s="31"/>
    </row>
    <row r="724" spans="1:16" s="17" customFormat="1" ht="33" customHeight="1" x14ac:dyDescent="0.3">
      <c r="A724" s="595"/>
      <c r="B724" s="399">
        <v>46303</v>
      </c>
      <c r="C724" s="4"/>
      <c r="D724" s="4"/>
      <c r="E724" s="31"/>
      <c r="F724" s="31"/>
      <c r="G724" s="16"/>
      <c r="H724" s="193"/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5"/>
      <c r="B725" s="399">
        <v>46304</v>
      </c>
      <c r="C725" s="4" t="s">
        <v>7051</v>
      </c>
      <c r="D725" s="4" t="s">
        <v>14</v>
      </c>
      <c r="E725" s="815" t="s">
        <v>3728</v>
      </c>
      <c r="F725" s="815">
        <v>7062</v>
      </c>
      <c r="G725" s="16" t="s">
        <v>5265</v>
      </c>
      <c r="H725" s="827" t="s">
        <v>1314</v>
      </c>
      <c r="I725" s="31"/>
      <c r="J725" s="193"/>
      <c r="K725" s="125"/>
      <c r="L725" s="16"/>
      <c r="M725" s="8"/>
      <c r="N725" s="422"/>
      <c r="O725" s="430"/>
      <c r="P725" s="31"/>
    </row>
    <row r="726" spans="1:16" s="17" customFormat="1" ht="33" customHeight="1" x14ac:dyDescent="0.3">
      <c r="A726" s="596"/>
      <c r="B726" s="399">
        <v>46305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2"/>
      <c r="P726" s="31"/>
    </row>
    <row r="727" spans="1:16" s="17" customFormat="1" ht="33" customHeight="1" x14ac:dyDescent="0.3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 x14ac:dyDescent="0.3">
      <c r="A728" s="594"/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 x14ac:dyDescent="0.3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 x14ac:dyDescent="0.3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5"/>
      <c r="B731" s="399">
        <v>46310</v>
      </c>
      <c r="C731" s="4"/>
      <c r="D731" s="4"/>
      <c r="E731" s="31"/>
      <c r="F731" s="31"/>
      <c r="G731" s="16"/>
      <c r="H731" s="193"/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595"/>
      <c r="B732" s="399">
        <v>46311</v>
      </c>
      <c r="C732" s="4"/>
      <c r="D732" s="4"/>
      <c r="E732" s="31"/>
      <c r="F732" s="31"/>
      <c r="G732" s="16"/>
      <c r="H732" s="193"/>
      <c r="I732" s="31"/>
      <c r="J732" s="193"/>
      <c r="K732" s="125"/>
      <c r="L732" s="16"/>
      <c r="M732" s="8"/>
      <c r="N732" s="422"/>
      <c r="O732" s="430"/>
      <c r="P732" s="31"/>
    </row>
    <row r="733" spans="1:16" s="17" customFormat="1" ht="33" customHeight="1" x14ac:dyDescent="0.3">
      <c r="A733" s="596"/>
      <c r="B733" s="369">
        <v>46312</v>
      </c>
      <c r="C733" s="4"/>
      <c r="D733" s="4"/>
      <c r="E733" s="291"/>
      <c r="F733" s="31"/>
      <c r="G733" s="16"/>
      <c r="H733" s="193"/>
      <c r="I733" s="31"/>
      <c r="J733" s="31"/>
      <c r="K733" s="125"/>
      <c r="L733" s="16"/>
      <c r="M733" s="8"/>
      <c r="N733" s="31"/>
      <c r="O733" s="432"/>
      <c r="P733" s="31"/>
    </row>
    <row r="734" spans="1:16" s="17" customFormat="1" ht="33" customHeight="1" x14ac:dyDescent="0.3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 x14ac:dyDescent="0.3">
      <c r="A735" s="798"/>
      <c r="B735" s="399">
        <v>46314</v>
      </c>
      <c r="C735" s="4"/>
      <c r="D735" s="4"/>
      <c r="E735" s="803"/>
      <c r="F735" s="803"/>
      <c r="G735" s="16"/>
      <c r="H735" s="806"/>
      <c r="I735" s="803"/>
      <c r="J735" s="803"/>
      <c r="K735" s="125"/>
      <c r="L735" s="16"/>
      <c r="M735" s="8"/>
      <c r="N735" s="803"/>
      <c r="O735" s="431"/>
      <c r="P735" s="803"/>
    </row>
    <row r="736" spans="1:16" s="17" customFormat="1" ht="33" customHeight="1" x14ac:dyDescent="0.3">
      <c r="A736" s="799"/>
      <c r="B736" s="399">
        <v>46315</v>
      </c>
      <c r="C736" s="4"/>
      <c r="D736" s="4"/>
      <c r="E736" s="291"/>
      <c r="F736" s="803"/>
      <c r="G736" s="16"/>
      <c r="H736" s="806"/>
      <c r="I736" s="803"/>
      <c r="J736" s="803"/>
      <c r="K736" s="125"/>
      <c r="L736" s="16"/>
      <c r="M736" s="8"/>
      <c r="N736" s="803"/>
      <c r="O736" s="431"/>
      <c r="P736" s="803"/>
    </row>
    <row r="737" spans="1:16" s="17" customFormat="1" ht="33" customHeight="1" x14ac:dyDescent="0.3">
      <c r="A737" s="799"/>
      <c r="B737" s="399">
        <v>46316</v>
      </c>
      <c r="C737" s="4"/>
      <c r="D737" s="4"/>
      <c r="E737" s="803"/>
      <c r="F737" s="803"/>
      <c r="G737" s="16"/>
      <c r="H737" s="806"/>
      <c r="I737" s="803"/>
      <c r="J737" s="806"/>
      <c r="K737" s="125"/>
      <c r="L737" s="16"/>
      <c r="M737" s="8"/>
      <c r="N737" s="805"/>
      <c r="O737" s="430"/>
      <c r="P737" s="803"/>
    </row>
    <row r="738" spans="1:16" s="17" customFormat="1" ht="33" customHeight="1" x14ac:dyDescent="0.3">
      <c r="A738" s="799"/>
      <c r="B738" s="399">
        <v>46317</v>
      </c>
      <c r="C738" s="4"/>
      <c r="D738" s="4"/>
      <c r="E738" s="803"/>
      <c r="F738" s="803"/>
      <c r="G738" s="16"/>
      <c r="H738" s="806"/>
      <c r="I738" s="803"/>
      <c r="J738" s="806"/>
      <c r="K738" s="125"/>
      <c r="L738" s="16"/>
      <c r="M738" s="8"/>
      <c r="N738" s="805"/>
      <c r="O738" s="430"/>
      <c r="P738" s="803"/>
    </row>
    <row r="739" spans="1:16" s="17" customFormat="1" ht="33" customHeight="1" x14ac:dyDescent="0.3">
      <c r="A739" s="799"/>
      <c r="B739" s="399">
        <v>46318</v>
      </c>
      <c r="C739" s="4"/>
      <c r="D739" s="4"/>
      <c r="E739" s="803"/>
      <c r="F739" s="803"/>
      <c r="G739" s="16"/>
      <c r="H739" s="806"/>
      <c r="I739" s="803"/>
      <c r="J739" s="806"/>
      <c r="K739" s="125"/>
      <c r="L739" s="16"/>
      <c r="M739" s="8"/>
      <c r="N739" s="805"/>
      <c r="O739" s="430"/>
      <c r="P739" s="803"/>
    </row>
    <row r="740" spans="1:16" s="17" customFormat="1" ht="33" customHeight="1" x14ac:dyDescent="0.3">
      <c r="A740" s="800"/>
      <c r="B740" s="369">
        <v>46319</v>
      </c>
      <c r="C740" s="4"/>
      <c r="D740" s="4"/>
      <c r="E740" s="291"/>
      <c r="F740" s="803"/>
      <c r="G740" s="16"/>
      <c r="H740" s="806"/>
      <c r="I740" s="803"/>
      <c r="J740" s="803"/>
      <c r="K740" s="125"/>
      <c r="L740" s="16"/>
      <c r="M740" s="8"/>
      <c r="N740" s="803"/>
      <c r="O740" s="432"/>
      <c r="P740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 x14ac:dyDescent="0.3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 x14ac:dyDescent="0.3">
      <c r="A3" s="55">
        <v>1</v>
      </c>
      <c r="B3" s="9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5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5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5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5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5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5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5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8"/>
    </row>
    <row r="24" spans="1:17" ht="27" x14ac:dyDescent="0.3">
      <c r="A24" s="55">
        <v>4</v>
      </c>
      <c r="B24" s="974" t="s">
        <v>21</v>
      </c>
      <c r="C24" s="98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2" t="s">
        <v>85</v>
      </c>
      <c r="K24" s="977" t="s">
        <v>41</v>
      </c>
      <c r="L24" s="6" t="s">
        <v>15</v>
      </c>
      <c r="M24" s="1004">
        <v>180000</v>
      </c>
      <c r="N24" s="45" t="s">
        <v>194</v>
      </c>
    </row>
    <row r="25" spans="1:17" ht="27" x14ac:dyDescent="0.3">
      <c r="A25" s="55">
        <v>4</v>
      </c>
      <c r="B25" s="975"/>
      <c r="C25" s="98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3"/>
      <c r="K25" s="978"/>
      <c r="L25" s="6" t="s">
        <v>15</v>
      </c>
      <c r="M25" s="1005"/>
      <c r="N25" s="45" t="s">
        <v>194</v>
      </c>
    </row>
    <row r="26" spans="1:17" x14ac:dyDescent="0.3">
      <c r="A26" s="55">
        <v>4</v>
      </c>
      <c r="B26" s="975"/>
      <c r="C26" s="98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6"/>
      <c r="C27" s="98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5"/>
      <c r="C32" s="98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5"/>
      <c r="C33" s="98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4" t="s">
        <v>20</v>
      </c>
      <c r="C35" s="98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6"/>
      <c r="C36" s="98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4" t="s">
        <v>20</v>
      </c>
      <c r="C37" s="98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6"/>
      <c r="C38" s="98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1"/>
      <c r="C40" s="98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1"/>
      <c r="C41" s="98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9"/>
      <c r="C46" s="100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4" t="s">
        <v>64</v>
      </c>
      <c r="C67" s="98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1004">
        <v>750000</v>
      </c>
      <c r="N67" s="45" t="s">
        <v>446</v>
      </c>
    </row>
    <row r="68" spans="1:15" ht="27" x14ac:dyDescent="0.3">
      <c r="A68" s="55">
        <v>19</v>
      </c>
      <c r="B68" s="975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1005"/>
      <c r="N68" s="45" t="s">
        <v>445</v>
      </c>
    </row>
    <row r="69" spans="1:15" x14ac:dyDescent="0.3">
      <c r="A69" s="55">
        <v>19</v>
      </c>
      <c r="B69" s="975"/>
      <c r="C69" s="98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5"/>
      <c r="C83" s="9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5"/>
      <c r="C84" s="98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5"/>
      <c r="C85" s="98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5"/>
      <c r="C86" s="98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5"/>
      <c r="C93" s="98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5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5"/>
      <c r="C95" s="98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4" t="s">
        <v>21</v>
      </c>
      <c r="C99" s="98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5"/>
      <c r="C100" s="98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7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2" t="s">
        <v>168</v>
      </c>
      <c r="K117" s="977" t="s">
        <v>645</v>
      </c>
      <c r="L117" s="57" t="s">
        <v>209</v>
      </c>
      <c r="M117" s="964">
        <f>250000*5</f>
        <v>1250000</v>
      </c>
      <c r="N117" s="974" t="s">
        <v>121</v>
      </c>
    </row>
    <row r="118" spans="1:14" x14ac:dyDescent="0.3">
      <c r="A118" s="101">
        <v>28</v>
      </c>
      <c r="B118" s="975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65"/>
      <c r="N118" s="975"/>
    </row>
    <row r="119" spans="1:14" x14ac:dyDescent="0.3">
      <c r="A119" s="101">
        <v>28</v>
      </c>
      <c r="B119" s="975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3"/>
      <c r="K119" s="978"/>
      <c r="L119" s="57" t="s">
        <v>209</v>
      </c>
      <c r="M119" s="966"/>
      <c r="N119" s="976"/>
    </row>
    <row r="120" spans="1:14" x14ac:dyDescent="0.3">
      <c r="A120" s="101">
        <v>28</v>
      </c>
      <c r="B120" s="976"/>
      <c r="C120" s="98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7"/>
      <c r="C123" s="9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68" t="s">
        <v>707</v>
      </c>
      <c r="L123" s="110" t="s">
        <v>324</v>
      </c>
      <c r="M123" s="971" t="s">
        <v>708</v>
      </c>
      <c r="N123" s="110"/>
    </row>
    <row r="124" spans="1:14" x14ac:dyDescent="0.3">
      <c r="A124" s="55">
        <v>29</v>
      </c>
      <c r="B124" s="967"/>
      <c r="C124" s="9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7"/>
      <c r="K124" s="969"/>
      <c r="L124" s="110" t="s">
        <v>324</v>
      </c>
      <c r="M124" s="972"/>
      <c r="N124" s="110"/>
    </row>
    <row r="125" spans="1:14" x14ac:dyDescent="0.3">
      <c r="A125" s="55">
        <v>29</v>
      </c>
      <c r="B125" s="967"/>
      <c r="C125" s="9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70"/>
      <c r="L125" s="110" t="s">
        <v>324</v>
      </c>
      <c r="M125" s="973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7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7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7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7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4" t="s">
        <v>618</v>
      </c>
      <c r="C135" s="98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5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5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6"/>
      <c r="C138" s="98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5"/>
      <c r="C140" s="98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5"/>
      <c r="C141" s="98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4" t="s">
        <v>735</v>
      </c>
    </row>
    <row r="142" spans="1:14" x14ac:dyDescent="0.3">
      <c r="A142" s="55">
        <v>30</v>
      </c>
      <c r="B142" s="97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4" t="s">
        <v>20</v>
      </c>
      <c r="C146" s="981" t="s">
        <v>869</v>
      </c>
      <c r="D146" s="977" t="s">
        <v>19</v>
      </c>
      <c r="E146" s="97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6"/>
      <c r="C147" s="983"/>
      <c r="D147" s="978"/>
      <c r="E147" s="98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4" t="s">
        <v>123</v>
      </c>
      <c r="C148" s="981" t="s">
        <v>782</v>
      </c>
      <c r="D148" s="977" t="s">
        <v>19</v>
      </c>
      <c r="E148" s="97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6"/>
      <c r="C149" s="983"/>
      <c r="D149" s="978"/>
      <c r="E149" s="98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4" t="s">
        <v>247</v>
      </c>
    </row>
    <row r="154" spans="1:14" ht="27" x14ac:dyDescent="0.3">
      <c r="A154" s="55">
        <v>34</v>
      </c>
      <c r="B154" s="975"/>
      <c r="C154" s="98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 x14ac:dyDescent="0.3">
      <c r="A155" s="55">
        <v>34</v>
      </c>
      <c r="B155" s="975"/>
      <c r="C155" s="98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6"/>
    </row>
    <row r="156" spans="1:14" ht="27" x14ac:dyDescent="0.3">
      <c r="A156" s="55">
        <v>34</v>
      </c>
      <c r="B156" s="975"/>
      <c r="C156" s="98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4" t="s">
        <v>825</v>
      </c>
    </row>
    <row r="157" spans="1:14" ht="27" x14ac:dyDescent="0.3">
      <c r="A157" s="55">
        <v>34</v>
      </c>
      <c r="B157" s="975"/>
      <c r="C157" s="98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 x14ac:dyDescent="0.3">
      <c r="A158" s="55">
        <v>34</v>
      </c>
      <c r="B158" s="975"/>
      <c r="C158" s="98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 x14ac:dyDescent="0.3">
      <c r="A159" s="55">
        <v>34</v>
      </c>
      <c r="B159" s="975"/>
      <c r="C159" s="98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 x14ac:dyDescent="0.3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 x14ac:dyDescent="0.3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6"/>
    </row>
    <row r="162" spans="1:15" ht="27" x14ac:dyDescent="0.3">
      <c r="A162" s="55">
        <v>34</v>
      </c>
      <c r="B162" s="97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91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91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91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91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91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91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8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2" t="s">
        <v>838</v>
      </c>
      <c r="K181" s="977" t="s">
        <v>985</v>
      </c>
      <c r="L181" s="6" t="s">
        <v>910</v>
      </c>
      <c r="M181" s="964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3"/>
      <c r="K182" s="978"/>
      <c r="L182" s="6" t="s">
        <v>911</v>
      </c>
      <c r="M182" s="966"/>
      <c r="N182" s="45" t="s">
        <v>806</v>
      </c>
    </row>
    <row r="183" spans="1:14" x14ac:dyDescent="0.3">
      <c r="A183" s="55">
        <v>36</v>
      </c>
      <c r="B183" s="901"/>
      <c r="C183" s="98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91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91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91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9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8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8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8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8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91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9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91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91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91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9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91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9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6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91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4" t="s">
        <v>247</v>
      </c>
    </row>
    <row r="250" spans="1:14" x14ac:dyDescent="0.3">
      <c r="A250" s="55">
        <v>48</v>
      </c>
      <c r="B250" s="902"/>
      <c r="C250" s="9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6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91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4" t="s">
        <v>247</v>
      </c>
    </row>
    <row r="257" spans="1:14" x14ac:dyDescent="0.3">
      <c r="A257" s="55">
        <v>49</v>
      </c>
      <c r="B257" s="902"/>
      <c r="C257" s="9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6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8" t="s">
        <v>1103</v>
      </c>
    </row>
    <row r="262" spans="1:14" ht="25.5" x14ac:dyDescent="0.3">
      <c r="A262" s="132">
        <v>49</v>
      </c>
      <c r="B262" s="10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9"/>
    </row>
    <row r="263" spans="1:14" ht="16.5" customHeight="1" x14ac:dyDescent="0.3">
      <c r="A263" s="55">
        <v>50</v>
      </c>
      <c r="B263" s="900" t="s">
        <v>20</v>
      </c>
      <c r="C263" s="91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91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91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91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9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3" t="s">
        <v>658</v>
      </c>
      <c r="C268" s="8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4"/>
      <c r="C269" s="90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5"/>
      <c r="C270" s="8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91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9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9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91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91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0" t="s">
        <v>1196</v>
      </c>
      <c r="B278" s="1021"/>
      <c r="C278" s="1021"/>
      <c r="D278" s="1021"/>
      <c r="E278" s="1021"/>
      <c r="F278" s="1021"/>
      <c r="G278" s="1021"/>
      <c r="H278" s="1021"/>
      <c r="I278" s="1021"/>
      <c r="J278" s="1021"/>
      <c r="K278" s="1021"/>
      <c r="L278" s="1021"/>
      <c r="M278" s="1021"/>
      <c r="N278" s="1022"/>
    </row>
    <row r="279" spans="1:15" ht="16.5" customHeight="1" x14ac:dyDescent="0.3">
      <c r="A279" s="55">
        <v>1</v>
      </c>
      <c r="B279" s="900" t="s">
        <v>20</v>
      </c>
      <c r="C279" s="91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9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91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91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91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2" t="s">
        <v>1174</v>
      </c>
      <c r="K283" s="101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91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3"/>
      <c r="K284" s="101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3" t="s">
        <v>123</v>
      </c>
      <c r="C287" s="8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4"/>
      <c r="C288" s="8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3" t="s">
        <v>64</v>
      </c>
      <c r="C289" s="8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4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4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8" t="s">
        <v>638</v>
      </c>
      <c r="K291" s="952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1014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9"/>
      <c r="K292" s="953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1014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4"/>
      <c r="C294" s="8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91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91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91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91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91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91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91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91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91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91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3" t="s">
        <v>307</v>
      </c>
      <c r="C313" s="8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5"/>
      <c r="C314" s="8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91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91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91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91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91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91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91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9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91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91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91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9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91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91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8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8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3" t="s">
        <v>307</v>
      </c>
      <c r="C375" s="128" t="s">
        <v>1531</v>
      </c>
      <c r="D375" s="898" t="s">
        <v>306</v>
      </c>
      <c r="E375" s="898" t="s">
        <v>322</v>
      </c>
      <c r="F375" s="898" t="s">
        <v>307</v>
      </c>
      <c r="G375" s="896">
        <v>4266</v>
      </c>
      <c r="H375" s="898" t="s">
        <v>640</v>
      </c>
      <c r="I375" s="896" t="s">
        <v>1533</v>
      </c>
      <c r="J375" s="898" t="s">
        <v>1534</v>
      </c>
      <c r="K375" s="1025" t="s">
        <v>692</v>
      </c>
      <c r="L375" s="898" t="s">
        <v>324</v>
      </c>
      <c r="M375" s="882" t="s">
        <v>1535</v>
      </c>
      <c r="N375" s="898" t="s">
        <v>425</v>
      </c>
    </row>
    <row r="376" spans="1:19" x14ac:dyDescent="0.3">
      <c r="A376" s="199" t="s">
        <v>1539</v>
      </c>
      <c r="B376" s="1014"/>
      <c r="C376" s="129" t="s">
        <v>1532</v>
      </c>
      <c r="D376" s="899"/>
      <c r="E376" s="899"/>
      <c r="F376" s="899"/>
      <c r="G376" s="897"/>
      <c r="H376" s="899"/>
      <c r="I376" s="897"/>
      <c r="J376" s="899"/>
      <c r="K376" s="1026"/>
      <c r="L376" s="899"/>
      <c r="M376" s="883"/>
      <c r="N376" s="899"/>
    </row>
    <row r="377" spans="1:19" x14ac:dyDescent="0.3">
      <c r="A377" s="199" t="s">
        <v>1539</v>
      </c>
      <c r="B377" s="1014"/>
      <c r="C377" s="128" t="s">
        <v>1536</v>
      </c>
      <c r="D377" s="898" t="s">
        <v>306</v>
      </c>
      <c r="E377" s="898" t="s">
        <v>322</v>
      </c>
      <c r="F377" s="898" t="s">
        <v>307</v>
      </c>
      <c r="G377" s="896">
        <v>3306</v>
      </c>
      <c r="H377" s="898" t="s">
        <v>1153</v>
      </c>
      <c r="I377" s="896" t="s">
        <v>1538</v>
      </c>
      <c r="J377" s="898" t="s">
        <v>1534</v>
      </c>
      <c r="K377" s="1025" t="s">
        <v>692</v>
      </c>
      <c r="L377" s="898" t="s">
        <v>324</v>
      </c>
      <c r="M377" s="882" t="s">
        <v>1535</v>
      </c>
      <c r="N377" s="898" t="s">
        <v>425</v>
      </c>
    </row>
    <row r="378" spans="1:19" x14ac:dyDescent="0.3">
      <c r="A378" s="199" t="s">
        <v>1539</v>
      </c>
      <c r="B378" s="1015"/>
      <c r="C378" s="129" t="s">
        <v>1537</v>
      </c>
      <c r="D378" s="899"/>
      <c r="E378" s="899"/>
      <c r="F378" s="899"/>
      <c r="G378" s="897"/>
      <c r="H378" s="899"/>
      <c r="I378" s="897"/>
      <c r="J378" s="899"/>
      <c r="K378" s="1026"/>
      <c r="L378" s="899"/>
      <c r="M378" s="883"/>
      <c r="N378" s="899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2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6">
        <v>3306</v>
      </c>
      <c r="H403" s="950" t="s">
        <v>1153</v>
      </c>
      <c r="I403" s="956" t="s">
        <v>1749</v>
      </c>
      <c r="J403" s="950" t="s">
        <v>664</v>
      </c>
      <c r="K403" s="1027" t="s">
        <v>1288</v>
      </c>
      <c r="L403" s="950" t="s">
        <v>324</v>
      </c>
      <c r="M403" s="954" t="s">
        <v>1750</v>
      </c>
      <c r="N403" s="950" t="s">
        <v>665</v>
      </c>
    </row>
    <row r="404" spans="1:14" x14ac:dyDescent="0.3">
      <c r="A404" s="123">
        <v>18</v>
      </c>
      <c r="B404" s="893"/>
      <c r="C404" s="226" t="s">
        <v>1751</v>
      </c>
      <c r="D404" s="951"/>
      <c r="E404" s="951"/>
      <c r="F404" s="951"/>
      <c r="G404" s="957"/>
      <c r="H404" s="951"/>
      <c r="I404" s="957"/>
      <c r="J404" s="951"/>
      <c r="K404" s="1028"/>
      <c r="L404" s="951"/>
      <c r="M404" s="955"/>
      <c r="N404" s="951"/>
    </row>
    <row r="405" spans="1:14" ht="22.5" x14ac:dyDescent="0.3">
      <c r="A405" s="123">
        <v>18</v>
      </c>
      <c r="B405" s="89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3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6" t="s">
        <v>1756</v>
      </c>
      <c r="H406" s="950" t="s">
        <v>347</v>
      </c>
      <c r="I406" s="956" t="s">
        <v>1154</v>
      </c>
      <c r="J406" s="950" t="s">
        <v>664</v>
      </c>
      <c r="K406" s="950" t="s">
        <v>1757</v>
      </c>
      <c r="L406" s="950" t="s">
        <v>324</v>
      </c>
      <c r="M406" s="954" t="s">
        <v>1758</v>
      </c>
      <c r="N406" s="950" t="s">
        <v>665</v>
      </c>
    </row>
    <row r="407" spans="1:14" x14ac:dyDescent="0.3">
      <c r="A407" s="123">
        <v>18</v>
      </c>
      <c r="B407" s="893"/>
      <c r="C407" s="226" t="s">
        <v>1759</v>
      </c>
      <c r="D407" s="951"/>
      <c r="E407" s="951"/>
      <c r="F407" s="951"/>
      <c r="G407" s="957"/>
      <c r="H407" s="951"/>
      <c r="I407" s="957"/>
      <c r="J407" s="951"/>
      <c r="K407" s="951"/>
      <c r="L407" s="951"/>
      <c r="M407" s="955"/>
      <c r="N407" s="951"/>
    </row>
    <row r="408" spans="1:14" ht="16.5" customHeight="1" x14ac:dyDescent="0.3">
      <c r="A408" s="123">
        <v>18</v>
      </c>
      <c r="B408" s="893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6" t="s">
        <v>1761</v>
      </c>
      <c r="H408" s="950" t="s">
        <v>329</v>
      </c>
      <c r="I408" s="956" t="s">
        <v>1762</v>
      </c>
      <c r="J408" s="950" t="s">
        <v>664</v>
      </c>
      <c r="K408" s="950" t="s">
        <v>1763</v>
      </c>
      <c r="L408" s="950" t="s">
        <v>324</v>
      </c>
      <c r="M408" s="954" t="s">
        <v>1764</v>
      </c>
      <c r="N408" s="950" t="s">
        <v>1765</v>
      </c>
    </row>
    <row r="409" spans="1:14" x14ac:dyDescent="0.3">
      <c r="A409" s="123">
        <v>18</v>
      </c>
      <c r="B409" s="894"/>
      <c r="C409" s="226" t="s">
        <v>1766</v>
      </c>
      <c r="D409" s="951"/>
      <c r="E409" s="951"/>
      <c r="F409" s="951"/>
      <c r="G409" s="957"/>
      <c r="H409" s="951"/>
      <c r="I409" s="957"/>
      <c r="J409" s="951"/>
      <c r="K409" s="951"/>
      <c r="L409" s="951"/>
      <c r="M409" s="955"/>
      <c r="N409" s="951"/>
    </row>
    <row r="410" spans="1:14" ht="16.5" customHeight="1" x14ac:dyDescent="0.3">
      <c r="A410" s="123">
        <v>18</v>
      </c>
      <c r="B410" s="892" t="s">
        <v>253</v>
      </c>
      <c r="C410" s="958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958" t="s">
        <v>1769</v>
      </c>
      <c r="I410" s="227" t="s">
        <v>1770</v>
      </c>
      <c r="J410" s="950"/>
      <c r="K410" s="960" t="s">
        <v>1771</v>
      </c>
      <c r="L410" s="950" t="s">
        <v>309</v>
      </c>
      <c r="M410" s="954" t="s">
        <v>1764</v>
      </c>
      <c r="N410" s="950" t="s">
        <v>1772</v>
      </c>
    </row>
    <row r="411" spans="1:14" x14ac:dyDescent="0.3">
      <c r="A411" s="123">
        <v>18</v>
      </c>
      <c r="B411" s="893"/>
      <c r="C411" s="959"/>
      <c r="D411" s="951"/>
      <c r="E411" s="951"/>
      <c r="F411" s="951"/>
      <c r="G411" s="951"/>
      <c r="H411" s="959"/>
      <c r="I411" s="227" t="s">
        <v>1773</v>
      </c>
      <c r="J411" s="951"/>
      <c r="K411" s="961"/>
      <c r="L411" s="951"/>
      <c r="M411" s="955"/>
      <c r="N411" s="951"/>
    </row>
    <row r="412" spans="1:14" ht="22.5" x14ac:dyDescent="0.3">
      <c r="A412" s="123">
        <v>18</v>
      </c>
      <c r="B412" s="89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3"/>
      <c r="C413" s="958" t="s">
        <v>1776</v>
      </c>
      <c r="D413" s="958" t="s">
        <v>700</v>
      </c>
      <c r="E413" s="950" t="s">
        <v>675</v>
      </c>
      <c r="F413" s="958" t="s">
        <v>1777</v>
      </c>
      <c r="G413" s="958" t="s">
        <v>1778</v>
      </c>
      <c r="H413" s="958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54" t="s">
        <v>1780</v>
      </c>
      <c r="N413" s="950" t="s">
        <v>1781</v>
      </c>
    </row>
    <row r="414" spans="1:14" x14ac:dyDescent="0.3">
      <c r="A414" s="123">
        <v>18</v>
      </c>
      <c r="B414" s="894"/>
      <c r="C414" s="959"/>
      <c r="D414" s="959"/>
      <c r="E414" s="951"/>
      <c r="F414" s="959"/>
      <c r="G414" s="959"/>
      <c r="H414" s="959"/>
      <c r="I414" s="26"/>
      <c r="J414" s="951"/>
      <c r="K414" s="951"/>
      <c r="L414" s="951"/>
      <c r="M414" s="955"/>
      <c r="N414" s="951"/>
    </row>
    <row r="415" spans="1:14" ht="16.5" customHeight="1" x14ac:dyDescent="0.3">
      <c r="A415" s="123">
        <v>19</v>
      </c>
      <c r="B415" s="892" t="s">
        <v>20</v>
      </c>
      <c r="C415" s="148" t="s">
        <v>1794</v>
      </c>
      <c r="D415" s="898" t="s">
        <v>306</v>
      </c>
      <c r="E415" s="898" t="s">
        <v>322</v>
      </c>
      <c r="F415" s="898" t="s">
        <v>307</v>
      </c>
      <c r="G415" s="896" t="s">
        <v>1796</v>
      </c>
      <c r="H415" s="898" t="s">
        <v>1797</v>
      </c>
      <c r="I415" s="896" t="s">
        <v>1792</v>
      </c>
      <c r="J415" s="898" t="s">
        <v>664</v>
      </c>
      <c r="K415" s="148" t="s">
        <v>1520</v>
      </c>
      <c r="L415" s="898" t="s">
        <v>324</v>
      </c>
      <c r="M415" s="882" t="s">
        <v>1799</v>
      </c>
      <c r="N415" s="898" t="s">
        <v>665</v>
      </c>
    </row>
    <row r="416" spans="1:14" x14ac:dyDescent="0.3">
      <c r="A416" s="123">
        <v>19</v>
      </c>
      <c r="B416" s="893"/>
      <c r="C416" s="148" t="s">
        <v>1795</v>
      </c>
      <c r="D416" s="899"/>
      <c r="E416" s="899"/>
      <c r="F416" s="899"/>
      <c r="G416" s="897"/>
      <c r="H416" s="899"/>
      <c r="I416" s="897"/>
      <c r="J416" s="899"/>
      <c r="K416" s="148" t="s">
        <v>1798</v>
      </c>
      <c r="L416" s="899"/>
      <c r="M416" s="883"/>
      <c r="N416" s="899"/>
    </row>
    <row r="417" spans="1:14" x14ac:dyDescent="0.3">
      <c r="A417" s="123">
        <v>19</v>
      </c>
      <c r="B417" s="893"/>
      <c r="C417" s="148" t="s">
        <v>1800</v>
      </c>
      <c r="D417" s="898" t="s">
        <v>306</v>
      </c>
      <c r="E417" s="898" t="s">
        <v>322</v>
      </c>
      <c r="F417" s="898" t="s">
        <v>307</v>
      </c>
      <c r="G417" s="896" t="s">
        <v>1801</v>
      </c>
      <c r="H417" s="898" t="s">
        <v>1802</v>
      </c>
      <c r="I417" s="896" t="s">
        <v>1803</v>
      </c>
      <c r="J417" s="898" t="s">
        <v>664</v>
      </c>
      <c r="K417" s="952" t="s">
        <v>1155</v>
      </c>
      <c r="L417" s="898" t="s">
        <v>324</v>
      </c>
      <c r="M417" s="882" t="s">
        <v>1804</v>
      </c>
      <c r="N417" s="898" t="s">
        <v>665</v>
      </c>
    </row>
    <row r="418" spans="1:14" x14ac:dyDescent="0.3">
      <c r="A418" s="123">
        <v>19</v>
      </c>
      <c r="B418" s="894"/>
      <c r="C418" s="148" t="s">
        <v>1795</v>
      </c>
      <c r="D418" s="899"/>
      <c r="E418" s="899"/>
      <c r="F418" s="899"/>
      <c r="G418" s="897"/>
      <c r="H418" s="899"/>
      <c r="I418" s="897"/>
      <c r="J418" s="899"/>
      <c r="K418" s="953"/>
      <c r="L418" s="899"/>
      <c r="M418" s="883"/>
      <c r="N418" s="899"/>
    </row>
    <row r="419" spans="1:14" ht="16.5" customHeight="1" x14ac:dyDescent="0.3">
      <c r="A419" s="123">
        <v>19</v>
      </c>
      <c r="B419" s="892" t="s">
        <v>21</v>
      </c>
      <c r="C419" s="942" t="s">
        <v>1805</v>
      </c>
      <c r="D419" s="942" t="s">
        <v>700</v>
      </c>
      <c r="E419" s="898" t="s">
        <v>675</v>
      </c>
      <c r="F419" s="942" t="s">
        <v>1806</v>
      </c>
      <c r="G419" s="942" t="s">
        <v>1807</v>
      </c>
      <c r="H419" s="942" t="s">
        <v>662</v>
      </c>
      <c r="I419" s="896" t="s">
        <v>1808</v>
      </c>
      <c r="J419" s="898"/>
      <c r="K419" s="944" t="s">
        <v>1809</v>
      </c>
      <c r="L419" s="898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93"/>
      <c r="C420" s="943"/>
      <c r="D420" s="943"/>
      <c r="E420" s="899"/>
      <c r="F420" s="943"/>
      <c r="G420" s="943"/>
      <c r="H420" s="943"/>
      <c r="I420" s="897"/>
      <c r="J420" s="899"/>
      <c r="K420" s="945"/>
      <c r="L420" s="899"/>
      <c r="M420" s="883"/>
      <c r="N420" s="149" t="s">
        <v>1812</v>
      </c>
    </row>
    <row r="421" spans="1:14" x14ac:dyDescent="0.3">
      <c r="A421" s="123">
        <v>19</v>
      </c>
      <c r="B421" s="893"/>
      <c r="C421" s="946" t="s">
        <v>1813</v>
      </c>
      <c r="D421" s="942" t="s">
        <v>700</v>
      </c>
      <c r="E421" s="898" t="s">
        <v>320</v>
      </c>
      <c r="F421" s="898" t="s">
        <v>337</v>
      </c>
      <c r="G421" s="942" t="s">
        <v>353</v>
      </c>
      <c r="H421" s="942" t="s">
        <v>1814</v>
      </c>
      <c r="I421" s="896" t="s">
        <v>1815</v>
      </c>
      <c r="J421" s="898" t="s">
        <v>638</v>
      </c>
      <c r="K421" s="948" t="s">
        <v>692</v>
      </c>
      <c r="L421" s="898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93"/>
      <c r="C422" s="947"/>
      <c r="D422" s="943"/>
      <c r="E422" s="899"/>
      <c r="F422" s="899"/>
      <c r="G422" s="943"/>
      <c r="H422" s="943"/>
      <c r="I422" s="897"/>
      <c r="J422" s="899"/>
      <c r="K422" s="949"/>
      <c r="L422" s="899"/>
      <c r="M422" s="883"/>
      <c r="N422" s="148" t="s">
        <v>1818</v>
      </c>
    </row>
    <row r="423" spans="1:14" x14ac:dyDescent="0.3">
      <c r="A423" s="123">
        <v>19</v>
      </c>
      <c r="B423" s="89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3"/>
      <c r="C424" s="942" t="s">
        <v>1820</v>
      </c>
      <c r="D424" s="942" t="s">
        <v>700</v>
      </c>
      <c r="E424" s="898" t="s">
        <v>320</v>
      </c>
      <c r="F424" s="898" t="s">
        <v>709</v>
      </c>
      <c r="G424" s="898" t="s">
        <v>1768</v>
      </c>
      <c r="H424" s="942" t="s">
        <v>1821</v>
      </c>
      <c r="I424" s="149" t="s">
        <v>1822</v>
      </c>
      <c r="J424" s="898" t="s">
        <v>638</v>
      </c>
      <c r="K424" s="898" t="s">
        <v>692</v>
      </c>
      <c r="L424" s="898" t="s">
        <v>309</v>
      </c>
      <c r="M424" s="882" t="s">
        <v>1535</v>
      </c>
      <c r="N424" s="896" t="s">
        <v>1824</v>
      </c>
    </row>
    <row r="425" spans="1:14" x14ac:dyDescent="0.3">
      <c r="A425" s="123">
        <v>19</v>
      </c>
      <c r="B425" s="893"/>
      <c r="C425" s="943"/>
      <c r="D425" s="943"/>
      <c r="E425" s="899"/>
      <c r="F425" s="899"/>
      <c r="G425" s="899"/>
      <c r="H425" s="943"/>
      <c r="I425" s="149" t="s">
        <v>1823</v>
      </c>
      <c r="J425" s="899"/>
      <c r="K425" s="899"/>
      <c r="L425" s="899"/>
      <c r="M425" s="883"/>
      <c r="N425" s="897"/>
    </row>
    <row r="426" spans="1:14" x14ac:dyDescent="0.3">
      <c r="A426" s="123">
        <v>19</v>
      </c>
      <c r="B426" s="89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2" t="s">
        <v>2078</v>
      </c>
      <c r="C452" s="243" t="s">
        <v>1906</v>
      </c>
      <c r="D452" s="922" t="s">
        <v>306</v>
      </c>
      <c r="E452" s="922" t="s">
        <v>322</v>
      </c>
      <c r="F452" s="922" t="s">
        <v>307</v>
      </c>
      <c r="G452" s="922">
        <v>3306</v>
      </c>
      <c r="H452" s="922" t="s">
        <v>1153</v>
      </c>
      <c r="I452" s="922" t="s">
        <v>1907</v>
      </c>
      <c r="J452" s="922" t="s">
        <v>1111</v>
      </c>
      <c r="K452" s="922" t="s">
        <v>692</v>
      </c>
      <c r="L452" s="922" t="s">
        <v>324</v>
      </c>
      <c r="M452" s="920" t="s">
        <v>1908</v>
      </c>
      <c r="N452" s="922" t="s">
        <v>665</v>
      </c>
    </row>
    <row r="453" spans="1:14" x14ac:dyDescent="0.3">
      <c r="A453" s="123">
        <v>23</v>
      </c>
      <c r="B453" s="893"/>
      <c r="C453" s="243" t="s">
        <v>1909</v>
      </c>
      <c r="D453" s="923"/>
      <c r="E453" s="923"/>
      <c r="F453" s="923"/>
      <c r="G453" s="923"/>
      <c r="H453" s="923"/>
      <c r="I453" s="923"/>
      <c r="J453" s="923"/>
      <c r="K453" s="923"/>
      <c r="L453" s="923"/>
      <c r="M453" s="921"/>
      <c r="N453" s="923"/>
    </row>
    <row r="454" spans="1:14" x14ac:dyDescent="0.3">
      <c r="A454" s="123">
        <v>23</v>
      </c>
      <c r="B454" s="893"/>
      <c r="C454" s="243" t="s">
        <v>1910</v>
      </c>
      <c r="D454" s="922" t="s">
        <v>306</v>
      </c>
      <c r="E454" s="922" t="s">
        <v>322</v>
      </c>
      <c r="F454" s="922" t="s">
        <v>307</v>
      </c>
      <c r="G454" s="924" t="s">
        <v>1418</v>
      </c>
      <c r="H454" s="922" t="s">
        <v>1911</v>
      </c>
      <c r="I454" s="924" t="s">
        <v>1154</v>
      </c>
      <c r="J454" s="922" t="s">
        <v>664</v>
      </c>
      <c r="K454" s="938" t="s">
        <v>1763</v>
      </c>
      <c r="L454" s="922" t="s">
        <v>324</v>
      </c>
      <c r="M454" s="920" t="s">
        <v>1535</v>
      </c>
      <c r="N454" s="922" t="s">
        <v>665</v>
      </c>
    </row>
    <row r="455" spans="1:14" x14ac:dyDescent="0.3">
      <c r="A455" s="123">
        <v>23</v>
      </c>
      <c r="B455" s="893"/>
      <c r="C455" s="243" t="s">
        <v>1909</v>
      </c>
      <c r="D455" s="923"/>
      <c r="E455" s="923"/>
      <c r="F455" s="923"/>
      <c r="G455" s="925"/>
      <c r="H455" s="923"/>
      <c r="I455" s="925"/>
      <c r="J455" s="923"/>
      <c r="K455" s="939"/>
      <c r="L455" s="923"/>
      <c r="M455" s="921"/>
      <c r="N455" s="923"/>
    </row>
    <row r="456" spans="1:14" x14ac:dyDescent="0.3">
      <c r="A456" s="123">
        <v>23</v>
      </c>
      <c r="B456" s="89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3"/>
      <c r="C457" s="243" t="s">
        <v>1917</v>
      </c>
      <c r="D457" s="922" t="s">
        <v>306</v>
      </c>
      <c r="E457" s="922" t="s">
        <v>322</v>
      </c>
      <c r="F457" s="922" t="s">
        <v>307</v>
      </c>
      <c r="G457" s="924">
        <v>4267</v>
      </c>
      <c r="H457" s="922" t="s">
        <v>640</v>
      </c>
      <c r="I457" s="924" t="s">
        <v>1154</v>
      </c>
      <c r="J457" s="922" t="s">
        <v>664</v>
      </c>
      <c r="K457" s="938" t="s">
        <v>1763</v>
      </c>
      <c r="L457" s="922" t="s">
        <v>324</v>
      </c>
      <c r="M457" s="920" t="s">
        <v>1535</v>
      </c>
      <c r="N457" s="922" t="s">
        <v>665</v>
      </c>
    </row>
    <row r="458" spans="1:14" x14ac:dyDescent="0.3">
      <c r="A458" s="123">
        <v>23</v>
      </c>
      <c r="B458" s="893"/>
      <c r="C458" s="243" t="s">
        <v>1918</v>
      </c>
      <c r="D458" s="923"/>
      <c r="E458" s="923"/>
      <c r="F458" s="923"/>
      <c r="G458" s="925"/>
      <c r="H458" s="923"/>
      <c r="I458" s="925"/>
      <c r="J458" s="923"/>
      <c r="K458" s="939"/>
      <c r="L458" s="923"/>
      <c r="M458" s="921"/>
      <c r="N458" s="923"/>
    </row>
    <row r="459" spans="1:14" x14ac:dyDescent="0.3">
      <c r="A459" s="123">
        <v>23</v>
      </c>
      <c r="B459" s="893"/>
      <c r="C459" s="243" t="s">
        <v>1917</v>
      </c>
      <c r="D459" s="922" t="s">
        <v>306</v>
      </c>
      <c r="E459" s="922" t="s">
        <v>322</v>
      </c>
      <c r="F459" s="922" t="s">
        <v>307</v>
      </c>
      <c r="G459" s="924" t="s">
        <v>1919</v>
      </c>
      <c r="H459" s="922" t="s">
        <v>662</v>
      </c>
      <c r="I459" s="924" t="s">
        <v>1920</v>
      </c>
      <c r="J459" s="922" t="s">
        <v>349</v>
      </c>
      <c r="K459" s="940" t="s">
        <v>1916</v>
      </c>
      <c r="L459" s="922" t="s">
        <v>324</v>
      </c>
      <c r="M459" s="920" t="s">
        <v>1535</v>
      </c>
      <c r="N459" s="922" t="s">
        <v>425</v>
      </c>
    </row>
    <row r="460" spans="1:14" x14ac:dyDescent="0.3">
      <c r="A460" s="123">
        <v>23</v>
      </c>
      <c r="B460" s="894"/>
      <c r="C460" s="244" t="s">
        <v>1918</v>
      </c>
      <c r="D460" s="923"/>
      <c r="E460" s="923"/>
      <c r="F460" s="923"/>
      <c r="G460" s="925"/>
      <c r="H460" s="923"/>
      <c r="I460" s="925"/>
      <c r="J460" s="923"/>
      <c r="K460" s="941"/>
      <c r="L460" s="923"/>
      <c r="M460" s="921"/>
      <c r="N460" s="923"/>
    </row>
    <row r="461" spans="1:14" x14ac:dyDescent="0.3">
      <c r="A461" s="123">
        <v>23</v>
      </c>
      <c r="B461" s="89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3"/>
      <c r="C462" s="922" t="s">
        <v>1921</v>
      </c>
      <c r="D462" s="922" t="s">
        <v>311</v>
      </c>
      <c r="E462" s="922" t="s">
        <v>675</v>
      </c>
      <c r="F462" s="922" t="s">
        <v>1926</v>
      </c>
      <c r="G462" s="922" t="s">
        <v>1927</v>
      </c>
      <c r="H462" s="1029" t="s">
        <v>347</v>
      </c>
      <c r="I462" s="242" t="s">
        <v>1928</v>
      </c>
      <c r="J462" s="922"/>
      <c r="K462" s="924" t="s">
        <v>1924</v>
      </c>
      <c r="L462" s="922" t="s">
        <v>309</v>
      </c>
      <c r="M462" s="920" t="s">
        <v>1828</v>
      </c>
      <c r="N462" s="924" t="s">
        <v>1925</v>
      </c>
    </row>
    <row r="463" spans="1:14" x14ac:dyDescent="0.3">
      <c r="A463" s="123">
        <v>23</v>
      </c>
      <c r="B463" s="893"/>
      <c r="C463" s="923"/>
      <c r="D463" s="923"/>
      <c r="E463" s="923"/>
      <c r="F463" s="923"/>
      <c r="G463" s="923"/>
      <c r="H463" s="1030"/>
      <c r="I463" s="242" t="s">
        <v>1929</v>
      </c>
      <c r="J463" s="923"/>
      <c r="K463" s="925"/>
      <c r="L463" s="923"/>
      <c r="M463" s="921"/>
      <c r="N463" s="925"/>
    </row>
    <row r="464" spans="1:14" ht="24" x14ac:dyDescent="0.3">
      <c r="A464" s="123">
        <v>23</v>
      </c>
      <c r="B464" s="89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3"/>
      <c r="C687" s="148" t="s">
        <v>2726</v>
      </c>
      <c r="D687" s="898" t="s">
        <v>306</v>
      </c>
      <c r="E687" s="898" t="s">
        <v>322</v>
      </c>
      <c r="F687" s="898" t="s">
        <v>307</v>
      </c>
      <c r="G687" s="896" t="s">
        <v>2719</v>
      </c>
      <c r="H687" s="898" t="s">
        <v>1047</v>
      </c>
      <c r="I687" s="896" t="s">
        <v>704</v>
      </c>
      <c r="J687" s="898" t="s">
        <v>664</v>
      </c>
      <c r="K687" s="930" t="s">
        <v>1763</v>
      </c>
      <c r="L687" s="898"/>
      <c r="M687" s="882" t="s">
        <v>458</v>
      </c>
      <c r="N687" s="898" t="s">
        <v>665</v>
      </c>
    </row>
    <row r="688" spans="1:14" x14ac:dyDescent="0.3">
      <c r="A688" s="123">
        <v>8</v>
      </c>
      <c r="B688" s="893"/>
      <c r="C688" s="148" t="s">
        <v>2727</v>
      </c>
      <c r="D688" s="899"/>
      <c r="E688" s="899"/>
      <c r="F688" s="899"/>
      <c r="G688" s="897"/>
      <c r="H688" s="899"/>
      <c r="I688" s="897"/>
      <c r="J688" s="899"/>
      <c r="K688" s="931"/>
      <c r="L688" s="899"/>
      <c r="M688" s="883"/>
      <c r="N688" s="899"/>
    </row>
    <row r="689" spans="1:14" x14ac:dyDescent="0.3">
      <c r="A689" s="123">
        <v>8</v>
      </c>
      <c r="B689" s="89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3"/>
      <c r="C690" s="148" t="s">
        <v>2730</v>
      </c>
      <c r="D690" s="898" t="s">
        <v>306</v>
      </c>
      <c r="E690" s="898" t="s">
        <v>322</v>
      </c>
      <c r="F690" s="898" t="s">
        <v>307</v>
      </c>
      <c r="G690" s="896" t="s">
        <v>2731</v>
      </c>
      <c r="H690" s="898" t="s">
        <v>640</v>
      </c>
      <c r="I690" s="896" t="s">
        <v>668</v>
      </c>
      <c r="J690" s="898" t="s">
        <v>349</v>
      </c>
      <c r="K690" s="932" t="s">
        <v>2732</v>
      </c>
      <c r="L690" s="898"/>
      <c r="M690" s="882" t="s">
        <v>2769</v>
      </c>
      <c r="N690" s="898" t="s">
        <v>425</v>
      </c>
    </row>
    <row r="691" spans="1:14" x14ac:dyDescent="0.3">
      <c r="A691" s="123">
        <v>8</v>
      </c>
      <c r="B691" s="894"/>
      <c r="C691" s="148" t="s">
        <v>2723</v>
      </c>
      <c r="D691" s="899"/>
      <c r="E691" s="899"/>
      <c r="F691" s="899"/>
      <c r="G691" s="897"/>
      <c r="H691" s="899"/>
      <c r="I691" s="897"/>
      <c r="J691" s="899"/>
      <c r="K691" s="933"/>
      <c r="L691" s="899"/>
      <c r="M691" s="883"/>
      <c r="N691" s="899"/>
    </row>
    <row r="692" spans="1:14" x14ac:dyDescent="0.3">
      <c r="A692" s="123">
        <v>8</v>
      </c>
      <c r="B692" s="89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3"/>
      <c r="C693" s="898" t="s">
        <v>2768</v>
      </c>
      <c r="D693" s="898" t="s">
        <v>311</v>
      </c>
      <c r="E693" s="898" t="s">
        <v>675</v>
      </c>
      <c r="F693" s="149" t="s">
        <v>1806</v>
      </c>
      <c r="G693" s="896" t="s">
        <v>689</v>
      </c>
      <c r="H693" s="896" t="s">
        <v>662</v>
      </c>
      <c r="I693" s="896" t="s">
        <v>2739</v>
      </c>
      <c r="J693" s="896"/>
      <c r="K693" s="896" t="s">
        <v>698</v>
      </c>
      <c r="L693" s="898" t="s">
        <v>309</v>
      </c>
      <c r="M693" s="882" t="s">
        <v>672</v>
      </c>
      <c r="N693" s="898" t="s">
        <v>2740</v>
      </c>
    </row>
    <row r="694" spans="1:14" x14ac:dyDescent="0.3">
      <c r="A694" s="123">
        <v>8</v>
      </c>
      <c r="B694" s="894"/>
      <c r="C694" s="899"/>
      <c r="D694" s="899"/>
      <c r="E694" s="899"/>
      <c r="F694" s="149" t="s">
        <v>2738</v>
      </c>
      <c r="G694" s="897"/>
      <c r="H694" s="897"/>
      <c r="I694" s="897"/>
      <c r="J694" s="897"/>
      <c r="K694" s="897"/>
      <c r="L694" s="899"/>
      <c r="M694" s="883"/>
      <c r="N694" s="908"/>
    </row>
    <row r="695" spans="1:14" x14ac:dyDescent="0.3">
      <c r="A695" s="123">
        <v>9</v>
      </c>
      <c r="B695" s="89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3"/>
      <c r="C697" s="243" t="s">
        <v>2745</v>
      </c>
      <c r="D697" s="922" t="s">
        <v>306</v>
      </c>
      <c r="E697" s="922" t="s">
        <v>322</v>
      </c>
      <c r="F697" s="922" t="s">
        <v>307</v>
      </c>
      <c r="G697" s="924" t="s">
        <v>2746</v>
      </c>
      <c r="H697" s="922" t="s">
        <v>405</v>
      </c>
      <c r="I697" s="924" t="s">
        <v>2747</v>
      </c>
      <c r="J697" s="922" t="s">
        <v>664</v>
      </c>
      <c r="K697" s="928" t="s">
        <v>1757</v>
      </c>
      <c r="L697" s="922"/>
      <c r="M697" s="920">
        <v>750000</v>
      </c>
      <c r="N697" s="922" t="s">
        <v>665</v>
      </c>
    </row>
    <row r="698" spans="1:14" x14ac:dyDescent="0.3">
      <c r="A698" s="123">
        <v>9</v>
      </c>
      <c r="B698" s="893"/>
      <c r="C698" s="243" t="s">
        <v>2748</v>
      </c>
      <c r="D698" s="923"/>
      <c r="E698" s="923"/>
      <c r="F698" s="923"/>
      <c r="G698" s="925"/>
      <c r="H698" s="923"/>
      <c r="I698" s="925"/>
      <c r="J698" s="923"/>
      <c r="K698" s="929"/>
      <c r="L698" s="923"/>
      <c r="M698" s="921"/>
      <c r="N698" s="923"/>
    </row>
    <row r="699" spans="1:14" x14ac:dyDescent="0.3">
      <c r="A699" s="123">
        <v>9</v>
      </c>
      <c r="B699" s="893"/>
      <c r="C699" s="243" t="s">
        <v>2745</v>
      </c>
      <c r="D699" s="922" t="s">
        <v>306</v>
      </c>
      <c r="E699" s="922" t="s">
        <v>322</v>
      </c>
      <c r="F699" s="922" t="s">
        <v>307</v>
      </c>
      <c r="G699" s="924" t="s">
        <v>2749</v>
      </c>
      <c r="H699" s="922" t="s">
        <v>662</v>
      </c>
      <c r="I699" s="924" t="s">
        <v>668</v>
      </c>
      <c r="J699" s="922" t="s">
        <v>349</v>
      </c>
      <c r="K699" s="926" t="s">
        <v>2732</v>
      </c>
      <c r="L699" s="922"/>
      <c r="M699" s="920">
        <v>1000000</v>
      </c>
      <c r="N699" s="922" t="s">
        <v>425</v>
      </c>
    </row>
    <row r="700" spans="1:14" x14ac:dyDescent="0.3">
      <c r="A700" s="123">
        <v>9</v>
      </c>
      <c r="B700" s="893"/>
      <c r="C700" s="243" t="s">
        <v>2750</v>
      </c>
      <c r="D700" s="923"/>
      <c r="E700" s="923"/>
      <c r="F700" s="923"/>
      <c r="G700" s="925"/>
      <c r="H700" s="923"/>
      <c r="I700" s="925"/>
      <c r="J700" s="923"/>
      <c r="K700" s="927"/>
      <c r="L700" s="923"/>
      <c r="M700" s="921"/>
      <c r="N700" s="923"/>
    </row>
    <row r="701" spans="1:14" x14ac:dyDescent="0.3">
      <c r="A701" s="123">
        <v>9</v>
      </c>
      <c r="B701" s="89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8" t="s">
        <v>2821</v>
      </c>
    </row>
    <row r="734" spans="1:14" ht="27" x14ac:dyDescent="0.3">
      <c r="A734" s="123">
        <v>15</v>
      </c>
      <c r="B734" s="89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9"/>
    </row>
    <row r="735" spans="1:14" x14ac:dyDescent="0.3">
      <c r="A735" s="123">
        <v>15</v>
      </c>
      <c r="B735" s="89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2" t="s">
        <v>3097</v>
      </c>
      <c r="C835" s="148" t="s">
        <v>3079</v>
      </c>
      <c r="D835" s="898" t="s">
        <v>306</v>
      </c>
      <c r="E835" s="898" t="s">
        <v>322</v>
      </c>
      <c r="F835" s="898" t="s">
        <v>307</v>
      </c>
      <c r="G835" s="896" t="s">
        <v>3051</v>
      </c>
      <c r="H835" s="898" t="s">
        <v>1993</v>
      </c>
      <c r="I835" s="896" t="s">
        <v>3052</v>
      </c>
      <c r="J835" s="898" t="s">
        <v>664</v>
      </c>
      <c r="K835" s="148" t="s">
        <v>3081</v>
      </c>
      <c r="L835" s="898"/>
      <c r="M835" s="910" t="s">
        <v>3082</v>
      </c>
      <c r="N835" s="148" t="s">
        <v>3083</v>
      </c>
    </row>
    <row r="836" spans="1:14" x14ac:dyDescent="0.3">
      <c r="A836" s="123">
        <v>29</v>
      </c>
      <c r="B836" s="893"/>
      <c r="C836" s="148" t="s">
        <v>3080</v>
      </c>
      <c r="D836" s="908"/>
      <c r="E836" s="908"/>
      <c r="F836" s="908"/>
      <c r="G836" s="909"/>
      <c r="H836" s="908"/>
      <c r="I836" s="909"/>
      <c r="J836" s="908"/>
      <c r="K836" s="148" t="s">
        <v>707</v>
      </c>
      <c r="L836" s="908"/>
      <c r="M836" s="911"/>
      <c r="N836" s="148"/>
    </row>
    <row r="837" spans="1:14" x14ac:dyDescent="0.3">
      <c r="A837" s="123">
        <v>29</v>
      </c>
      <c r="B837" s="893"/>
      <c r="C837" s="148"/>
      <c r="D837" s="899"/>
      <c r="E837" s="899"/>
      <c r="F837" s="899"/>
      <c r="G837" s="897"/>
      <c r="H837" s="899"/>
      <c r="I837" s="897"/>
      <c r="J837" s="899"/>
      <c r="K837" s="148"/>
      <c r="L837" s="899"/>
      <c r="M837" s="912"/>
      <c r="N837" s="148" t="s">
        <v>3084</v>
      </c>
    </row>
    <row r="838" spans="1:14" x14ac:dyDescent="0.3">
      <c r="A838" s="123">
        <v>29</v>
      </c>
      <c r="B838" s="89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2" t="s">
        <v>21</v>
      </c>
      <c r="C840" s="111" t="s">
        <v>3087</v>
      </c>
      <c r="D840" s="898" t="s">
        <v>311</v>
      </c>
      <c r="E840" s="898" t="s">
        <v>320</v>
      </c>
      <c r="F840" s="896" t="s">
        <v>2601</v>
      </c>
      <c r="G840" s="896" t="s">
        <v>3059</v>
      </c>
      <c r="H840" s="896" t="s">
        <v>3060</v>
      </c>
      <c r="I840" s="896" t="s">
        <v>3061</v>
      </c>
      <c r="J840" s="896" t="s">
        <v>702</v>
      </c>
      <c r="K840" s="896" t="s">
        <v>3062</v>
      </c>
      <c r="L840" s="898" t="s">
        <v>309</v>
      </c>
      <c r="M840" s="910" t="s">
        <v>1816</v>
      </c>
      <c r="N840" s="898" t="s">
        <v>3088</v>
      </c>
    </row>
    <row r="841" spans="1:14" x14ac:dyDescent="0.3">
      <c r="A841" s="123">
        <v>29</v>
      </c>
      <c r="B841" s="893"/>
      <c r="C841" s="111" t="s">
        <v>3065</v>
      </c>
      <c r="D841" s="899"/>
      <c r="E841" s="899"/>
      <c r="F841" s="897"/>
      <c r="G841" s="897"/>
      <c r="H841" s="897"/>
      <c r="I841" s="897"/>
      <c r="J841" s="897"/>
      <c r="K841" s="897"/>
      <c r="L841" s="899"/>
      <c r="M841" s="912"/>
      <c r="N841" s="899"/>
    </row>
    <row r="842" spans="1:14" x14ac:dyDescent="0.3">
      <c r="A842" s="123">
        <v>29</v>
      </c>
      <c r="B842" s="89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3"/>
      <c r="C844" s="111" t="s">
        <v>3079</v>
      </c>
      <c r="D844" s="898" t="s">
        <v>311</v>
      </c>
      <c r="E844" s="898" t="s">
        <v>320</v>
      </c>
      <c r="F844" s="896" t="s">
        <v>3068</v>
      </c>
      <c r="G844" s="896" t="s">
        <v>1919</v>
      </c>
      <c r="H844" s="896" t="s">
        <v>3069</v>
      </c>
      <c r="I844" s="149" t="s">
        <v>3090</v>
      </c>
      <c r="J844" s="896"/>
      <c r="K844" s="896" t="s">
        <v>3070</v>
      </c>
      <c r="L844" s="898" t="s">
        <v>309</v>
      </c>
      <c r="M844" s="916" t="s">
        <v>3092</v>
      </c>
      <c r="N844" s="898" t="s">
        <v>1206</v>
      </c>
    </row>
    <row r="845" spans="1:14" x14ac:dyDescent="0.3">
      <c r="A845" s="123">
        <v>29</v>
      </c>
      <c r="B845" s="893"/>
      <c r="C845" s="111" t="s">
        <v>3089</v>
      </c>
      <c r="D845" s="899"/>
      <c r="E845" s="899"/>
      <c r="F845" s="897"/>
      <c r="G845" s="897"/>
      <c r="H845" s="897"/>
      <c r="I845" s="149" t="s">
        <v>3091</v>
      </c>
      <c r="J845" s="897"/>
      <c r="K845" s="897"/>
      <c r="L845" s="899"/>
      <c r="M845" s="917"/>
      <c r="N845" s="899"/>
    </row>
    <row r="846" spans="1:14" x14ac:dyDescent="0.3">
      <c r="A846" s="123">
        <v>29</v>
      </c>
      <c r="B846" s="893"/>
      <c r="C846" s="111" t="s">
        <v>3079</v>
      </c>
      <c r="D846" s="898" t="s">
        <v>311</v>
      </c>
      <c r="E846" s="898" t="s">
        <v>320</v>
      </c>
      <c r="F846" s="896" t="s">
        <v>2601</v>
      </c>
      <c r="G846" s="896" t="s">
        <v>3059</v>
      </c>
      <c r="H846" s="896" t="s">
        <v>3060</v>
      </c>
      <c r="I846" s="896" t="s">
        <v>3071</v>
      </c>
      <c r="J846" s="896" t="s">
        <v>702</v>
      </c>
      <c r="K846" s="896" t="s">
        <v>1054</v>
      </c>
      <c r="L846" s="898" t="s">
        <v>309</v>
      </c>
      <c r="M846" s="910" t="s">
        <v>3094</v>
      </c>
      <c r="N846" s="898" t="s">
        <v>3095</v>
      </c>
    </row>
    <row r="847" spans="1:14" x14ac:dyDescent="0.3">
      <c r="A847" s="123">
        <v>29</v>
      </c>
      <c r="B847" s="893"/>
      <c r="C847" s="111"/>
      <c r="D847" s="908"/>
      <c r="E847" s="908"/>
      <c r="F847" s="909"/>
      <c r="G847" s="909"/>
      <c r="H847" s="909"/>
      <c r="I847" s="909"/>
      <c r="J847" s="909"/>
      <c r="K847" s="909"/>
      <c r="L847" s="908"/>
      <c r="M847" s="911"/>
      <c r="N847" s="908"/>
    </row>
    <row r="848" spans="1:14" x14ac:dyDescent="0.3">
      <c r="A848" s="123">
        <v>29</v>
      </c>
      <c r="B848" s="893"/>
      <c r="C848" s="111" t="s">
        <v>3093</v>
      </c>
      <c r="D848" s="899"/>
      <c r="E848" s="899"/>
      <c r="F848" s="897"/>
      <c r="G848" s="897"/>
      <c r="H848" s="897"/>
      <c r="I848" s="897"/>
      <c r="J848" s="897"/>
      <c r="K848" s="897"/>
      <c r="L848" s="899"/>
      <c r="M848" s="912"/>
      <c r="N848" s="899"/>
    </row>
    <row r="849" spans="1:14" x14ac:dyDescent="0.3">
      <c r="A849" s="123">
        <v>29</v>
      </c>
      <c r="B849" s="893"/>
      <c r="C849" s="111" t="s">
        <v>3096</v>
      </c>
      <c r="D849" s="898" t="s">
        <v>311</v>
      </c>
      <c r="E849" s="898" t="s">
        <v>320</v>
      </c>
      <c r="F849" s="896" t="s">
        <v>337</v>
      </c>
      <c r="G849" s="896" t="s">
        <v>3072</v>
      </c>
      <c r="H849" s="896" t="s">
        <v>354</v>
      </c>
      <c r="I849" s="896" t="s">
        <v>310</v>
      </c>
      <c r="J849" s="896" t="s">
        <v>638</v>
      </c>
      <c r="K849" s="896" t="s">
        <v>3073</v>
      </c>
      <c r="L849" s="898" t="s">
        <v>309</v>
      </c>
      <c r="M849" s="910" t="s">
        <v>1816</v>
      </c>
      <c r="N849" s="898" t="s">
        <v>3095</v>
      </c>
    </row>
    <row r="850" spans="1:14" x14ac:dyDescent="0.3">
      <c r="A850" s="123">
        <v>29</v>
      </c>
      <c r="B850" s="894"/>
      <c r="C850" s="111" t="s">
        <v>3089</v>
      </c>
      <c r="D850" s="899"/>
      <c r="E850" s="899"/>
      <c r="F850" s="897"/>
      <c r="G850" s="897"/>
      <c r="H850" s="897"/>
      <c r="I850" s="897"/>
      <c r="J850" s="897"/>
      <c r="K850" s="897"/>
      <c r="L850" s="899"/>
      <c r="M850" s="912"/>
      <c r="N850" s="899"/>
    </row>
    <row r="851" spans="1:14" x14ac:dyDescent="0.3">
      <c r="A851" s="123">
        <v>30</v>
      </c>
      <c r="B851" s="90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4"/>
      <c r="C853" s="148" t="s">
        <v>3106</v>
      </c>
      <c r="D853" s="898" t="s">
        <v>306</v>
      </c>
      <c r="E853" s="898" t="s">
        <v>322</v>
      </c>
      <c r="F853" s="898" t="s">
        <v>307</v>
      </c>
      <c r="G853" s="896" t="s">
        <v>3051</v>
      </c>
      <c r="H853" s="898" t="s">
        <v>1993</v>
      </c>
      <c r="I853" s="896" t="s">
        <v>3108</v>
      </c>
      <c r="J853" s="898" t="s">
        <v>664</v>
      </c>
      <c r="K853" s="148" t="s">
        <v>3109</v>
      </c>
      <c r="L853" s="898"/>
      <c r="M853" s="882" t="s">
        <v>3110</v>
      </c>
      <c r="N853" s="898" t="s">
        <v>665</v>
      </c>
    </row>
    <row r="854" spans="1:14" x14ac:dyDescent="0.3">
      <c r="A854" s="123">
        <v>30</v>
      </c>
      <c r="B854" s="904"/>
      <c r="C854" s="148" t="s">
        <v>3107</v>
      </c>
      <c r="D854" s="899"/>
      <c r="E854" s="899"/>
      <c r="F854" s="899"/>
      <c r="G854" s="897"/>
      <c r="H854" s="899"/>
      <c r="I854" s="897"/>
      <c r="J854" s="899"/>
      <c r="K854" s="148" t="s">
        <v>655</v>
      </c>
      <c r="L854" s="899"/>
      <c r="M854" s="883"/>
      <c r="N854" s="899"/>
    </row>
    <row r="855" spans="1:14" x14ac:dyDescent="0.3">
      <c r="A855" s="123">
        <v>30</v>
      </c>
      <c r="B855" s="90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2" t="s">
        <v>3116</v>
      </c>
      <c r="C856" s="906" t="s">
        <v>3117</v>
      </c>
      <c r="D856" s="898" t="s">
        <v>311</v>
      </c>
      <c r="E856" s="898" t="s">
        <v>320</v>
      </c>
      <c r="F856" s="896" t="s">
        <v>2601</v>
      </c>
      <c r="G856" s="896" t="s">
        <v>2749</v>
      </c>
      <c r="H856" s="896" t="s">
        <v>347</v>
      </c>
      <c r="I856" s="896" t="s">
        <v>3118</v>
      </c>
      <c r="J856" s="896" t="s">
        <v>638</v>
      </c>
      <c r="K856" s="896" t="s">
        <v>698</v>
      </c>
      <c r="L856" s="898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93"/>
      <c r="C857" s="907"/>
      <c r="D857" s="899"/>
      <c r="E857" s="899"/>
      <c r="F857" s="897"/>
      <c r="G857" s="897"/>
      <c r="H857" s="897"/>
      <c r="I857" s="897"/>
      <c r="J857" s="897"/>
      <c r="K857" s="897"/>
      <c r="L857" s="899"/>
      <c r="M857" s="883"/>
      <c r="N857" s="148" t="s">
        <v>3120</v>
      </c>
    </row>
    <row r="858" spans="1:14" ht="16.5" customHeight="1" x14ac:dyDescent="0.3">
      <c r="A858" s="123">
        <v>30</v>
      </c>
      <c r="B858" s="893"/>
      <c r="C858" s="906" t="s">
        <v>3117</v>
      </c>
      <c r="D858" s="898" t="s">
        <v>311</v>
      </c>
      <c r="E858" s="898" t="s">
        <v>320</v>
      </c>
      <c r="F858" s="896" t="s">
        <v>709</v>
      </c>
      <c r="G858" s="149" t="s">
        <v>3121</v>
      </c>
      <c r="H858" s="896" t="s">
        <v>640</v>
      </c>
      <c r="I858" s="896" t="s">
        <v>3122</v>
      </c>
      <c r="J858" s="896"/>
      <c r="K858" s="896" t="s">
        <v>692</v>
      </c>
      <c r="L858" s="898" t="s">
        <v>309</v>
      </c>
      <c r="M858" s="882" t="s">
        <v>1535</v>
      </c>
      <c r="N858" s="898" t="s">
        <v>1772</v>
      </c>
    </row>
    <row r="859" spans="1:14" x14ac:dyDescent="0.3">
      <c r="A859" s="123">
        <v>30</v>
      </c>
      <c r="B859" s="893"/>
      <c r="C859" s="907"/>
      <c r="D859" s="899"/>
      <c r="E859" s="899"/>
      <c r="F859" s="897"/>
      <c r="G859" s="149">
        <v>2651</v>
      </c>
      <c r="H859" s="897"/>
      <c r="I859" s="897"/>
      <c r="J859" s="897"/>
      <c r="K859" s="897"/>
      <c r="L859" s="899"/>
      <c r="M859" s="883"/>
      <c r="N859" s="899"/>
    </row>
    <row r="860" spans="1:14" x14ac:dyDescent="0.3">
      <c r="A860" s="123">
        <v>30</v>
      </c>
      <c r="B860" s="893"/>
      <c r="C860" s="906" t="s">
        <v>3123</v>
      </c>
      <c r="D860" s="898" t="s">
        <v>311</v>
      </c>
      <c r="E860" s="898" t="s">
        <v>320</v>
      </c>
      <c r="F860" s="896" t="s">
        <v>720</v>
      </c>
      <c r="G860" s="896" t="s">
        <v>1756</v>
      </c>
      <c r="H860" s="896" t="s">
        <v>347</v>
      </c>
      <c r="I860" s="149" t="s">
        <v>3124</v>
      </c>
      <c r="J860" s="896"/>
      <c r="K860" s="896" t="s">
        <v>3126</v>
      </c>
      <c r="L860" s="898" t="s">
        <v>309</v>
      </c>
      <c r="M860" s="882" t="s">
        <v>1933</v>
      </c>
      <c r="N860" s="898" t="s">
        <v>1206</v>
      </c>
    </row>
    <row r="861" spans="1:14" x14ac:dyDescent="0.3">
      <c r="A861" s="123">
        <v>30</v>
      </c>
      <c r="B861" s="893"/>
      <c r="C861" s="907"/>
      <c r="D861" s="899"/>
      <c r="E861" s="899"/>
      <c r="F861" s="897"/>
      <c r="G861" s="897"/>
      <c r="H861" s="897"/>
      <c r="I861" s="149" t="s">
        <v>3125</v>
      </c>
      <c r="J861" s="897"/>
      <c r="K861" s="897"/>
      <c r="L861" s="899"/>
      <c r="M861" s="883"/>
      <c r="N861" s="899"/>
    </row>
    <row r="862" spans="1:14" x14ac:dyDescent="0.3">
      <c r="A862" s="123">
        <v>30</v>
      </c>
      <c r="B862" s="893"/>
      <c r="C862" s="111" t="s">
        <v>3127</v>
      </c>
      <c r="D862" s="898" t="s">
        <v>311</v>
      </c>
      <c r="E862" s="898" t="s">
        <v>320</v>
      </c>
      <c r="F862" s="896" t="s">
        <v>690</v>
      </c>
      <c r="G862" s="896" t="s">
        <v>3066</v>
      </c>
      <c r="H862" s="896" t="s">
        <v>354</v>
      </c>
      <c r="I862" s="896" t="s">
        <v>3129</v>
      </c>
      <c r="J862" s="896" t="s">
        <v>638</v>
      </c>
      <c r="K862" s="896" t="s">
        <v>655</v>
      </c>
      <c r="L862" s="898" t="s">
        <v>309</v>
      </c>
      <c r="M862" s="882" t="s">
        <v>1535</v>
      </c>
      <c r="N862" s="898" t="s">
        <v>1206</v>
      </c>
    </row>
    <row r="863" spans="1:14" x14ac:dyDescent="0.3">
      <c r="A863" s="123">
        <v>30</v>
      </c>
      <c r="B863" s="893"/>
      <c r="C863" s="111" t="s">
        <v>3128</v>
      </c>
      <c r="D863" s="899"/>
      <c r="E863" s="899"/>
      <c r="F863" s="897"/>
      <c r="G863" s="897"/>
      <c r="H863" s="897"/>
      <c r="I863" s="897"/>
      <c r="J863" s="897"/>
      <c r="K863" s="897"/>
      <c r="L863" s="899"/>
      <c r="M863" s="883"/>
      <c r="N863" s="899"/>
    </row>
    <row r="864" spans="1:14" x14ac:dyDescent="0.3">
      <c r="A864" s="123">
        <v>30</v>
      </c>
      <c r="B864" s="893"/>
      <c r="C864" s="111" t="s">
        <v>3130</v>
      </c>
      <c r="D864" s="898" t="s">
        <v>311</v>
      </c>
      <c r="E864" s="898" t="s">
        <v>320</v>
      </c>
      <c r="F864" s="896" t="s">
        <v>337</v>
      </c>
      <c r="G864" s="896" t="s">
        <v>3072</v>
      </c>
      <c r="H864" s="896" t="s">
        <v>354</v>
      </c>
      <c r="I864" s="896" t="s">
        <v>3131</v>
      </c>
      <c r="J864" s="896" t="s">
        <v>638</v>
      </c>
      <c r="K864" s="896" t="s">
        <v>713</v>
      </c>
      <c r="L864" s="898" t="s">
        <v>309</v>
      </c>
      <c r="M864" s="882" t="s">
        <v>1810</v>
      </c>
      <c r="N864" s="898" t="s">
        <v>1206</v>
      </c>
    </row>
    <row r="865" spans="1:14" x14ac:dyDescent="0.3">
      <c r="A865" s="123">
        <v>30</v>
      </c>
      <c r="B865" s="893"/>
      <c r="C865" s="111" t="s">
        <v>3107</v>
      </c>
      <c r="D865" s="899"/>
      <c r="E865" s="899"/>
      <c r="F865" s="897"/>
      <c r="G865" s="897"/>
      <c r="H865" s="897"/>
      <c r="I865" s="897"/>
      <c r="J865" s="897"/>
      <c r="K865" s="897"/>
      <c r="L865" s="899"/>
      <c r="M865" s="883"/>
      <c r="N865" s="899"/>
    </row>
    <row r="866" spans="1:14" ht="25.5" x14ac:dyDescent="0.3">
      <c r="A866" s="123">
        <v>30</v>
      </c>
      <c r="B866" s="89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3"/>
      <c r="C867" s="906" t="s">
        <v>3111</v>
      </c>
      <c r="D867" s="898" t="s">
        <v>311</v>
      </c>
      <c r="E867" s="898" t="s">
        <v>675</v>
      </c>
      <c r="F867" s="896" t="s">
        <v>660</v>
      </c>
      <c r="G867" s="896" t="s">
        <v>661</v>
      </c>
      <c r="H867" s="896" t="s">
        <v>662</v>
      </c>
      <c r="I867" s="149" t="s">
        <v>3134</v>
      </c>
      <c r="J867" s="896" t="s">
        <v>638</v>
      </c>
      <c r="K867" s="896" t="s">
        <v>731</v>
      </c>
      <c r="L867" s="898" t="s">
        <v>309</v>
      </c>
      <c r="M867" s="882" t="s">
        <v>1828</v>
      </c>
      <c r="N867" s="898" t="s">
        <v>3136</v>
      </c>
    </row>
    <row r="868" spans="1:14" x14ac:dyDescent="0.3">
      <c r="A868" s="123">
        <v>30</v>
      </c>
      <c r="B868" s="894"/>
      <c r="C868" s="907"/>
      <c r="D868" s="899"/>
      <c r="E868" s="899"/>
      <c r="F868" s="897"/>
      <c r="G868" s="897"/>
      <c r="H868" s="897"/>
      <c r="I868" s="149" t="s">
        <v>3135</v>
      </c>
      <c r="J868" s="897"/>
      <c r="K868" s="897"/>
      <c r="L868" s="899"/>
      <c r="M868" s="883"/>
      <c r="N868" s="899"/>
    </row>
    <row r="869" spans="1:14" x14ac:dyDescent="0.3">
      <c r="A869" s="123">
        <v>31</v>
      </c>
      <c r="B869" s="89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3"/>
      <c r="C870" s="148" t="s">
        <v>3140</v>
      </c>
      <c r="D870" s="898" t="s">
        <v>306</v>
      </c>
      <c r="E870" s="898" t="s">
        <v>322</v>
      </c>
      <c r="F870" s="898" t="s">
        <v>307</v>
      </c>
      <c r="G870" s="896">
        <v>1566</v>
      </c>
      <c r="H870" s="898" t="s">
        <v>1911</v>
      </c>
      <c r="I870" s="896" t="s">
        <v>3142</v>
      </c>
      <c r="J870" s="898" t="s">
        <v>664</v>
      </c>
      <c r="K870" s="898" t="s">
        <v>3143</v>
      </c>
      <c r="L870" s="898"/>
      <c r="M870" s="882" t="s">
        <v>3144</v>
      </c>
      <c r="N870" s="898" t="s">
        <v>665</v>
      </c>
    </row>
    <row r="871" spans="1:14" x14ac:dyDescent="0.3">
      <c r="A871" s="123">
        <v>31</v>
      </c>
      <c r="B871" s="893"/>
      <c r="C871" s="148" t="s">
        <v>3141</v>
      </c>
      <c r="D871" s="899"/>
      <c r="E871" s="899"/>
      <c r="F871" s="899"/>
      <c r="G871" s="897"/>
      <c r="H871" s="899"/>
      <c r="I871" s="897"/>
      <c r="J871" s="899"/>
      <c r="K871" s="899"/>
      <c r="L871" s="899"/>
      <c r="M871" s="883"/>
      <c r="N871" s="899"/>
    </row>
    <row r="872" spans="1:14" x14ac:dyDescent="0.3">
      <c r="A872" s="123">
        <v>31</v>
      </c>
      <c r="B872" s="89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3"/>
      <c r="C873" s="388" t="s">
        <v>3140</v>
      </c>
      <c r="D873" s="898" t="s">
        <v>306</v>
      </c>
      <c r="E873" s="898" t="s">
        <v>322</v>
      </c>
      <c r="F873" s="898" t="s">
        <v>307</v>
      </c>
      <c r="G873" s="896" t="s">
        <v>3147</v>
      </c>
      <c r="H873" s="898" t="s">
        <v>3148</v>
      </c>
      <c r="I873" s="896" t="s">
        <v>332</v>
      </c>
      <c r="J873" s="898" t="s">
        <v>1534</v>
      </c>
      <c r="K873" s="898" t="s">
        <v>1157</v>
      </c>
      <c r="L873" s="898"/>
      <c r="M873" s="882" t="s">
        <v>3149</v>
      </c>
      <c r="N873" s="898" t="s">
        <v>425</v>
      </c>
    </row>
    <row r="874" spans="1:14" x14ac:dyDescent="0.3">
      <c r="A874" s="123">
        <v>31</v>
      </c>
      <c r="B874" s="894"/>
      <c r="C874" s="388" t="s">
        <v>3146</v>
      </c>
      <c r="D874" s="899"/>
      <c r="E874" s="899"/>
      <c r="F874" s="899"/>
      <c r="G874" s="897"/>
      <c r="H874" s="899"/>
      <c r="I874" s="897"/>
      <c r="J874" s="899"/>
      <c r="K874" s="899"/>
      <c r="L874" s="899"/>
      <c r="M874" s="883"/>
      <c r="N874" s="899"/>
    </row>
    <row r="875" spans="1:14" x14ac:dyDescent="0.3">
      <c r="A875" s="123">
        <v>31</v>
      </c>
      <c r="B875" s="89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3"/>
      <c r="C876" s="898" t="s">
        <v>3128</v>
      </c>
      <c r="D876" s="898" t="s">
        <v>311</v>
      </c>
      <c r="E876" s="898" t="s">
        <v>675</v>
      </c>
      <c r="F876" s="896" t="s">
        <v>660</v>
      </c>
      <c r="G876" s="896" t="s">
        <v>661</v>
      </c>
      <c r="H876" s="896" t="s">
        <v>662</v>
      </c>
      <c r="I876" s="149" t="s">
        <v>3134</v>
      </c>
      <c r="J876" s="896"/>
      <c r="K876" s="896" t="s">
        <v>698</v>
      </c>
      <c r="L876" s="898" t="s">
        <v>309</v>
      </c>
      <c r="M876" s="882" t="s">
        <v>3139</v>
      </c>
      <c r="N876" s="898" t="s">
        <v>3152</v>
      </c>
    </row>
    <row r="877" spans="1:14" x14ac:dyDescent="0.3">
      <c r="A877" s="123">
        <v>31</v>
      </c>
      <c r="B877" s="893"/>
      <c r="C877" s="899"/>
      <c r="D877" s="899"/>
      <c r="E877" s="899"/>
      <c r="F877" s="897"/>
      <c r="G877" s="897"/>
      <c r="H877" s="897"/>
      <c r="I877" s="149" t="s">
        <v>3135</v>
      </c>
      <c r="J877" s="897"/>
      <c r="K877" s="897"/>
      <c r="L877" s="899"/>
      <c r="M877" s="883"/>
      <c r="N877" s="899"/>
    </row>
    <row r="878" spans="1:14" ht="16.5" customHeight="1" x14ac:dyDescent="0.3">
      <c r="A878" s="123">
        <v>31</v>
      </c>
      <c r="B878" s="893"/>
      <c r="C878" s="148" t="s">
        <v>3153</v>
      </c>
      <c r="D878" s="898" t="s">
        <v>311</v>
      </c>
      <c r="E878" s="898" t="s">
        <v>320</v>
      </c>
      <c r="F878" s="896" t="s">
        <v>3068</v>
      </c>
      <c r="G878" s="896" t="s">
        <v>1919</v>
      </c>
      <c r="H878" s="896" t="s">
        <v>3069</v>
      </c>
      <c r="I878" s="896" t="s">
        <v>3154</v>
      </c>
      <c r="J878" s="896"/>
      <c r="K878" s="896" t="s">
        <v>3155</v>
      </c>
      <c r="L878" s="898" t="s">
        <v>309</v>
      </c>
      <c r="M878" s="882" t="s">
        <v>3156</v>
      </c>
      <c r="N878" s="898" t="s">
        <v>3151</v>
      </c>
    </row>
    <row r="879" spans="1:14" x14ac:dyDescent="0.3">
      <c r="A879" s="123">
        <v>31</v>
      </c>
      <c r="B879" s="893"/>
      <c r="C879" s="148" t="s">
        <v>3111</v>
      </c>
      <c r="D879" s="899"/>
      <c r="E879" s="899"/>
      <c r="F879" s="897"/>
      <c r="G879" s="897"/>
      <c r="H879" s="897"/>
      <c r="I879" s="897"/>
      <c r="J879" s="897"/>
      <c r="K879" s="897"/>
      <c r="L879" s="899"/>
      <c r="M879" s="883"/>
      <c r="N879" s="899"/>
    </row>
    <row r="880" spans="1:14" x14ac:dyDescent="0.3">
      <c r="A880" s="123">
        <v>31</v>
      </c>
      <c r="B880" s="89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3"/>
      <c r="C883" s="111" t="s">
        <v>3166</v>
      </c>
      <c r="D883" s="898" t="s">
        <v>311</v>
      </c>
      <c r="E883" s="898" t="s">
        <v>320</v>
      </c>
      <c r="F883" s="896" t="s">
        <v>337</v>
      </c>
      <c r="G883" s="896" t="s">
        <v>3168</v>
      </c>
      <c r="H883" s="896" t="s">
        <v>3169</v>
      </c>
      <c r="I883" s="896" t="s">
        <v>3170</v>
      </c>
      <c r="J883" s="896" t="s">
        <v>3171</v>
      </c>
      <c r="K883" s="896" t="s">
        <v>3172</v>
      </c>
      <c r="L883" s="898" t="s">
        <v>309</v>
      </c>
      <c r="M883" s="882" t="s">
        <v>3173</v>
      </c>
      <c r="N883" s="898" t="s">
        <v>3136</v>
      </c>
    </row>
    <row r="884" spans="1:14" x14ac:dyDescent="0.3">
      <c r="A884" s="123">
        <v>31</v>
      </c>
      <c r="B884" s="894"/>
      <c r="C884" s="111" t="s">
        <v>3167</v>
      </c>
      <c r="D884" s="899"/>
      <c r="E884" s="899"/>
      <c r="F884" s="897"/>
      <c r="G884" s="897"/>
      <c r="H884" s="897"/>
      <c r="I884" s="897"/>
      <c r="J884" s="897"/>
      <c r="K884" s="897"/>
      <c r="L884" s="899"/>
      <c r="M884" s="883"/>
      <c r="N884" s="899"/>
    </row>
    <row r="885" spans="1:14" ht="27" x14ac:dyDescent="0.3">
      <c r="A885" s="123">
        <v>32</v>
      </c>
      <c r="B885" s="8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8"/>
      <c r="C1208" s="879" t="s">
        <v>5007</v>
      </c>
      <c r="D1208" s="880" t="s">
        <v>311</v>
      </c>
      <c r="E1208" s="880" t="s">
        <v>675</v>
      </c>
      <c r="F1208" s="879" t="s">
        <v>337</v>
      </c>
      <c r="G1208" s="879" t="s">
        <v>353</v>
      </c>
      <c r="H1208" s="879" t="s">
        <v>5008</v>
      </c>
      <c r="I1208" s="476" t="s">
        <v>5009</v>
      </c>
      <c r="J1208" s="879" t="s">
        <v>638</v>
      </c>
      <c r="K1208" s="879" t="s">
        <v>713</v>
      </c>
      <c r="L1208" s="880" t="s">
        <v>309</v>
      </c>
      <c r="M1208" s="881">
        <v>250000</v>
      </c>
      <c r="N1208" s="880" t="s">
        <v>4990</v>
      </c>
    </row>
    <row r="1209" spans="1:14" x14ac:dyDescent="0.3">
      <c r="A1209" s="123">
        <v>2</v>
      </c>
      <c r="B1209" s="878"/>
      <c r="C1209" s="879"/>
      <c r="D1209" s="880"/>
      <c r="E1209" s="880"/>
      <c r="F1209" s="879"/>
      <c r="G1209" s="879"/>
      <c r="H1209" s="879"/>
      <c r="I1209" s="476" t="s">
        <v>5010</v>
      </c>
      <c r="J1209" s="879"/>
      <c r="K1209" s="879"/>
      <c r="L1209" s="880"/>
      <c r="M1209" s="881"/>
      <c r="N1209" s="880"/>
    </row>
    <row r="1210" spans="1:14" x14ac:dyDescent="0.3">
      <c r="A1210" s="123">
        <v>2</v>
      </c>
      <c r="B1210" s="87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8"/>
      <c r="C1222" s="879" t="s">
        <v>5033</v>
      </c>
      <c r="D1222" s="880" t="s">
        <v>311</v>
      </c>
      <c r="E1222" s="880" t="s">
        <v>675</v>
      </c>
      <c r="F1222" s="149" t="s">
        <v>5034</v>
      </c>
      <c r="G1222" s="149" t="s">
        <v>5036</v>
      </c>
      <c r="H1222" s="879" t="s">
        <v>347</v>
      </c>
      <c r="I1222" s="149" t="s">
        <v>5038</v>
      </c>
      <c r="J1222" s="879"/>
      <c r="K1222" s="879" t="s">
        <v>705</v>
      </c>
      <c r="L1222" s="880" t="s">
        <v>309</v>
      </c>
      <c r="M1222" s="881">
        <v>500000</v>
      </c>
      <c r="N1222" s="880" t="s">
        <v>5032</v>
      </c>
    </row>
    <row r="1223" spans="1:14" x14ac:dyDescent="0.3">
      <c r="A1223" s="123">
        <v>3</v>
      </c>
      <c r="B1223" s="878"/>
      <c r="C1223" s="879"/>
      <c r="D1223" s="880"/>
      <c r="E1223" s="880"/>
      <c r="F1223" s="149" t="s">
        <v>5035</v>
      </c>
      <c r="G1223" s="149" t="s">
        <v>5037</v>
      </c>
      <c r="H1223" s="879"/>
      <c r="I1223" s="149" t="s">
        <v>5039</v>
      </c>
      <c r="J1223" s="879"/>
      <c r="K1223" s="879"/>
      <c r="L1223" s="880"/>
      <c r="M1223" s="881"/>
      <c r="N1223" s="880"/>
    </row>
    <row r="1224" spans="1:14" x14ac:dyDescent="0.3">
      <c r="A1224" s="123">
        <v>3</v>
      </c>
      <c r="B1224" s="87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8"/>
      <c r="C1250" s="879" t="s">
        <v>5098</v>
      </c>
      <c r="D1250" s="880" t="s">
        <v>311</v>
      </c>
      <c r="E1250" s="880" t="s">
        <v>675</v>
      </c>
      <c r="F1250" s="880" t="s">
        <v>4986</v>
      </c>
      <c r="G1250" s="880">
        <v>1017</v>
      </c>
      <c r="H1250" s="880" t="s">
        <v>347</v>
      </c>
      <c r="I1250" s="149" t="s">
        <v>5099</v>
      </c>
      <c r="J1250" s="879"/>
      <c r="K1250" s="879" t="s">
        <v>692</v>
      </c>
      <c r="L1250" s="880" t="s">
        <v>309</v>
      </c>
      <c r="M1250" s="881">
        <v>500000</v>
      </c>
      <c r="N1250" s="880" t="s">
        <v>5032</v>
      </c>
    </row>
    <row r="1251" spans="1:14" x14ac:dyDescent="0.3">
      <c r="A1251" s="123">
        <v>5</v>
      </c>
      <c r="B1251" s="878"/>
      <c r="C1251" s="879"/>
      <c r="D1251" s="880"/>
      <c r="E1251" s="880"/>
      <c r="F1251" s="880"/>
      <c r="G1251" s="880"/>
      <c r="H1251" s="880"/>
      <c r="I1251" s="149" t="s">
        <v>5100</v>
      </c>
      <c r="J1251" s="879"/>
      <c r="K1251" s="879"/>
      <c r="L1251" s="880"/>
      <c r="M1251" s="881"/>
      <c r="N1251" s="880"/>
    </row>
    <row r="1252" spans="1:14" x14ac:dyDescent="0.3">
      <c r="A1252" s="123">
        <v>5</v>
      </c>
      <c r="B1252" s="87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8"/>
      <c r="C1254" s="879" t="s">
        <v>5103</v>
      </c>
      <c r="D1254" s="880" t="s">
        <v>311</v>
      </c>
      <c r="E1254" s="880" t="s">
        <v>675</v>
      </c>
      <c r="F1254" s="879" t="s">
        <v>5070</v>
      </c>
      <c r="G1254" s="879">
        <v>3006</v>
      </c>
      <c r="H1254" s="879" t="s">
        <v>347</v>
      </c>
      <c r="I1254" s="476" t="s">
        <v>5104</v>
      </c>
      <c r="J1254" s="879"/>
      <c r="K1254" s="879" t="s">
        <v>705</v>
      </c>
      <c r="L1254" s="880" t="s">
        <v>309</v>
      </c>
      <c r="M1254" s="881">
        <v>500000</v>
      </c>
      <c r="N1254" s="880" t="s">
        <v>5032</v>
      </c>
    </row>
    <row r="1255" spans="1:14" x14ac:dyDescent="0.3">
      <c r="A1255" s="123">
        <v>5</v>
      </c>
      <c r="B1255" s="878"/>
      <c r="C1255" s="879"/>
      <c r="D1255" s="880"/>
      <c r="E1255" s="880"/>
      <c r="F1255" s="879"/>
      <c r="G1255" s="879"/>
      <c r="H1255" s="879"/>
      <c r="I1255" s="476" t="s">
        <v>5105</v>
      </c>
      <c r="J1255" s="879"/>
      <c r="K1255" s="879"/>
      <c r="L1255" s="880"/>
      <c r="M1255" s="881"/>
      <c r="N1255" s="880"/>
    </row>
    <row r="1256" spans="1:14" x14ac:dyDescent="0.3">
      <c r="A1256" s="123">
        <v>5</v>
      </c>
      <c r="B1256" s="878"/>
      <c r="C1256" s="879" t="s">
        <v>5103</v>
      </c>
      <c r="D1256" s="880" t="s">
        <v>311</v>
      </c>
      <c r="E1256" s="880" t="s">
        <v>675</v>
      </c>
      <c r="F1256" s="879" t="s">
        <v>5070</v>
      </c>
      <c r="G1256" s="879">
        <v>3006</v>
      </c>
      <c r="H1256" s="879" t="s">
        <v>347</v>
      </c>
      <c r="I1256" s="476" t="s">
        <v>5104</v>
      </c>
      <c r="J1256" s="879"/>
      <c r="K1256" s="879" t="s">
        <v>4936</v>
      </c>
      <c r="L1256" s="880" t="s">
        <v>309</v>
      </c>
      <c r="M1256" s="881">
        <v>600000</v>
      </c>
      <c r="N1256" s="880" t="s">
        <v>5032</v>
      </c>
    </row>
    <row r="1257" spans="1:14" x14ac:dyDescent="0.3">
      <c r="A1257" s="123">
        <v>5</v>
      </c>
      <c r="B1257" s="878"/>
      <c r="C1257" s="879"/>
      <c r="D1257" s="880"/>
      <c r="E1257" s="880"/>
      <c r="F1257" s="879"/>
      <c r="G1257" s="879"/>
      <c r="H1257" s="879"/>
      <c r="I1257" s="476" t="s">
        <v>5105</v>
      </c>
      <c r="J1257" s="879"/>
      <c r="K1257" s="879"/>
      <c r="L1257" s="880"/>
      <c r="M1257" s="881"/>
      <c r="N1257" s="880"/>
    </row>
    <row r="1258" spans="1:14" x14ac:dyDescent="0.3">
      <c r="A1258" s="123">
        <v>5</v>
      </c>
      <c r="B1258" s="87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8"/>
      <c r="C1268" s="879" t="s">
        <v>5122</v>
      </c>
      <c r="D1268" s="880" t="s">
        <v>311</v>
      </c>
      <c r="E1268" s="880" t="s">
        <v>675</v>
      </c>
      <c r="F1268" s="149" t="s">
        <v>5123</v>
      </c>
      <c r="G1268" s="475" t="s">
        <v>5125</v>
      </c>
      <c r="H1268" s="389" t="s">
        <v>347</v>
      </c>
      <c r="I1268" s="879" t="s">
        <v>5128</v>
      </c>
      <c r="J1268" s="879" t="s">
        <v>638</v>
      </c>
      <c r="K1268" s="879" t="s">
        <v>692</v>
      </c>
      <c r="L1268" s="880" t="s">
        <v>309</v>
      </c>
      <c r="M1268" s="881">
        <v>500000</v>
      </c>
      <c r="N1268" s="880" t="s">
        <v>1772</v>
      </c>
    </row>
    <row r="1269" spans="1:14" x14ac:dyDescent="0.3">
      <c r="A1269" s="123">
        <v>6</v>
      </c>
      <c r="B1269" s="878"/>
      <c r="C1269" s="879"/>
      <c r="D1269" s="880"/>
      <c r="E1269" s="880"/>
      <c r="F1269" s="149" t="s">
        <v>5124</v>
      </c>
      <c r="G1269" s="475" t="s">
        <v>5126</v>
      </c>
      <c r="H1269" s="389" t="s">
        <v>5127</v>
      </c>
      <c r="I1269" s="879"/>
      <c r="J1269" s="879"/>
      <c r="K1269" s="879"/>
      <c r="L1269" s="880"/>
      <c r="M1269" s="881"/>
      <c r="N1269" s="880"/>
    </row>
    <row r="1270" spans="1:14" ht="24" x14ac:dyDescent="0.3">
      <c r="A1270" s="123">
        <v>6</v>
      </c>
      <c r="B1270" s="87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8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880" t="s">
        <v>5032</v>
      </c>
    </row>
    <row r="1290" spans="1:14" ht="19.5" x14ac:dyDescent="0.3">
      <c r="A1290" s="123">
        <v>8</v>
      </c>
      <c r="B1290" s="878"/>
      <c r="C1290" s="879"/>
      <c r="D1290" s="880"/>
      <c r="E1290" s="880"/>
      <c r="F1290" s="149" t="s">
        <v>5124</v>
      </c>
      <c r="G1290" s="475" t="s">
        <v>5126</v>
      </c>
      <c r="H1290" s="477" t="s">
        <v>5127</v>
      </c>
      <c r="I1290" s="879"/>
      <c r="J1290" s="879"/>
      <c r="K1290" s="879"/>
      <c r="L1290" s="880"/>
      <c r="M1290" s="881"/>
      <c r="N1290" s="880"/>
    </row>
    <row r="1291" spans="1:14" x14ac:dyDescent="0.3">
      <c r="A1291" s="123">
        <v>8</v>
      </c>
      <c r="B1291" s="878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880" t="s">
        <v>5032</v>
      </c>
    </row>
    <row r="1292" spans="1:14" x14ac:dyDescent="0.3">
      <c r="A1292" s="123">
        <v>8</v>
      </c>
      <c r="B1292" s="878"/>
      <c r="C1292" s="879"/>
      <c r="D1292" s="880"/>
      <c r="E1292" s="880"/>
      <c r="F1292" s="1035"/>
      <c r="G1292" s="879"/>
      <c r="H1292" s="879"/>
      <c r="I1292" s="149" t="s">
        <v>5160</v>
      </c>
      <c r="J1292" s="879"/>
      <c r="K1292" s="879"/>
      <c r="L1292" s="880"/>
      <c r="M1292" s="881"/>
      <c r="N1292" s="880"/>
    </row>
    <row r="1293" spans="1:14" x14ac:dyDescent="0.3">
      <c r="A1293" s="123">
        <v>8</v>
      </c>
      <c r="B1293" s="878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880" t="s">
        <v>1206</v>
      </c>
    </row>
    <row r="1294" spans="1:14" x14ac:dyDescent="0.3">
      <c r="A1294" s="123">
        <v>8</v>
      </c>
      <c r="B1294" s="878"/>
      <c r="C1294" s="879"/>
      <c r="D1294" s="880"/>
      <c r="E1294" s="880"/>
      <c r="F1294" s="879"/>
      <c r="G1294" s="879"/>
      <c r="H1294" s="879"/>
      <c r="I1294" s="149" t="s">
        <v>5162</v>
      </c>
      <c r="J1294" s="879"/>
      <c r="K1294" s="879"/>
      <c r="L1294" s="880"/>
      <c r="M1294" s="881"/>
      <c r="N1294" s="880"/>
    </row>
    <row r="1295" spans="1:14" x14ac:dyDescent="0.3">
      <c r="A1295" s="123">
        <v>9</v>
      </c>
      <c r="B1295" s="87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8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880" t="s">
        <v>5032</v>
      </c>
    </row>
    <row r="1305" spans="1:14" x14ac:dyDescent="0.3">
      <c r="A1305" s="123">
        <v>9</v>
      </c>
      <c r="B1305" s="878"/>
      <c r="C1305" s="879"/>
      <c r="D1305" s="880"/>
      <c r="E1305" s="880"/>
      <c r="F1305" s="879"/>
      <c r="G1305" s="879"/>
      <c r="H1305" s="879"/>
      <c r="I1305" s="476" t="s">
        <v>5177</v>
      </c>
      <c r="J1305" s="879"/>
      <c r="K1305" s="879"/>
      <c r="L1305" s="880"/>
      <c r="M1305" s="881"/>
      <c r="N1305" s="880"/>
    </row>
    <row r="1306" spans="1:14" x14ac:dyDescent="0.3">
      <c r="A1306" s="123">
        <v>9</v>
      </c>
      <c r="B1306" s="878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880" t="s">
        <v>5032</v>
      </c>
    </row>
    <row r="1307" spans="1:14" x14ac:dyDescent="0.3">
      <c r="A1307" s="123">
        <v>9</v>
      </c>
      <c r="B1307" s="878"/>
      <c r="C1307" s="879"/>
      <c r="D1307" s="880"/>
      <c r="E1307" s="880"/>
      <c r="F1307" s="879"/>
      <c r="G1307" s="149" t="s">
        <v>5179</v>
      </c>
      <c r="H1307" s="879"/>
      <c r="I1307" s="149" t="s">
        <v>5181</v>
      </c>
      <c r="J1307" s="879"/>
      <c r="K1307" s="879"/>
      <c r="L1307" s="880"/>
      <c r="M1307" s="881"/>
      <c r="N1307" s="880"/>
    </row>
    <row r="1308" spans="1:14" x14ac:dyDescent="0.3">
      <c r="A1308" s="123">
        <v>9</v>
      </c>
      <c r="B1308" s="87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8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880" t="s">
        <v>5032</v>
      </c>
    </row>
    <row r="1310" spans="1:14" x14ac:dyDescent="0.3">
      <c r="A1310" s="123">
        <v>9</v>
      </c>
      <c r="B1310" s="878"/>
      <c r="C1310" s="879"/>
      <c r="D1310" s="880"/>
      <c r="E1310" s="880"/>
      <c r="F1310" s="879"/>
      <c r="G1310" s="149" t="s">
        <v>5184</v>
      </c>
      <c r="H1310" s="879"/>
      <c r="I1310" s="879"/>
      <c r="J1310" s="879"/>
      <c r="K1310" s="879"/>
      <c r="L1310" s="880"/>
      <c r="M1310" s="881"/>
      <c r="N1310" s="880"/>
    </row>
    <row r="1311" spans="1:14" ht="24" x14ac:dyDescent="0.3">
      <c r="A1311" s="123">
        <v>9</v>
      </c>
      <c r="B1311" s="87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8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880" t="s">
        <v>1925</v>
      </c>
    </row>
    <row r="1313" spans="1:14" x14ac:dyDescent="0.3">
      <c r="A1313" s="123">
        <v>9</v>
      </c>
      <c r="B1313" s="878"/>
      <c r="C1313" s="879"/>
      <c r="D1313" s="880"/>
      <c r="E1313" s="880"/>
      <c r="F1313" s="879"/>
      <c r="G1313" s="475" t="s">
        <v>5189</v>
      </c>
      <c r="H1313" s="879"/>
      <c r="I1313" s="879"/>
      <c r="J1313" s="879"/>
      <c r="K1313" s="879"/>
      <c r="L1313" s="880"/>
      <c r="M1313" s="1037"/>
      <c r="N1313" s="880"/>
    </row>
    <row r="1314" spans="1:14" x14ac:dyDescent="0.3">
      <c r="A1314" s="123">
        <v>10</v>
      </c>
      <c r="B1314" s="87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8"/>
      <c r="C1321" s="879" t="s">
        <v>5201</v>
      </c>
      <c r="D1321" s="880" t="s">
        <v>311</v>
      </c>
      <c r="E1321" s="880" t="s">
        <v>320</v>
      </c>
      <c r="F1321" s="879" t="s">
        <v>337</v>
      </c>
      <c r="G1321" s="879" t="s">
        <v>3168</v>
      </c>
      <c r="H1321" s="879" t="s">
        <v>3057</v>
      </c>
      <c r="I1321" s="476" t="s">
        <v>5176</v>
      </c>
      <c r="J1321" s="879" t="s">
        <v>638</v>
      </c>
      <c r="K1321" s="879" t="s">
        <v>705</v>
      </c>
      <c r="L1321" s="880" t="s">
        <v>309</v>
      </c>
      <c r="M1321" s="881">
        <v>500000</v>
      </c>
      <c r="N1321" s="880" t="s">
        <v>1206</v>
      </c>
    </row>
    <row r="1322" spans="1:14" x14ac:dyDescent="0.3">
      <c r="A1322" s="123">
        <v>10</v>
      </c>
      <c r="B1322" s="878"/>
      <c r="C1322" s="879"/>
      <c r="D1322" s="880"/>
      <c r="E1322" s="880"/>
      <c r="F1322" s="879"/>
      <c r="G1322" s="879"/>
      <c r="H1322" s="879"/>
      <c r="I1322" s="476" t="s">
        <v>5177</v>
      </c>
      <c r="J1322" s="879"/>
      <c r="K1322" s="879"/>
      <c r="L1322" s="880"/>
      <c r="M1322" s="881"/>
      <c r="N1322" s="880"/>
    </row>
    <row r="1323" spans="1:14" x14ac:dyDescent="0.3">
      <c r="A1323" s="123">
        <v>10</v>
      </c>
      <c r="B1323" s="87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8"/>
      <c r="C1326" s="879" t="s">
        <v>5202</v>
      </c>
      <c r="D1326" s="880" t="s">
        <v>311</v>
      </c>
      <c r="E1326" s="880" t="s">
        <v>320</v>
      </c>
      <c r="F1326" s="879" t="s">
        <v>337</v>
      </c>
      <c r="G1326" s="879" t="s">
        <v>3168</v>
      </c>
      <c r="H1326" s="879" t="s">
        <v>3057</v>
      </c>
      <c r="I1326" s="476" t="s">
        <v>5176</v>
      </c>
      <c r="J1326" s="879"/>
      <c r="K1326" s="879" t="s">
        <v>705</v>
      </c>
      <c r="L1326" s="880" t="s">
        <v>309</v>
      </c>
      <c r="M1326" s="881">
        <v>500000</v>
      </c>
      <c r="N1326" s="880" t="s">
        <v>1206</v>
      </c>
    </row>
    <row r="1327" spans="1:14" x14ac:dyDescent="0.3">
      <c r="A1327" s="123">
        <v>10</v>
      </c>
      <c r="B1327" s="878"/>
      <c r="C1327" s="879"/>
      <c r="D1327" s="880"/>
      <c r="E1327" s="880"/>
      <c r="F1327" s="879"/>
      <c r="G1327" s="879"/>
      <c r="H1327" s="879"/>
      <c r="I1327" s="476" t="s">
        <v>5177</v>
      </c>
      <c r="J1327" s="879"/>
      <c r="K1327" s="879"/>
      <c r="L1327" s="880"/>
      <c r="M1327" s="881"/>
      <c r="N1327" s="880"/>
    </row>
    <row r="1328" spans="1:14" ht="25.5" x14ac:dyDescent="0.3">
      <c r="A1328" s="123">
        <v>10</v>
      </c>
      <c r="B1328" s="87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8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880" t="s">
        <v>5032</v>
      </c>
    </row>
    <row r="1330" spans="1:14" x14ac:dyDescent="0.3">
      <c r="A1330" s="123">
        <v>10</v>
      </c>
      <c r="B1330" s="878"/>
      <c r="C1330" s="879"/>
      <c r="D1330" s="880"/>
      <c r="E1330" s="880"/>
      <c r="F1330" s="149" t="s">
        <v>5211</v>
      </c>
      <c r="G1330" s="879"/>
      <c r="H1330" s="879"/>
      <c r="I1330" s="879"/>
      <c r="J1330" s="879"/>
      <c r="K1330" s="879"/>
      <c r="L1330" s="880"/>
      <c r="M1330" s="881"/>
      <c r="N1330" s="880"/>
    </row>
    <row r="1331" spans="1:14" x14ac:dyDescent="0.3">
      <c r="A1331" s="123">
        <v>10</v>
      </c>
      <c r="B1331" s="878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880" t="s">
        <v>5032</v>
      </c>
    </row>
    <row r="1332" spans="1:14" x14ac:dyDescent="0.3">
      <c r="A1332" s="123">
        <v>10</v>
      </c>
      <c r="B1332" s="878"/>
      <c r="C1332" s="879"/>
      <c r="D1332" s="880"/>
      <c r="E1332" s="880"/>
      <c r="F1332" s="879"/>
      <c r="G1332" s="475" t="s">
        <v>5215</v>
      </c>
      <c r="H1332" s="1043"/>
      <c r="I1332" s="149" t="s">
        <v>5217</v>
      </c>
      <c r="J1332" s="879"/>
      <c r="K1332" s="879"/>
      <c r="L1332" s="880"/>
      <c r="M1332" s="881"/>
      <c r="N1332" s="880"/>
    </row>
    <row r="1333" spans="1:14" x14ac:dyDescent="0.3">
      <c r="A1333" s="123">
        <v>11</v>
      </c>
      <c r="B1333" s="87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8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 x14ac:dyDescent="0.3">
      <c r="A1340" s="123">
        <v>11</v>
      </c>
      <c r="B1340" s="878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 x14ac:dyDescent="0.3">
      <c r="A1341" s="123">
        <v>11</v>
      </c>
      <c r="B1341" s="87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40" t="s">
        <v>5443</v>
      </c>
    </row>
    <row r="1370" spans="1:14" x14ac:dyDescent="0.3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40"/>
    </row>
    <row r="1371" spans="1:14" x14ac:dyDescent="0.3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3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5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84"/>
    </row>
    <row r="1440" spans="1:14" x14ac:dyDescent="0.3">
      <c r="A1440" s="694">
        <v>20</v>
      </c>
      <c r="B1440" s="893"/>
      <c r="C1440" s="870"/>
      <c r="D1440" s="871"/>
      <c r="E1440" s="871"/>
      <c r="F1440" s="872"/>
      <c r="G1440" s="658" t="s">
        <v>5189</v>
      </c>
      <c r="H1440" s="872"/>
      <c r="I1440" s="872"/>
      <c r="J1440" s="872"/>
      <c r="K1440" s="872"/>
      <c r="L1440" s="871"/>
      <c r="M1440" s="873"/>
      <c r="N1440" s="884"/>
    </row>
    <row r="1441" spans="1:14" ht="24" x14ac:dyDescent="0.3">
      <c r="A1441" s="694">
        <v>20</v>
      </c>
      <c r="B1441" s="89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5" t="s">
        <v>5942</v>
      </c>
    </row>
    <row r="1454" spans="1:14" x14ac:dyDescent="0.3">
      <c r="A1454" s="696">
        <v>22</v>
      </c>
      <c r="B1454" s="8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6"/>
    </row>
    <row r="1455" spans="1:14" x14ac:dyDescent="0.3">
      <c r="A1455" s="696">
        <v>22</v>
      </c>
      <c r="B1455" s="8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8" t="s">
        <v>3274</v>
      </c>
      <c r="K1459" s="888" t="s">
        <v>3454</v>
      </c>
      <c r="L1459" s="646" t="s">
        <v>3265</v>
      </c>
      <c r="M1459" s="853">
        <v>250000</v>
      </c>
      <c r="N1459" s="693" t="s">
        <v>5964</v>
      </c>
    </row>
    <row r="1460" spans="1:14" x14ac:dyDescent="0.3">
      <c r="A1460" s="696">
        <v>22</v>
      </c>
      <c r="B1460" s="8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9"/>
      <c r="K1460" s="889"/>
      <c r="L1460" s="646" t="s">
        <v>3265</v>
      </c>
      <c r="M1460" s="854"/>
      <c r="N1460" s="693" t="s">
        <v>5965</v>
      </c>
    </row>
    <row r="1461" spans="1:14" x14ac:dyDescent="0.3">
      <c r="A1461" s="696">
        <v>22</v>
      </c>
      <c r="B1461" s="8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90" t="s">
        <v>5920</v>
      </c>
      <c r="L1464" s="646" t="s">
        <v>15</v>
      </c>
      <c r="M1464" s="853">
        <v>500000</v>
      </c>
      <c r="N1464" s="693" t="s">
        <v>5969</v>
      </c>
    </row>
    <row r="1465" spans="1:14" x14ac:dyDescent="0.3">
      <c r="A1465" s="696">
        <v>22</v>
      </c>
      <c r="B1465" s="88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91"/>
      <c r="L1465" s="646" t="s">
        <v>15</v>
      </c>
      <c r="M1465" s="854"/>
      <c r="N1465" s="693" t="s">
        <v>5970</v>
      </c>
    </row>
    <row r="1466" spans="1:14" x14ac:dyDescent="0.3">
      <c r="A1466" s="694">
        <v>23</v>
      </c>
      <c r="B1466" s="8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46"/>
    </row>
    <row r="1475" spans="1:14" ht="27" x14ac:dyDescent="0.3">
      <c r="A1475" s="694">
        <v>23</v>
      </c>
      <c r="B1475" s="8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4"/>
      <c r="K1475" s="864"/>
      <c r="L1475" s="136" t="s">
        <v>15</v>
      </c>
      <c r="M1475" s="865"/>
      <c r="N1475" s="646"/>
    </row>
    <row r="1476" spans="1:14" x14ac:dyDescent="0.3">
      <c r="A1476" s="694">
        <v>23</v>
      </c>
      <c r="B1476" s="8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6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6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6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5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5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5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5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5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5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8" t="s">
        <v>6410</v>
      </c>
      <c r="L1553" s="632" t="s">
        <v>6349</v>
      </c>
      <c r="M1553" s="853">
        <v>250000</v>
      </c>
      <c r="N1553" s="693" t="s">
        <v>6437</v>
      </c>
    </row>
    <row r="1554" spans="1:14" x14ac:dyDescent="0.3">
      <c r="A1554" s="696">
        <v>27</v>
      </c>
      <c r="B1554" s="8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9"/>
      <c r="L1554" s="632" t="s">
        <v>15</v>
      </c>
      <c r="M1554" s="854"/>
      <c r="N1554" s="693" t="s">
        <v>6438</v>
      </c>
    </row>
    <row r="1555" spans="1:14" x14ac:dyDescent="0.3">
      <c r="A1555" s="696">
        <v>27</v>
      </c>
      <c r="B1555" s="8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6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6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51" t="s">
        <v>686</v>
      </c>
      <c r="L1563" s="125" t="s">
        <v>15</v>
      </c>
      <c r="M1563" s="853">
        <v>250000</v>
      </c>
      <c r="N1563" s="693" t="s">
        <v>393</v>
      </c>
    </row>
    <row r="1564" spans="1:14" x14ac:dyDescent="0.3">
      <c r="A1564" s="694">
        <v>28</v>
      </c>
      <c r="B1564" s="86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6"/>
      <c r="L1564" s="125" t="s">
        <v>15</v>
      </c>
      <c r="M1564" s="867"/>
      <c r="N1564" s="693" t="s">
        <v>128</v>
      </c>
    </row>
    <row r="1565" spans="1:14" ht="27" x14ac:dyDescent="0.3">
      <c r="A1565" s="694">
        <v>28</v>
      </c>
      <c r="B1565" s="86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2"/>
      <c r="L1565" s="125" t="s">
        <v>15</v>
      </c>
      <c r="M1565" s="854"/>
      <c r="N1565" s="693" t="s">
        <v>393</v>
      </c>
    </row>
    <row r="1566" spans="1:14" x14ac:dyDescent="0.3">
      <c r="A1566" s="694">
        <v>28</v>
      </c>
      <c r="B1566" s="86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51" t="s">
        <v>1113</v>
      </c>
      <c r="L1571" s="125" t="s">
        <v>15</v>
      </c>
      <c r="M1571" s="853">
        <v>750000</v>
      </c>
      <c r="N1571" s="857" t="s">
        <v>6608</v>
      </c>
    </row>
    <row r="1572" spans="1:14" x14ac:dyDescent="0.3">
      <c r="A1572" s="694">
        <v>29</v>
      </c>
      <c r="B1572" s="8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2"/>
      <c r="L1572" s="125" t="s">
        <v>15</v>
      </c>
      <c r="M1572" s="854"/>
      <c r="N1572" s="858"/>
    </row>
    <row r="1573" spans="1:14" ht="27" x14ac:dyDescent="0.3">
      <c r="A1573" s="694">
        <v>29</v>
      </c>
      <c r="B1573" s="8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9" t="s">
        <v>41</v>
      </c>
      <c r="L1576" s="136" t="s">
        <v>15</v>
      </c>
      <c r="M1576" s="853">
        <v>250000</v>
      </c>
      <c r="N1576" s="646" t="s">
        <v>6615</v>
      </c>
    </row>
    <row r="1577" spans="1:14" x14ac:dyDescent="0.3">
      <c r="A1577" s="694">
        <v>29</v>
      </c>
      <c r="B1577" s="8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60"/>
      <c r="L1577" s="136" t="s">
        <v>15</v>
      </c>
      <c r="M1577" s="854"/>
      <c r="N1577" s="646" t="s">
        <v>6616</v>
      </c>
    </row>
    <row r="1578" spans="1:14" x14ac:dyDescent="0.3">
      <c r="A1578" s="694">
        <v>29</v>
      </c>
      <c r="B1578" s="8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51" t="s">
        <v>686</v>
      </c>
      <c r="L1581" s="125" t="s">
        <v>15</v>
      </c>
      <c r="M1581" s="853">
        <v>250000</v>
      </c>
      <c r="N1581" s="646" t="s">
        <v>6737</v>
      </c>
    </row>
    <row r="1582" spans="1:14" x14ac:dyDescent="0.3">
      <c r="A1582" s="694">
        <v>29</v>
      </c>
      <c r="B1582" s="8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2"/>
      <c r="L1582" s="125" t="s">
        <v>15</v>
      </c>
      <c r="M1582" s="854"/>
      <c r="N1582" s="646" t="s">
        <v>6620</v>
      </c>
    </row>
    <row r="1583" spans="1:14" x14ac:dyDescent="0.3">
      <c r="A1583" s="694">
        <v>29</v>
      </c>
      <c r="B1583" s="8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51" t="s">
        <v>686</v>
      </c>
      <c r="L1583" s="125" t="s">
        <v>15</v>
      </c>
      <c r="M1583" s="853">
        <v>250000</v>
      </c>
      <c r="N1583" s="646" t="s">
        <v>6737</v>
      </c>
    </row>
    <row r="1584" spans="1:14" x14ac:dyDescent="0.3">
      <c r="A1584" s="694">
        <v>29</v>
      </c>
      <c r="B1584" s="8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2"/>
      <c r="L1584" s="125" t="s">
        <v>15</v>
      </c>
      <c r="M1584" s="854"/>
      <c r="N1584" s="646" t="s">
        <v>6621</v>
      </c>
    </row>
    <row r="1585" spans="1:14" x14ac:dyDescent="0.3">
      <c r="A1585" s="694">
        <v>30</v>
      </c>
      <c r="B1585" s="85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5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7" t="s">
        <v>6721</v>
      </c>
    </row>
    <row r="1595" spans="1:14" x14ac:dyDescent="0.3">
      <c r="A1595" s="694">
        <v>31</v>
      </c>
      <c r="B1595" s="8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3"/>
    </row>
    <row r="1596" spans="1:14" x14ac:dyDescent="0.3">
      <c r="A1596" s="694">
        <v>31</v>
      </c>
      <c r="B1596" s="8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3"/>
    </row>
    <row r="1597" spans="1:14" x14ac:dyDescent="0.3">
      <c r="A1597" s="694">
        <v>31</v>
      </c>
      <c r="B1597" s="8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3"/>
    </row>
    <row r="1598" spans="1:14" x14ac:dyDescent="0.3">
      <c r="A1598" s="694">
        <v>31</v>
      </c>
      <c r="B1598" s="8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8"/>
    </row>
    <row r="1599" spans="1:14" x14ac:dyDescent="0.3">
      <c r="A1599" s="694">
        <v>31</v>
      </c>
      <c r="B1599" s="8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5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5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5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5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5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5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5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5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5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5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5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5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5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7020</v>
      </c>
    </row>
    <row r="1633" spans="1:14" x14ac:dyDescent="0.3">
      <c r="A1633" s="810">
        <v>35</v>
      </c>
      <c r="B1633" s="850"/>
      <c r="C1633" s="399" t="s">
        <v>7017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7018</v>
      </c>
      <c r="I1633" s="804" t="s">
        <v>3020</v>
      </c>
      <c r="J1633" s="633" t="s">
        <v>1629</v>
      </c>
      <c r="K1633" s="804" t="s">
        <v>7019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50"/>
      <c r="C1634" s="399" t="s">
        <v>7021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50"/>
      <c r="C1635" s="399" t="s">
        <v>7022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7" t="s">
        <v>7020</v>
      </c>
    </row>
    <row r="1637" spans="1:14" x14ac:dyDescent="0.3">
      <c r="A1637" s="810">
        <v>35</v>
      </c>
      <c r="B1637" s="8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7">
        <v>800000</v>
      </c>
      <c r="N1637" s="858"/>
    </row>
    <row r="1638" spans="1:14" x14ac:dyDescent="0.3">
      <c r="A1638" s="810">
        <v>35</v>
      </c>
      <c r="B1638" s="85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7008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7023</v>
      </c>
    </row>
    <row r="1639" spans="1:14" x14ac:dyDescent="0.3">
      <c r="A1639" s="810">
        <v>35</v>
      </c>
      <c r="B1639" s="8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5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5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5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5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7083</v>
      </c>
      <c r="H1646" s="817" t="s">
        <v>7084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7093</v>
      </c>
    </row>
    <row r="1647" spans="1:14" x14ac:dyDescent="0.3">
      <c r="A1647" s="810">
        <v>36</v>
      </c>
      <c r="B1647" s="850"/>
      <c r="C1647" s="369" t="s">
        <v>7082</v>
      </c>
      <c r="D1647" s="726" t="s">
        <v>6707</v>
      </c>
      <c r="E1647" s="632" t="s">
        <v>25</v>
      </c>
      <c r="F1647" s="633" t="s">
        <v>5254</v>
      </c>
      <c r="G1647" s="817" t="s">
        <v>7083</v>
      </c>
      <c r="H1647" s="817" t="s">
        <v>7084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50"/>
      <c r="C1648" s="369" t="s">
        <v>7085</v>
      </c>
      <c r="D1648" s="726" t="s">
        <v>6707</v>
      </c>
      <c r="E1648" s="632" t="s">
        <v>25</v>
      </c>
      <c r="F1648" s="633" t="s">
        <v>5254</v>
      </c>
      <c r="G1648" s="817" t="s">
        <v>7083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50"/>
      <c r="C1649" s="369" t="s">
        <v>7087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7086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50"/>
      <c r="C1650" s="369" t="s">
        <v>7088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7018</v>
      </c>
      <c r="I1650" s="825" t="s">
        <v>3743</v>
      </c>
      <c r="J1650" s="633" t="s">
        <v>3748</v>
      </c>
      <c r="K1650" s="825" t="s">
        <v>7089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50"/>
      <c r="C1651" s="369" t="s">
        <v>7092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7090</v>
      </c>
      <c r="I1651" s="825" t="s">
        <v>7091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7079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7080</v>
      </c>
    </row>
    <row r="1653" spans="1:14" x14ac:dyDescent="0.3">
      <c r="A1653" s="810">
        <v>36</v>
      </c>
      <c r="B1653" s="85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5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51" t="s">
        <v>3708</v>
      </c>
      <c r="L1654" s="125" t="s">
        <v>15</v>
      </c>
      <c r="M1654" s="853">
        <v>250000</v>
      </c>
      <c r="N1654" s="646" t="s">
        <v>5969</v>
      </c>
    </row>
    <row r="1655" spans="1:14" x14ac:dyDescent="0.3">
      <c r="A1655" s="810">
        <v>36</v>
      </c>
      <c r="B1655" s="85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7049</v>
      </c>
      <c r="J1655" s="815" t="s">
        <v>90</v>
      </c>
      <c r="K1655" s="852"/>
      <c r="L1655" s="125" t="s">
        <v>15</v>
      </c>
      <c r="M1655" s="854"/>
      <c r="N1655" s="646" t="s">
        <v>3779</v>
      </c>
    </row>
    <row r="1656" spans="1:14" x14ac:dyDescent="0.3">
      <c r="A1656" s="810">
        <v>36</v>
      </c>
      <c r="B1656" s="8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7042</v>
      </c>
      <c r="J1656" s="815" t="s">
        <v>7043</v>
      </c>
      <c r="K1656" s="827" t="s">
        <v>2828</v>
      </c>
      <c r="L1656" s="125" t="s">
        <v>1356</v>
      </c>
      <c r="M1656" s="757">
        <v>250000</v>
      </c>
      <c r="N1656" s="646" t="s">
        <v>7081</v>
      </c>
    </row>
    <row r="1657" spans="1:14" x14ac:dyDescent="0.3">
      <c r="A1657" s="810">
        <v>36</v>
      </c>
      <c r="B1657" s="85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7048</v>
      </c>
      <c r="J1657" s="815" t="s">
        <v>90</v>
      </c>
      <c r="K1657" s="851" t="s">
        <v>3708</v>
      </c>
      <c r="L1657" s="125" t="s">
        <v>15</v>
      </c>
      <c r="M1657" s="853">
        <v>250000</v>
      </c>
      <c r="N1657" s="646" t="s">
        <v>3779</v>
      </c>
    </row>
    <row r="1658" spans="1:14" x14ac:dyDescent="0.3">
      <c r="A1658" s="810">
        <v>36</v>
      </c>
      <c r="B1658" s="85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7075</v>
      </c>
      <c r="J1658" s="815" t="s">
        <v>90</v>
      </c>
      <c r="K1658" s="852"/>
      <c r="L1658" s="125" t="s">
        <v>15</v>
      </c>
      <c r="M1658" s="854"/>
      <c r="N1658" s="646" t="s">
        <v>3779</v>
      </c>
    </row>
    <row r="1659" spans="1:14" x14ac:dyDescent="0.3">
      <c r="A1659" s="810">
        <v>36</v>
      </c>
      <c r="B1659" s="85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7074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6</v>
      </c>
      <c r="C11" s="1050">
        <f>'사전품의양식 (12)'!L11</f>
        <v>4000000</v>
      </c>
      <c r="D11" s="1050"/>
    </row>
    <row r="12" spans="1:4" x14ac:dyDescent="0.3">
      <c r="A12" s="589" t="s">
        <v>4859</v>
      </c>
      <c r="B12" s="589">
        <v>6</v>
      </c>
      <c r="C12" s="1050">
        <f>'사전품의양식 (12)'!L18</f>
        <v>2050000</v>
      </c>
      <c r="D12" s="1050"/>
    </row>
    <row r="13" spans="1:4" x14ac:dyDescent="0.3">
      <c r="A13" s="591" t="s">
        <v>53</v>
      </c>
      <c r="B13" s="591">
        <f>SUM(B11:B12)</f>
        <v>12</v>
      </c>
      <c r="C13" s="1051">
        <f>SUM(C11:C12)</f>
        <v>6050000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2" t="s">
        <v>4872</v>
      </c>
      <c r="D24" s="1053"/>
      <c r="E24" s="667"/>
    </row>
    <row r="25" spans="1:5" x14ac:dyDescent="0.3">
      <c r="A25" s="589" t="s">
        <v>4873</v>
      </c>
      <c r="B25" s="589" t="s">
        <v>4874</v>
      </c>
      <c r="C25" s="1047" t="s">
        <v>4875</v>
      </c>
      <c r="D25" s="1048"/>
      <c r="E25" s="667"/>
    </row>
    <row r="26" spans="1:5" x14ac:dyDescent="0.3">
      <c r="A26" s="794" t="s">
        <v>7024</v>
      </c>
      <c r="B26" s="794" t="s">
        <v>7025</v>
      </c>
      <c r="C26" s="1047" t="s">
        <v>7026</v>
      </c>
      <c r="D26" s="104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5" t="s">
        <v>7188</v>
      </c>
      <c r="B2" s="1055" t="s">
        <v>1</v>
      </c>
      <c r="C2" s="1055" t="s">
        <v>2</v>
      </c>
      <c r="D2" s="1055" t="s">
        <v>3</v>
      </c>
      <c r="E2" s="782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6" t="s">
        <v>56</v>
      </c>
      <c r="L2" s="1055" t="s">
        <v>57</v>
      </c>
      <c r="M2" s="1055" t="s">
        <v>58</v>
      </c>
    </row>
    <row r="3" spans="1:13" x14ac:dyDescent="0.3">
      <c r="A3" s="1055"/>
      <c r="B3" s="1055"/>
      <c r="C3" s="1055"/>
      <c r="D3" s="1055"/>
      <c r="E3" s="782" t="s">
        <v>1724</v>
      </c>
      <c r="F3" s="1055"/>
      <c r="G3" s="1055"/>
      <c r="H3" s="1055"/>
      <c r="I3" s="1055"/>
      <c r="J3" s="1055"/>
      <c r="K3" s="1056"/>
      <c r="L3" s="1055"/>
      <c r="M3" s="1055"/>
    </row>
    <row r="4" spans="1:13" s="685" customFormat="1" ht="17.100000000000001" customHeight="1" x14ac:dyDescent="0.3">
      <c r="A4" s="850" t="s">
        <v>20</v>
      </c>
      <c r="B4" s="399">
        <v>46277</v>
      </c>
      <c r="C4" s="726" t="s">
        <v>7190</v>
      </c>
      <c r="D4" s="632" t="s">
        <v>7191</v>
      </c>
      <c r="E4" s="633" t="s">
        <v>7192</v>
      </c>
      <c r="F4" s="817" t="s">
        <v>7193</v>
      </c>
      <c r="G4" s="817" t="s">
        <v>7194</v>
      </c>
      <c r="H4" s="825" t="s">
        <v>7195</v>
      </c>
      <c r="I4" s="633" t="s">
        <v>7196</v>
      </c>
      <c r="J4" s="825" t="s">
        <v>7202</v>
      </c>
      <c r="K4" s="703" t="s">
        <v>7198</v>
      </c>
      <c r="L4" s="820">
        <v>250000</v>
      </c>
      <c r="M4" s="646" t="s">
        <v>7203</v>
      </c>
    </row>
    <row r="5" spans="1:13" s="685" customFormat="1" ht="17.100000000000001" customHeight="1" x14ac:dyDescent="0.3">
      <c r="A5" s="850"/>
      <c r="B5" s="399" t="s">
        <v>7189</v>
      </c>
      <c r="C5" s="726" t="s">
        <v>7190</v>
      </c>
      <c r="D5" s="632" t="s">
        <v>7191</v>
      </c>
      <c r="E5" s="633" t="s">
        <v>7192</v>
      </c>
      <c r="F5" s="817" t="s">
        <v>7193</v>
      </c>
      <c r="G5" s="817" t="s">
        <v>7194</v>
      </c>
      <c r="H5" s="825" t="s">
        <v>7195</v>
      </c>
      <c r="I5" s="633" t="s">
        <v>7196</v>
      </c>
      <c r="J5" s="825" t="s">
        <v>7197</v>
      </c>
      <c r="K5" s="703" t="s">
        <v>7198</v>
      </c>
      <c r="L5" s="820">
        <v>500000</v>
      </c>
      <c r="M5" s="646"/>
    </row>
    <row r="6" spans="1:13" s="685" customFormat="1" ht="17.100000000000001" customHeight="1" x14ac:dyDescent="0.3">
      <c r="A6" s="850"/>
      <c r="B6" s="399">
        <v>46281</v>
      </c>
      <c r="C6" s="726" t="s">
        <v>7190</v>
      </c>
      <c r="D6" s="632" t="s">
        <v>7191</v>
      </c>
      <c r="E6" s="633" t="s">
        <v>7192</v>
      </c>
      <c r="F6" s="817" t="s">
        <v>7199</v>
      </c>
      <c r="G6" s="817" t="s">
        <v>7200</v>
      </c>
      <c r="H6" s="825" t="s">
        <v>7201</v>
      </c>
      <c r="I6" s="633" t="s">
        <v>7196</v>
      </c>
      <c r="J6" s="825" t="s">
        <v>7202</v>
      </c>
      <c r="K6" s="703" t="s">
        <v>7198</v>
      </c>
      <c r="L6" s="820">
        <v>250000</v>
      </c>
      <c r="M6" s="646"/>
    </row>
    <row r="7" spans="1:13" s="685" customFormat="1" ht="17.100000000000001" customHeight="1" x14ac:dyDescent="0.3">
      <c r="A7" s="850"/>
      <c r="B7" s="399" t="s">
        <v>7206</v>
      </c>
      <c r="C7" s="726" t="s">
        <v>7190</v>
      </c>
      <c r="D7" s="632" t="s">
        <v>7191</v>
      </c>
      <c r="E7" s="633" t="s">
        <v>7192</v>
      </c>
      <c r="F7" s="817" t="s">
        <v>7199</v>
      </c>
      <c r="G7" s="817" t="s">
        <v>7204</v>
      </c>
      <c r="H7" s="825" t="s">
        <v>7201</v>
      </c>
      <c r="I7" s="633" t="s">
        <v>7196</v>
      </c>
      <c r="J7" s="825" t="s">
        <v>7207</v>
      </c>
      <c r="K7" s="703" t="s">
        <v>7198</v>
      </c>
      <c r="L7" s="820">
        <v>500000</v>
      </c>
      <c r="M7" s="646"/>
    </row>
    <row r="8" spans="1:13" s="685" customFormat="1" ht="17.100000000000001" customHeight="1" x14ac:dyDescent="0.3">
      <c r="A8" s="850"/>
      <c r="B8" s="399" t="s">
        <v>7205</v>
      </c>
      <c r="C8" s="726" t="s">
        <v>7190</v>
      </c>
      <c r="D8" s="632" t="s">
        <v>7191</v>
      </c>
      <c r="E8" s="633" t="s">
        <v>7192</v>
      </c>
      <c r="F8" s="801" t="s">
        <v>7208</v>
      </c>
      <c r="G8" s="801" t="s">
        <v>7209</v>
      </c>
      <c r="H8" s="804" t="s">
        <v>7210</v>
      </c>
      <c r="I8" s="633" t="s">
        <v>7211</v>
      </c>
      <c r="J8" s="804" t="s">
        <v>7212</v>
      </c>
      <c r="K8" s="703" t="s">
        <v>7213</v>
      </c>
      <c r="L8" s="802">
        <v>750000</v>
      </c>
      <c r="M8" s="646"/>
    </row>
    <row r="9" spans="1:13" s="685" customFormat="1" ht="17.100000000000001" customHeight="1" x14ac:dyDescent="0.3">
      <c r="A9" s="850"/>
      <c r="B9" s="399" t="s">
        <v>7206</v>
      </c>
      <c r="C9" s="726" t="s">
        <v>7190</v>
      </c>
      <c r="D9" s="632" t="s">
        <v>7191</v>
      </c>
      <c r="E9" s="633" t="s">
        <v>7192</v>
      </c>
      <c r="F9" s="817">
        <v>7065</v>
      </c>
      <c r="G9" s="817" t="s">
        <v>7219</v>
      </c>
      <c r="H9" s="825" t="s">
        <v>7220</v>
      </c>
      <c r="I9" s="633" t="s">
        <v>7211</v>
      </c>
      <c r="J9" s="825" t="s">
        <v>7207</v>
      </c>
      <c r="K9" s="703" t="s">
        <v>7198</v>
      </c>
      <c r="L9" s="820">
        <v>500000</v>
      </c>
      <c r="M9" s="646"/>
    </row>
    <row r="10" spans="1:13" s="685" customFormat="1" ht="17.100000000000001" customHeight="1" x14ac:dyDescent="0.3">
      <c r="A10" s="850"/>
      <c r="B10" s="399" t="s">
        <v>7214</v>
      </c>
      <c r="C10" s="726" t="s">
        <v>7190</v>
      </c>
      <c r="D10" s="632" t="s">
        <v>7191</v>
      </c>
      <c r="E10" s="633" t="s">
        <v>7192</v>
      </c>
      <c r="F10" s="801">
        <v>7065</v>
      </c>
      <c r="G10" s="801" t="s">
        <v>7215</v>
      </c>
      <c r="H10" s="804" t="s">
        <v>7216</v>
      </c>
      <c r="I10" s="633" t="s">
        <v>7211</v>
      </c>
      <c r="J10" s="804" t="s">
        <v>7217</v>
      </c>
      <c r="K10" s="703" t="s">
        <v>7218</v>
      </c>
      <c r="L10" s="802">
        <v>1250000</v>
      </c>
      <c r="M10" s="646"/>
    </row>
    <row r="11" spans="1:13" ht="17.100000000000001" customHeight="1" x14ac:dyDescent="0.3">
      <c r="A11" s="850"/>
      <c r="B11" s="850" t="s">
        <v>1136</v>
      </c>
      <c r="C11" s="850"/>
      <c r="D11" s="850"/>
      <c r="E11" s="850"/>
      <c r="F11" s="850"/>
      <c r="G11" s="850"/>
      <c r="H11" s="850"/>
      <c r="I11" s="850"/>
      <c r="J11" s="850"/>
      <c r="K11" s="850"/>
      <c r="L11" s="729">
        <f>SUM(L4:L10)</f>
        <v>4000000</v>
      </c>
      <c r="M11" s="646"/>
    </row>
    <row r="12" spans="1:13" ht="13.5" x14ac:dyDescent="0.3">
      <c r="A12" s="850" t="s">
        <v>21</v>
      </c>
      <c r="B12" s="399">
        <v>46279</v>
      </c>
      <c r="C12" s="4" t="s">
        <v>7051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7111</v>
      </c>
      <c r="I12" s="815" t="s">
        <v>7114</v>
      </c>
      <c r="J12" s="815" t="s">
        <v>7115</v>
      </c>
      <c r="K12" s="125" t="s">
        <v>7116</v>
      </c>
      <c r="L12" s="757">
        <v>250000</v>
      </c>
      <c r="M12" s="646" t="s">
        <v>7221</v>
      </c>
    </row>
    <row r="13" spans="1:13" ht="13.5" x14ac:dyDescent="0.3">
      <c r="A13" s="850"/>
      <c r="B13" s="399">
        <v>46279</v>
      </c>
      <c r="C13" s="4" t="s">
        <v>21</v>
      </c>
      <c r="D13" s="4" t="s">
        <v>7156</v>
      </c>
      <c r="E13" s="815" t="s">
        <v>7157</v>
      </c>
      <c r="F13" s="815">
        <v>7060</v>
      </c>
      <c r="G13" s="16" t="s">
        <v>7158</v>
      </c>
      <c r="H13" s="827" t="s">
        <v>7159</v>
      </c>
      <c r="I13" s="815" t="s">
        <v>7160</v>
      </c>
      <c r="J13" s="815" t="s">
        <v>7161</v>
      </c>
      <c r="K13" s="125" t="s">
        <v>7116</v>
      </c>
      <c r="L13" s="816">
        <v>250000</v>
      </c>
      <c r="M13" s="646" t="s">
        <v>7222</v>
      </c>
    </row>
    <row r="14" spans="1:13" ht="13.5" x14ac:dyDescent="0.3">
      <c r="A14" s="850"/>
      <c r="B14" s="399">
        <v>46280</v>
      </c>
      <c r="C14" s="4" t="s">
        <v>7051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7142</v>
      </c>
      <c r="I14" s="815" t="s">
        <v>7141</v>
      </c>
      <c r="J14" s="815" t="s">
        <v>7139</v>
      </c>
      <c r="K14" s="125" t="s">
        <v>7116</v>
      </c>
      <c r="L14" s="757">
        <v>300000</v>
      </c>
      <c r="M14" s="646" t="s">
        <v>7221</v>
      </c>
    </row>
    <row r="15" spans="1:13" ht="27" x14ac:dyDescent="0.3">
      <c r="A15" s="850"/>
      <c r="B15" s="399">
        <v>46281</v>
      </c>
      <c r="C15" s="4" t="s">
        <v>7145</v>
      </c>
      <c r="D15" s="4" t="s">
        <v>7146</v>
      </c>
      <c r="E15" s="815" t="s">
        <v>7147</v>
      </c>
      <c r="F15" s="815" t="s">
        <v>7148</v>
      </c>
      <c r="G15" s="16" t="s">
        <v>7149</v>
      </c>
      <c r="H15" s="827" t="s">
        <v>7172</v>
      </c>
      <c r="I15" s="815"/>
      <c r="J15" s="827" t="s">
        <v>7170</v>
      </c>
      <c r="K15" s="125" t="s">
        <v>7116</v>
      </c>
      <c r="L15" s="816">
        <v>500000</v>
      </c>
      <c r="M15" s="646" t="s">
        <v>7223</v>
      </c>
    </row>
    <row r="16" spans="1:13" ht="13.5" x14ac:dyDescent="0.3">
      <c r="A16" s="85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7107</v>
      </c>
      <c r="H16" s="16" t="s">
        <v>7177</v>
      </c>
      <c r="I16" s="815" t="s">
        <v>7119</v>
      </c>
      <c r="J16" s="815" t="s">
        <v>7115</v>
      </c>
      <c r="K16" s="125" t="s">
        <v>7116</v>
      </c>
      <c r="L16" s="816">
        <v>250000</v>
      </c>
      <c r="M16" s="646" t="s">
        <v>7223</v>
      </c>
    </row>
    <row r="17" spans="1:16" ht="13.5" x14ac:dyDescent="0.3">
      <c r="A17" s="850"/>
      <c r="B17" s="399">
        <v>46282</v>
      </c>
      <c r="C17" s="4" t="s">
        <v>7145</v>
      </c>
      <c r="D17" s="4" t="s">
        <v>7146</v>
      </c>
      <c r="E17" s="815" t="s">
        <v>7147</v>
      </c>
      <c r="F17" s="815" t="s">
        <v>7148</v>
      </c>
      <c r="G17" s="16" t="s">
        <v>7149</v>
      </c>
      <c r="H17" s="827" t="s">
        <v>7171</v>
      </c>
      <c r="I17" s="815"/>
      <c r="J17" s="827" t="s">
        <v>7170</v>
      </c>
      <c r="K17" s="125" t="s">
        <v>7116</v>
      </c>
      <c r="L17" s="757">
        <v>500000</v>
      </c>
      <c r="M17" s="646" t="s">
        <v>7224</v>
      </c>
    </row>
    <row r="18" spans="1:16" ht="17.100000000000001" customHeight="1" x14ac:dyDescent="0.3">
      <c r="A18" s="850"/>
      <c r="B18" s="850" t="s">
        <v>4879</v>
      </c>
      <c r="C18" s="850"/>
      <c r="D18" s="850"/>
      <c r="E18" s="850"/>
      <c r="F18" s="850"/>
      <c r="G18" s="850"/>
      <c r="H18" s="850"/>
      <c r="I18" s="850"/>
      <c r="J18" s="850"/>
      <c r="K18" s="850"/>
      <c r="L18" s="729">
        <f>SUM(L12:L17)</f>
        <v>2050000</v>
      </c>
      <c r="M18" s="646"/>
    </row>
    <row r="19" spans="1:16" ht="25.5" customHeight="1" x14ac:dyDescent="0.3">
      <c r="A19" s="1054" t="s">
        <v>62</v>
      </c>
      <c r="B19" s="1054"/>
      <c r="C19" s="1054"/>
      <c r="D19" s="1054"/>
      <c r="E19" s="1054"/>
      <c r="F19" s="1054"/>
      <c r="G19" s="1054"/>
      <c r="H19" s="1054"/>
      <c r="I19" s="1054"/>
      <c r="J19" s="1054"/>
      <c r="K19" s="1054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7051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7111</v>
      </c>
      <c r="I32" s="815" t="s">
        <v>7114</v>
      </c>
      <c r="J32" s="815" t="s">
        <v>7115</v>
      </c>
      <c r="K32" s="125" t="s">
        <v>7116</v>
      </c>
      <c r="L32" s="8">
        <v>2</v>
      </c>
      <c r="M32" s="8"/>
      <c r="N32" s="815" t="s">
        <v>7128</v>
      </c>
      <c r="O32" s="438" t="s">
        <v>7163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7107</v>
      </c>
      <c r="H33" s="827" t="s">
        <v>7136</v>
      </c>
      <c r="I33" s="815"/>
      <c r="J33" s="815" t="s">
        <v>7137</v>
      </c>
      <c r="K33" s="125" t="s">
        <v>7116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7156</v>
      </c>
      <c r="E34" s="815" t="s">
        <v>7157</v>
      </c>
      <c r="F34" s="815">
        <v>7060</v>
      </c>
      <c r="G34" s="16" t="s">
        <v>7158</v>
      </c>
      <c r="H34" s="827" t="s">
        <v>7159</v>
      </c>
      <c r="I34" s="815" t="s">
        <v>7160</v>
      </c>
      <c r="J34" s="815" t="s">
        <v>7161</v>
      </c>
      <c r="K34" s="125" t="s">
        <v>7116</v>
      </c>
      <c r="L34" s="8">
        <v>2</v>
      </c>
      <c r="M34" s="8"/>
      <c r="N34" s="815"/>
      <c r="O34" s="438" t="s">
        <v>7162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7127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7051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7142</v>
      </c>
      <c r="I37" s="815" t="s">
        <v>7141</v>
      </c>
      <c r="J37" s="815" t="s">
        <v>7139</v>
      </c>
      <c r="K37" s="125" t="s">
        <v>7116</v>
      </c>
      <c r="L37" s="8">
        <v>2</v>
      </c>
      <c r="M37" s="8"/>
      <c r="N37" s="815" t="s">
        <v>7187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7051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7108</v>
      </c>
      <c r="I38" s="815" t="s">
        <v>7114</v>
      </c>
      <c r="J38" s="815" t="s">
        <v>7139</v>
      </c>
      <c r="K38" s="125" t="s">
        <v>7116</v>
      </c>
      <c r="L38" s="8">
        <v>2</v>
      </c>
      <c r="M38" s="8"/>
      <c r="N38" s="815"/>
      <c r="O38" s="438" t="s">
        <v>7109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7051</v>
      </c>
      <c r="D39" s="4" t="s">
        <v>14</v>
      </c>
      <c r="E39" s="815" t="s">
        <v>107</v>
      </c>
      <c r="F39" s="815" t="s">
        <v>7164</v>
      </c>
      <c r="G39" s="16" t="s">
        <v>7165</v>
      </c>
      <c r="H39" s="827" t="s">
        <v>7166</v>
      </c>
      <c r="I39" s="815"/>
      <c r="J39" s="815" t="s">
        <v>7167</v>
      </c>
      <c r="K39" s="125" t="s">
        <v>7168</v>
      </c>
      <c r="L39" s="8">
        <v>4</v>
      </c>
      <c r="M39" s="8"/>
      <c r="N39" s="815"/>
      <c r="O39" s="438" t="s">
        <v>7178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7051</v>
      </c>
      <c r="D40" s="4" t="s">
        <v>14</v>
      </c>
      <c r="E40" s="815" t="s">
        <v>107</v>
      </c>
      <c r="F40" s="815" t="s">
        <v>7183</v>
      </c>
      <c r="G40" s="16" t="s">
        <v>7165</v>
      </c>
      <c r="H40" s="827" t="s">
        <v>7184</v>
      </c>
      <c r="I40" s="815" t="s">
        <v>7185</v>
      </c>
      <c r="J40" s="815" t="s">
        <v>7186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7145</v>
      </c>
      <c r="D41" s="4" t="s">
        <v>7146</v>
      </c>
      <c r="E41" s="815" t="s">
        <v>7147</v>
      </c>
      <c r="F41" s="815" t="s">
        <v>7148</v>
      </c>
      <c r="G41" s="16" t="s">
        <v>7149</v>
      </c>
      <c r="H41" s="827" t="s">
        <v>7172</v>
      </c>
      <c r="I41" s="815"/>
      <c r="J41" s="827" t="s">
        <v>7170</v>
      </c>
      <c r="K41" s="125" t="s">
        <v>7150</v>
      </c>
      <c r="L41" s="8">
        <v>2</v>
      </c>
      <c r="M41" s="8"/>
      <c r="N41" s="826"/>
      <c r="O41" s="438" t="s">
        <v>7179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7051</v>
      </c>
      <c r="D43" s="4" t="s">
        <v>14</v>
      </c>
      <c r="E43" s="815" t="s">
        <v>107</v>
      </c>
      <c r="F43" s="815" t="s">
        <v>7164</v>
      </c>
      <c r="G43" s="16" t="s">
        <v>7165</v>
      </c>
      <c r="H43" s="827" t="s">
        <v>7166</v>
      </c>
      <c r="I43" s="815"/>
      <c r="J43" s="815" t="s">
        <v>7167</v>
      </c>
      <c r="K43" s="125" t="s">
        <v>7168</v>
      </c>
      <c r="L43" s="8">
        <v>4</v>
      </c>
      <c r="M43" s="8"/>
      <c r="N43" s="826"/>
      <c r="O43" s="438" t="s">
        <v>7178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7107</v>
      </c>
      <c r="H44" s="16" t="s">
        <v>7177</v>
      </c>
      <c r="I44" s="815" t="s">
        <v>7119</v>
      </c>
      <c r="J44" s="815" t="s">
        <v>7115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7145</v>
      </c>
      <c r="D45" s="4" t="s">
        <v>7146</v>
      </c>
      <c r="E45" s="815" t="s">
        <v>7147</v>
      </c>
      <c r="F45" s="815" t="s">
        <v>7148</v>
      </c>
      <c r="G45" s="16" t="s">
        <v>7149</v>
      </c>
      <c r="H45" s="827" t="s">
        <v>7171</v>
      </c>
      <c r="I45" s="815"/>
      <c r="J45" s="827" t="s">
        <v>7170</v>
      </c>
      <c r="K45" s="125" t="s">
        <v>7150</v>
      </c>
      <c r="L45" s="8">
        <v>2</v>
      </c>
      <c r="M45" s="8"/>
      <c r="N45" s="826"/>
      <c r="O45" s="438" t="s">
        <v>7179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7051</v>
      </c>
      <c r="D47" s="4" t="s">
        <v>14</v>
      </c>
      <c r="E47" s="815" t="s">
        <v>107</v>
      </c>
      <c r="F47" s="815" t="s">
        <v>7164</v>
      </c>
      <c r="G47" s="16" t="s">
        <v>7165</v>
      </c>
      <c r="H47" s="827" t="s">
        <v>7166</v>
      </c>
      <c r="I47" s="815"/>
      <c r="J47" s="815" t="s">
        <v>7167</v>
      </c>
      <c r="K47" s="125" t="s">
        <v>7168</v>
      </c>
      <c r="L47" s="8">
        <v>4</v>
      </c>
      <c r="M47" s="8"/>
      <c r="N47" s="826"/>
      <c r="O47" s="438" t="s">
        <v>7178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7051</v>
      </c>
      <c r="D48" s="4" t="s">
        <v>14</v>
      </c>
      <c r="E48" s="815" t="s">
        <v>107</v>
      </c>
      <c r="F48" s="815" t="s">
        <v>7164</v>
      </c>
      <c r="G48" s="16" t="s">
        <v>7165</v>
      </c>
      <c r="H48" s="827" t="s">
        <v>7166</v>
      </c>
      <c r="I48" s="815"/>
      <c r="J48" s="815" t="s">
        <v>7167</v>
      </c>
      <c r="K48" s="125" t="s">
        <v>7168</v>
      </c>
      <c r="L48" s="8">
        <v>4</v>
      </c>
      <c r="M48" s="8"/>
      <c r="N48" s="826"/>
      <c r="O48" s="438" t="s">
        <v>7178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7059</v>
      </c>
      <c r="D50" s="4" t="s">
        <v>17</v>
      </c>
      <c r="E50" s="827" t="s">
        <v>7060</v>
      </c>
      <c r="F50" s="815" t="s">
        <v>7061</v>
      </c>
      <c r="G50" s="16" t="s">
        <v>23</v>
      </c>
      <c r="H50" s="827" t="s">
        <v>7063</v>
      </c>
      <c r="I50" s="815"/>
      <c r="J50" s="827" t="s">
        <v>7180</v>
      </c>
      <c r="K50" s="125" t="s">
        <v>7181</v>
      </c>
      <c r="L50" s="8">
        <v>2</v>
      </c>
      <c r="M50" s="8"/>
      <c r="N50" s="826"/>
      <c r="O50" s="438" t="s">
        <v>7179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8" t="s">
        <v>53</v>
      </c>
      <c r="B21" s="878"/>
      <c r="C21" s="878"/>
      <c r="D21" s="878"/>
      <c r="E21" s="878"/>
      <c r="F21" s="878"/>
      <c r="G21" s="878"/>
      <c r="H21" s="878"/>
      <c r="I21" s="87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0" t="s">
        <v>53</v>
      </c>
      <c r="B26" s="1091"/>
      <c r="C26" s="1091"/>
      <c r="D26" s="1091"/>
      <c r="E26" s="1091"/>
      <c r="F26" s="1091"/>
      <c r="G26" s="1091"/>
      <c r="H26" s="1091"/>
      <c r="I26" s="109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0" t="s">
        <v>53</v>
      </c>
      <c r="B35" s="1091"/>
      <c r="C35" s="1091"/>
      <c r="D35" s="1091"/>
      <c r="E35" s="1091"/>
      <c r="F35" s="1091"/>
      <c r="G35" s="1091"/>
      <c r="H35" s="1091"/>
      <c r="I35" s="109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0" t="s">
        <v>53</v>
      </c>
      <c r="B42" s="1091"/>
      <c r="C42" s="1091"/>
      <c r="D42" s="1091"/>
      <c r="E42" s="1091"/>
      <c r="F42" s="1091"/>
      <c r="G42" s="1091"/>
      <c r="H42" s="1091"/>
      <c r="I42" s="109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0" t="s">
        <v>53</v>
      </c>
      <c r="B48" s="1091"/>
      <c r="C48" s="1091"/>
      <c r="D48" s="1091"/>
      <c r="E48" s="1091"/>
      <c r="F48" s="1091"/>
      <c r="G48" s="1091"/>
      <c r="H48" s="1091"/>
      <c r="I48" s="109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0" t="s">
        <v>53</v>
      </c>
      <c r="B54" s="1091"/>
      <c r="C54" s="1091"/>
      <c r="D54" s="1091"/>
      <c r="E54" s="1091"/>
      <c r="F54" s="1091"/>
      <c r="G54" s="1091"/>
      <c r="H54" s="1091"/>
      <c r="I54" s="109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8"/>
      <c r="B61" s="111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8"/>
      <c r="B62" s="112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8"/>
      <c r="B63" s="112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0" t="s">
        <v>53</v>
      </c>
      <c r="B64" s="1091"/>
      <c r="C64" s="1091"/>
      <c r="D64" s="1091"/>
      <c r="E64" s="1091"/>
      <c r="F64" s="1091"/>
      <c r="G64" s="1091"/>
      <c r="H64" s="1091"/>
      <c r="I64" s="109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0" t="s">
        <v>53</v>
      </c>
      <c r="B70" s="1091"/>
      <c r="C70" s="1091"/>
      <c r="D70" s="1091"/>
      <c r="E70" s="1091"/>
      <c r="F70" s="1091"/>
      <c r="G70" s="1091"/>
      <c r="H70" s="1091"/>
      <c r="I70" s="109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8" t="s">
        <v>53</v>
      </c>
      <c r="B78" s="878"/>
      <c r="C78" s="878"/>
      <c r="D78" s="878"/>
      <c r="E78" s="878"/>
      <c r="F78" s="878"/>
      <c r="G78" s="878"/>
      <c r="H78" s="878"/>
      <c r="I78" s="87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0" t="s">
        <v>53</v>
      </c>
      <c r="B86" s="1091"/>
      <c r="C86" s="1091"/>
      <c r="D86" s="1091"/>
      <c r="E86" s="1091"/>
      <c r="F86" s="1091"/>
      <c r="G86" s="1091"/>
      <c r="H86" s="1091"/>
      <c r="I86" s="109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0" t="s">
        <v>53</v>
      </c>
      <c r="B92" s="1091"/>
      <c r="C92" s="1091"/>
      <c r="D92" s="1091"/>
      <c r="E92" s="1091"/>
      <c r="F92" s="1091"/>
      <c r="G92" s="1091"/>
      <c r="H92" s="1091"/>
      <c r="I92" s="109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0" t="s">
        <v>53</v>
      </c>
      <c r="B101" s="1091"/>
      <c r="C101" s="1091"/>
      <c r="D101" s="1091"/>
      <c r="E101" s="1091"/>
      <c r="F101" s="1091"/>
      <c r="G101" s="1091"/>
      <c r="H101" s="1091"/>
      <c r="I101" s="109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8"/>
      <c r="B107" s="11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8"/>
      <c r="B108" s="11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8" t="s">
        <v>53</v>
      </c>
      <c r="B112" s="878"/>
      <c r="C112" s="878"/>
      <c r="D112" s="878"/>
      <c r="E112" s="878"/>
      <c r="F112" s="878"/>
      <c r="G112" s="878"/>
      <c r="H112" s="878"/>
      <c r="I112" s="87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2" t="s">
        <v>954</v>
      </c>
      <c r="B119" s="91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3"/>
      <c r="B120" s="91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8" t="s">
        <v>53</v>
      </c>
      <c r="B121" s="878"/>
      <c r="C121" s="878"/>
      <c r="D121" s="878"/>
      <c r="E121" s="878"/>
      <c r="F121" s="878"/>
      <c r="G121" s="878"/>
      <c r="H121" s="878"/>
      <c r="I121" s="87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3"/>
      <c r="B129" s="112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7" t="s">
        <v>90</v>
      </c>
      <c r="J129" s="1105">
        <v>2</v>
      </c>
      <c r="K129" s="25" t="s">
        <v>52</v>
      </c>
      <c r="L129" s="25" t="s">
        <v>51</v>
      </c>
    </row>
    <row r="130" spans="1:12" x14ac:dyDescent="0.3">
      <c r="A130" s="893"/>
      <c r="B130" s="112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7"/>
      <c r="J130" s="1106"/>
      <c r="K130" s="25" t="s">
        <v>52</v>
      </c>
      <c r="L130" s="25" t="s">
        <v>51</v>
      </c>
    </row>
    <row r="131" spans="1:12" x14ac:dyDescent="0.3">
      <c r="A131" s="89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3"/>
      <c r="B133" s="98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2" t="s">
        <v>1277</v>
      </c>
      <c r="J133" s="1105">
        <v>1</v>
      </c>
      <c r="K133" s="25" t="s">
        <v>52</v>
      </c>
      <c r="L133" s="25" t="s">
        <v>51</v>
      </c>
    </row>
    <row r="134" spans="1:12" x14ac:dyDescent="0.3">
      <c r="A134" s="893"/>
      <c r="B134" s="98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9"/>
      <c r="J134" s="1106"/>
      <c r="K134" s="25" t="s">
        <v>52</v>
      </c>
      <c r="L134" s="25" t="s">
        <v>51</v>
      </c>
    </row>
    <row r="135" spans="1:12" x14ac:dyDescent="0.3">
      <c r="A135" s="89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8" t="s">
        <v>53</v>
      </c>
      <c r="B137" s="878"/>
      <c r="C137" s="878"/>
      <c r="D137" s="878"/>
      <c r="E137" s="878"/>
      <c r="F137" s="878"/>
      <c r="G137" s="878"/>
      <c r="H137" s="878"/>
      <c r="I137" s="87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3" t="s">
        <v>1007</v>
      </c>
      <c r="B142" s="98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3"/>
      <c r="B143" s="9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8" t="s">
        <v>53</v>
      </c>
      <c r="B145" s="878"/>
      <c r="C145" s="878"/>
      <c r="D145" s="878"/>
      <c r="E145" s="878"/>
      <c r="F145" s="878"/>
      <c r="G145" s="878"/>
      <c r="H145" s="878"/>
      <c r="I145" s="87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1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1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8" t="s">
        <v>53</v>
      </c>
      <c r="B163" s="878"/>
      <c r="C163" s="878"/>
      <c r="D163" s="878"/>
      <c r="E163" s="878"/>
      <c r="F163" s="878"/>
      <c r="G163" s="878"/>
      <c r="H163" s="878"/>
      <c r="I163" s="87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8" t="s">
        <v>53</v>
      </c>
      <c r="B183" s="878"/>
      <c r="C183" s="878"/>
      <c r="D183" s="878"/>
      <c r="E183" s="878"/>
      <c r="F183" s="878"/>
      <c r="G183" s="878"/>
      <c r="H183" s="878"/>
      <c r="I183" s="87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5" t="s">
        <v>1061</v>
      </c>
      <c r="B189" s="91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6"/>
      <c r="B190" s="9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6"/>
      <c r="B191" s="91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6"/>
      <c r="B192" s="9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8" t="s">
        <v>53</v>
      </c>
      <c r="B193" s="878"/>
      <c r="C193" s="878"/>
      <c r="D193" s="878"/>
      <c r="E193" s="878"/>
      <c r="F193" s="878"/>
      <c r="G193" s="878"/>
      <c r="H193" s="878"/>
      <c r="I193" s="87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0" t="s">
        <v>53</v>
      </c>
      <c r="B244" s="1091"/>
      <c r="C244" s="1091"/>
      <c r="D244" s="1091"/>
      <c r="E244" s="1091"/>
      <c r="F244" s="1091"/>
      <c r="G244" s="1091"/>
      <c r="H244" s="1091"/>
      <c r="I244" s="109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0" t="s">
        <v>53</v>
      </c>
      <c r="B250" s="1091"/>
      <c r="C250" s="1091"/>
      <c r="D250" s="1091"/>
      <c r="E250" s="1091"/>
      <c r="F250" s="1091"/>
      <c r="G250" s="1091"/>
      <c r="H250" s="1091"/>
      <c r="I250" s="109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0" t="s">
        <v>53</v>
      </c>
      <c r="B257" s="1091"/>
      <c r="C257" s="1091"/>
      <c r="D257" s="1091"/>
      <c r="E257" s="1091"/>
      <c r="F257" s="1091"/>
      <c r="G257" s="1091"/>
      <c r="H257" s="1091"/>
      <c r="I257" s="109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0" t="s">
        <v>53</v>
      </c>
      <c r="B262" s="1091"/>
      <c r="C262" s="1091"/>
      <c r="D262" s="1091"/>
      <c r="E262" s="1091"/>
      <c r="F262" s="1091"/>
      <c r="G262" s="1091"/>
      <c r="H262" s="1091"/>
      <c r="I262" s="109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0" t="s">
        <v>53</v>
      </c>
      <c r="B271" s="1091"/>
      <c r="C271" s="1091"/>
      <c r="D271" s="1091"/>
      <c r="E271" s="1091"/>
      <c r="F271" s="1091"/>
      <c r="G271" s="1091"/>
      <c r="H271" s="1091"/>
      <c r="I271" s="109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0" t="s">
        <v>53</v>
      </c>
      <c r="B275" s="1091"/>
      <c r="C275" s="1091"/>
      <c r="D275" s="1091"/>
      <c r="E275" s="1091"/>
      <c r="F275" s="1091"/>
      <c r="G275" s="1091"/>
      <c r="H275" s="1091"/>
      <c r="I275" s="109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0" t="s">
        <v>1646</v>
      </c>
      <c r="B296" s="1091"/>
      <c r="C296" s="1091"/>
      <c r="D296" s="1091"/>
      <c r="E296" s="1091"/>
      <c r="F296" s="1091"/>
      <c r="G296" s="1091"/>
      <c r="H296" s="1091"/>
      <c r="I296" s="109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7" t="s">
        <v>1521</v>
      </c>
      <c r="B343" s="128" t="s">
        <v>1531</v>
      </c>
      <c r="C343" s="1017" t="s">
        <v>306</v>
      </c>
      <c r="D343" s="1017" t="s">
        <v>322</v>
      </c>
      <c r="E343" s="898" t="s">
        <v>307</v>
      </c>
      <c r="F343" s="1130">
        <v>4266</v>
      </c>
      <c r="G343" s="1017" t="s">
        <v>640</v>
      </c>
      <c r="H343" s="1130" t="s">
        <v>1533</v>
      </c>
      <c r="I343" s="1017" t="s">
        <v>1534</v>
      </c>
      <c r="J343" s="898">
        <v>2</v>
      </c>
      <c r="K343" s="1087" t="s">
        <v>50</v>
      </c>
      <c r="L343" s="1087" t="s">
        <v>51</v>
      </c>
    </row>
    <row r="344" spans="1:13" x14ac:dyDescent="0.3">
      <c r="A344" s="1128"/>
      <c r="B344" s="129" t="s">
        <v>1532</v>
      </c>
      <c r="C344" s="899"/>
      <c r="D344" s="899"/>
      <c r="E344" s="899"/>
      <c r="F344" s="897"/>
      <c r="G344" s="899"/>
      <c r="H344" s="897"/>
      <c r="I344" s="899"/>
      <c r="J344" s="899"/>
      <c r="K344" s="1089"/>
      <c r="L344" s="1089"/>
    </row>
    <row r="345" spans="1:13" x14ac:dyDescent="0.3">
      <c r="A345" s="1128"/>
      <c r="B345" s="128" t="s">
        <v>1536</v>
      </c>
      <c r="C345" s="898" t="s">
        <v>306</v>
      </c>
      <c r="D345" s="898" t="s">
        <v>322</v>
      </c>
      <c r="E345" s="898" t="s">
        <v>307</v>
      </c>
      <c r="F345" s="896">
        <v>3306</v>
      </c>
      <c r="G345" s="898" t="s">
        <v>1153</v>
      </c>
      <c r="H345" s="896" t="s">
        <v>1538</v>
      </c>
      <c r="I345" s="898" t="s">
        <v>1534</v>
      </c>
      <c r="J345" s="898">
        <v>2</v>
      </c>
      <c r="K345" s="1087" t="s">
        <v>50</v>
      </c>
      <c r="L345" s="1087" t="s">
        <v>51</v>
      </c>
    </row>
    <row r="346" spans="1:13" x14ac:dyDescent="0.3">
      <c r="A346" s="1129"/>
      <c r="B346" s="129" t="s">
        <v>1537</v>
      </c>
      <c r="C346" s="899"/>
      <c r="D346" s="899"/>
      <c r="E346" s="899"/>
      <c r="F346" s="897"/>
      <c r="G346" s="899"/>
      <c r="H346" s="897"/>
      <c r="I346" s="899"/>
      <c r="J346" s="899"/>
      <c r="K346" s="1089"/>
      <c r="L346" s="1089"/>
    </row>
    <row r="347" spans="1:13" x14ac:dyDescent="0.3">
      <c r="A347" s="1090" t="s">
        <v>53</v>
      </c>
      <c r="B347" s="1091"/>
      <c r="C347" s="1091"/>
      <c r="D347" s="1091"/>
      <c r="E347" s="1091"/>
      <c r="F347" s="1091"/>
      <c r="G347" s="1091"/>
      <c r="H347" s="1091"/>
      <c r="I347" s="109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8" t="s">
        <v>53</v>
      </c>
      <c r="B357" s="878"/>
      <c r="C357" s="878"/>
      <c r="D357" s="878"/>
      <c r="E357" s="878"/>
      <c r="F357" s="878"/>
      <c r="G357" s="878"/>
      <c r="H357" s="878"/>
      <c r="I357" s="87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8" t="s">
        <v>1646</v>
      </c>
      <c r="B378" s="878"/>
      <c r="C378" s="878"/>
      <c r="D378" s="878"/>
      <c r="E378" s="878"/>
      <c r="F378" s="878"/>
      <c r="G378" s="878"/>
      <c r="H378" s="878"/>
      <c r="I378" s="878"/>
      <c r="J378" s="878"/>
      <c r="K378" s="4">
        <v>25</v>
      </c>
      <c r="L378" s="55"/>
    </row>
    <row r="381" spans="1:12" x14ac:dyDescent="0.3">
      <c r="B381" s="1110" t="s">
        <v>1</v>
      </c>
      <c r="C381" s="1110" t="s">
        <v>2</v>
      </c>
      <c r="D381" s="1110" t="s">
        <v>3</v>
      </c>
      <c r="E381" s="36" t="s">
        <v>54</v>
      </c>
      <c r="F381" s="1110" t="s">
        <v>5</v>
      </c>
      <c r="G381" s="1110" t="s">
        <v>6</v>
      </c>
      <c r="H381" s="1110" t="s">
        <v>7</v>
      </c>
      <c r="I381" s="1110" t="s">
        <v>55</v>
      </c>
      <c r="J381" s="1110" t="s">
        <v>9</v>
      </c>
      <c r="K381" s="1112" t="s">
        <v>56</v>
      </c>
      <c r="L381" s="1110" t="s">
        <v>57</v>
      </c>
    </row>
    <row r="382" spans="1:12" x14ac:dyDescent="0.3">
      <c r="B382" s="1111"/>
      <c r="C382" s="1111"/>
      <c r="D382" s="1111"/>
      <c r="E382" s="37" t="s">
        <v>59</v>
      </c>
      <c r="F382" s="1111"/>
      <c r="G382" s="1111"/>
      <c r="H382" s="1111"/>
      <c r="I382" s="1111"/>
      <c r="J382" s="1111"/>
      <c r="K382" s="1113"/>
      <c r="L382" s="111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2" t="s">
        <v>229</v>
      </c>
      <c r="B405" s="1098" t="s">
        <v>1805</v>
      </c>
      <c r="C405" s="1098" t="s">
        <v>700</v>
      </c>
      <c r="D405" s="1094" t="s">
        <v>675</v>
      </c>
      <c r="E405" s="1098" t="s">
        <v>1806</v>
      </c>
      <c r="F405" s="1098" t="s">
        <v>1807</v>
      </c>
      <c r="G405" s="1098" t="s">
        <v>662</v>
      </c>
      <c r="H405" s="1099" t="s">
        <v>1808</v>
      </c>
      <c r="I405" s="1094"/>
      <c r="J405" s="1099">
        <v>1</v>
      </c>
      <c r="K405" s="1087" t="s">
        <v>631</v>
      </c>
      <c r="L405" s="874" t="s">
        <v>51</v>
      </c>
    </row>
    <row r="406" spans="1:12" ht="13.5" customHeight="1" x14ac:dyDescent="0.3">
      <c r="A406" s="1102"/>
      <c r="B406" s="1098"/>
      <c r="C406" s="1098"/>
      <c r="D406" s="1094"/>
      <c r="E406" s="1098"/>
      <c r="F406" s="1098"/>
      <c r="G406" s="1098"/>
      <c r="H406" s="1099"/>
      <c r="I406" s="1094"/>
      <c r="J406" s="1099"/>
      <c r="K406" s="1089"/>
      <c r="L406" s="876"/>
    </row>
    <row r="407" spans="1:12" ht="27" customHeight="1" x14ac:dyDescent="0.3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2" t="s">
        <v>2008</v>
      </c>
      <c r="B412" s="1107" t="s">
        <v>2009</v>
      </c>
      <c r="C412" s="1087" t="s">
        <v>21</v>
      </c>
      <c r="D412" s="974" t="s">
        <v>14</v>
      </c>
      <c r="E412" s="1087" t="s">
        <v>78</v>
      </c>
      <c r="F412" s="1098" t="s">
        <v>2010</v>
      </c>
      <c r="G412" s="1098" t="s">
        <v>40</v>
      </c>
      <c r="H412" s="1099" t="s">
        <v>614</v>
      </c>
      <c r="I412" s="1094"/>
      <c r="J412" s="1099">
        <v>1</v>
      </c>
      <c r="K412" s="1087" t="s">
        <v>2011</v>
      </c>
      <c r="L412" s="874" t="s">
        <v>1997</v>
      </c>
    </row>
    <row r="413" spans="1:12" ht="20.100000000000001" customHeight="1" x14ac:dyDescent="0.3">
      <c r="A413" s="1102"/>
      <c r="B413" s="1098"/>
      <c r="C413" s="1089"/>
      <c r="D413" s="976"/>
      <c r="E413" s="1089"/>
      <c r="F413" s="1098"/>
      <c r="G413" s="1098"/>
      <c r="H413" s="1099"/>
      <c r="I413" s="1094"/>
      <c r="J413" s="1099"/>
      <c r="K413" s="1089"/>
      <c r="L413" s="876"/>
    </row>
    <row r="414" spans="1:12" ht="20.100000000000001" customHeight="1" x14ac:dyDescent="0.3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5"/>
      <c r="B418" s="78" t="s">
        <v>1748</v>
      </c>
      <c r="C418" s="1094" t="s">
        <v>306</v>
      </c>
      <c r="D418" s="1094" t="s">
        <v>322</v>
      </c>
      <c r="E418" s="1094" t="s">
        <v>307</v>
      </c>
      <c r="F418" s="1099">
        <v>3306</v>
      </c>
      <c r="G418" s="1094" t="s">
        <v>1153</v>
      </c>
      <c r="H418" s="1099" t="s">
        <v>1749</v>
      </c>
      <c r="I418" s="1094" t="s">
        <v>664</v>
      </c>
      <c r="J418" s="1094">
        <v>4</v>
      </c>
      <c r="K418" s="1087" t="s">
        <v>631</v>
      </c>
      <c r="L418" s="874" t="s">
        <v>51</v>
      </c>
    </row>
    <row r="419" spans="1:12" ht="13.5" customHeight="1" x14ac:dyDescent="0.3">
      <c r="A419" s="875"/>
      <c r="B419" s="79" t="s">
        <v>1751</v>
      </c>
      <c r="C419" s="1094"/>
      <c r="D419" s="1094"/>
      <c r="E419" s="1094"/>
      <c r="F419" s="1099"/>
      <c r="G419" s="1094"/>
      <c r="H419" s="1099"/>
      <c r="I419" s="1094"/>
      <c r="J419" s="1094"/>
      <c r="K419" s="1089"/>
      <c r="L419" s="876"/>
    </row>
    <row r="420" spans="1:12" ht="13.5" customHeight="1" x14ac:dyDescent="0.3">
      <c r="A420" s="875"/>
      <c r="B420" s="78" t="s">
        <v>1800</v>
      </c>
      <c r="C420" s="1094" t="s">
        <v>306</v>
      </c>
      <c r="D420" s="1094" t="s">
        <v>322</v>
      </c>
      <c r="E420" s="1094" t="s">
        <v>307</v>
      </c>
      <c r="F420" s="1099" t="s">
        <v>1801</v>
      </c>
      <c r="G420" s="1094" t="s">
        <v>1802</v>
      </c>
      <c r="H420" s="1099" t="s">
        <v>1803</v>
      </c>
      <c r="I420" s="1094" t="s">
        <v>664</v>
      </c>
      <c r="J420" s="1094">
        <v>5</v>
      </c>
      <c r="K420" s="1087" t="s">
        <v>631</v>
      </c>
      <c r="L420" s="874" t="s">
        <v>51</v>
      </c>
    </row>
    <row r="421" spans="1:12" ht="13.5" customHeight="1" x14ac:dyDescent="0.3">
      <c r="A421" s="875"/>
      <c r="B421" s="79" t="s">
        <v>1795</v>
      </c>
      <c r="C421" s="1094"/>
      <c r="D421" s="1094"/>
      <c r="E421" s="1094"/>
      <c r="F421" s="1099"/>
      <c r="G421" s="1094"/>
      <c r="H421" s="1099"/>
      <c r="I421" s="1094"/>
      <c r="J421" s="1094"/>
      <c r="K421" s="1089"/>
      <c r="L421" s="876"/>
    </row>
    <row r="422" spans="1:12" ht="27" customHeight="1" x14ac:dyDescent="0.3">
      <c r="A422" s="8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3" t="s">
        <v>2027</v>
      </c>
      <c r="B438" s="252" t="s">
        <v>1760</v>
      </c>
      <c r="C438" s="979" t="s">
        <v>306</v>
      </c>
      <c r="D438" s="979" t="s">
        <v>322</v>
      </c>
      <c r="E438" s="979" t="s">
        <v>307</v>
      </c>
      <c r="F438" s="1103" t="s">
        <v>1761</v>
      </c>
      <c r="G438" s="979" t="s">
        <v>329</v>
      </c>
      <c r="H438" s="1105" t="s">
        <v>1762</v>
      </c>
      <c r="I438" s="962" t="s">
        <v>664</v>
      </c>
      <c r="J438" s="1100">
        <v>2</v>
      </c>
      <c r="K438" s="1087" t="s">
        <v>1996</v>
      </c>
      <c r="L438" s="1087" t="s">
        <v>51</v>
      </c>
    </row>
    <row r="439" spans="1:12" ht="13.5" customHeight="1" x14ac:dyDescent="0.3">
      <c r="A439" s="914"/>
      <c r="B439" s="253" t="s">
        <v>2028</v>
      </c>
      <c r="C439" s="980"/>
      <c r="D439" s="980"/>
      <c r="E439" s="980"/>
      <c r="F439" s="1104"/>
      <c r="G439" s="980"/>
      <c r="H439" s="1106"/>
      <c r="I439" s="963"/>
      <c r="J439" s="1101"/>
      <c r="K439" s="1089"/>
      <c r="L439" s="1089"/>
    </row>
    <row r="440" spans="1:12" ht="13.5" customHeight="1" x14ac:dyDescent="0.3">
      <c r="A440" s="914"/>
      <c r="B440" s="254" t="s">
        <v>1794</v>
      </c>
      <c r="C440" s="880" t="s">
        <v>306</v>
      </c>
      <c r="D440" s="880" t="s">
        <v>322</v>
      </c>
      <c r="E440" s="880" t="s">
        <v>307</v>
      </c>
      <c r="F440" s="879" t="s">
        <v>1796</v>
      </c>
      <c r="G440" s="880" t="s">
        <v>1797</v>
      </c>
      <c r="H440" s="879" t="s">
        <v>1792</v>
      </c>
      <c r="I440" s="880" t="s">
        <v>664</v>
      </c>
      <c r="J440" s="898">
        <v>4</v>
      </c>
      <c r="K440" s="1087" t="s">
        <v>631</v>
      </c>
      <c r="L440" s="1087" t="s">
        <v>1997</v>
      </c>
    </row>
    <row r="441" spans="1:12" ht="13.5" customHeight="1" x14ac:dyDescent="0.3">
      <c r="A441" s="914"/>
      <c r="B441" s="255" t="s">
        <v>1795</v>
      </c>
      <c r="C441" s="880"/>
      <c r="D441" s="880"/>
      <c r="E441" s="880"/>
      <c r="F441" s="879"/>
      <c r="G441" s="880"/>
      <c r="H441" s="879"/>
      <c r="I441" s="880"/>
      <c r="J441" s="899"/>
      <c r="K441" s="1089"/>
      <c r="L441" s="1089"/>
    </row>
    <row r="442" spans="1:12" ht="20.100000000000001" customHeight="1" x14ac:dyDescent="0.3">
      <c r="A442" s="91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0" t="s">
        <v>1646</v>
      </c>
      <c r="B450" s="1091"/>
      <c r="C450" s="1091"/>
      <c r="D450" s="1091"/>
      <c r="E450" s="1091"/>
      <c r="F450" s="1091"/>
      <c r="G450" s="1091"/>
      <c r="H450" s="1091"/>
      <c r="I450" s="109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8" t="s">
        <v>2059</v>
      </c>
      <c r="B459" s="878"/>
      <c r="C459" s="878"/>
      <c r="D459" s="878"/>
      <c r="E459" s="878"/>
      <c r="F459" s="878"/>
      <c r="G459" s="878"/>
      <c r="H459" s="878"/>
      <c r="I459" s="87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6"/>
      <c r="B463" s="1095" t="s">
        <v>1767</v>
      </c>
      <c r="C463" s="1096" t="s">
        <v>311</v>
      </c>
      <c r="D463" s="1096" t="s">
        <v>320</v>
      </c>
      <c r="E463" s="1096" t="s">
        <v>709</v>
      </c>
      <c r="F463" s="1096" t="s">
        <v>1768</v>
      </c>
      <c r="G463" s="1095" t="s">
        <v>1769</v>
      </c>
      <c r="H463" s="258" t="s">
        <v>1770</v>
      </c>
      <c r="I463" s="1096"/>
      <c r="J463" s="1096">
        <v>1</v>
      </c>
      <c r="K463" s="974" t="s">
        <v>631</v>
      </c>
      <c r="L463" s="1006" t="s">
        <v>51</v>
      </c>
    </row>
    <row r="464" spans="1:12" ht="13.5" customHeight="1" x14ac:dyDescent="0.3">
      <c r="A464" s="866"/>
      <c r="B464" s="1095"/>
      <c r="C464" s="1096"/>
      <c r="D464" s="1096"/>
      <c r="E464" s="1096"/>
      <c r="F464" s="1096"/>
      <c r="G464" s="1095"/>
      <c r="H464" s="259" t="s">
        <v>1773</v>
      </c>
      <c r="I464" s="1096"/>
      <c r="J464" s="1096"/>
      <c r="K464" s="976"/>
      <c r="L464" s="1007"/>
    </row>
    <row r="465" spans="1:12" ht="13.5" customHeight="1" x14ac:dyDescent="0.3">
      <c r="A465" s="866"/>
      <c r="B465" s="1097" t="s">
        <v>1813</v>
      </c>
      <c r="C465" s="1098" t="s">
        <v>700</v>
      </c>
      <c r="D465" s="1094" t="s">
        <v>320</v>
      </c>
      <c r="E465" s="1094" t="s">
        <v>337</v>
      </c>
      <c r="F465" s="1098" t="s">
        <v>353</v>
      </c>
      <c r="G465" s="1098" t="s">
        <v>1814</v>
      </c>
      <c r="H465" s="1099" t="s">
        <v>1815</v>
      </c>
      <c r="I465" s="1094" t="s">
        <v>638</v>
      </c>
      <c r="J465" s="1099">
        <v>2</v>
      </c>
      <c r="K465" s="1087" t="s">
        <v>631</v>
      </c>
      <c r="L465" s="1087" t="s">
        <v>51</v>
      </c>
    </row>
    <row r="466" spans="1:12" ht="13.5" customHeight="1" x14ac:dyDescent="0.3">
      <c r="A466" s="866"/>
      <c r="B466" s="1097"/>
      <c r="C466" s="1098"/>
      <c r="D466" s="1094"/>
      <c r="E466" s="1094"/>
      <c r="F466" s="1098"/>
      <c r="G466" s="1098"/>
      <c r="H466" s="1099"/>
      <c r="I466" s="1094"/>
      <c r="J466" s="1099"/>
      <c r="K466" s="1089"/>
      <c r="L466" s="1089"/>
    </row>
    <row r="467" spans="1:12" ht="27" customHeight="1" x14ac:dyDescent="0.3">
      <c r="A467" s="8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6"/>
      <c r="B468" s="1098" t="s">
        <v>1820</v>
      </c>
      <c r="C468" s="1098" t="s">
        <v>700</v>
      </c>
      <c r="D468" s="1094" t="s">
        <v>320</v>
      </c>
      <c r="E468" s="1094" t="s">
        <v>709</v>
      </c>
      <c r="F468" s="1094" t="s">
        <v>1768</v>
      </c>
      <c r="G468" s="1098" t="s">
        <v>1821</v>
      </c>
      <c r="H468" s="261" t="s">
        <v>1822</v>
      </c>
      <c r="I468" s="1094" t="s">
        <v>638</v>
      </c>
      <c r="J468" s="1094">
        <v>2</v>
      </c>
      <c r="K468" s="1087" t="s">
        <v>631</v>
      </c>
      <c r="L468" s="1087" t="s">
        <v>51</v>
      </c>
    </row>
    <row r="469" spans="1:12" ht="13.5" customHeight="1" x14ac:dyDescent="0.3">
      <c r="A469" s="866"/>
      <c r="B469" s="1098"/>
      <c r="C469" s="1098"/>
      <c r="D469" s="1094"/>
      <c r="E469" s="1094"/>
      <c r="F469" s="1094"/>
      <c r="G469" s="1098"/>
      <c r="H469" s="262" t="s">
        <v>1823</v>
      </c>
      <c r="I469" s="1094"/>
      <c r="J469" s="1094"/>
      <c r="K469" s="1089"/>
      <c r="L469" s="1089"/>
    </row>
    <row r="470" spans="1:12" ht="27" customHeight="1" x14ac:dyDescent="0.3">
      <c r="A470" s="8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4" t="s">
        <v>228</v>
      </c>
      <c r="B476" s="1095" t="s">
        <v>1767</v>
      </c>
      <c r="C476" s="1096" t="s">
        <v>311</v>
      </c>
      <c r="D476" s="1096" t="s">
        <v>320</v>
      </c>
      <c r="E476" s="1096" t="s">
        <v>709</v>
      </c>
      <c r="F476" s="1096" t="s">
        <v>1768</v>
      </c>
      <c r="G476" s="1095" t="s">
        <v>1769</v>
      </c>
      <c r="H476" s="258" t="s">
        <v>1770</v>
      </c>
      <c r="I476" s="1096"/>
      <c r="J476" s="1096">
        <v>1</v>
      </c>
      <c r="K476" s="974" t="s">
        <v>631</v>
      </c>
      <c r="L476" s="1006" t="s">
        <v>51</v>
      </c>
    </row>
    <row r="477" spans="1:12" ht="13.5" customHeight="1" x14ac:dyDescent="0.3">
      <c r="A477" s="864"/>
      <c r="B477" s="1095"/>
      <c r="C477" s="1096"/>
      <c r="D477" s="1096"/>
      <c r="E477" s="1096"/>
      <c r="F477" s="1096"/>
      <c r="G477" s="1095"/>
      <c r="H477" s="259" t="s">
        <v>1773</v>
      </c>
      <c r="I477" s="1096"/>
      <c r="J477" s="1096"/>
      <c r="K477" s="976"/>
      <c r="L477" s="1007"/>
    </row>
    <row r="478" spans="1:12" ht="27" customHeight="1" x14ac:dyDescent="0.3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0" t="s">
        <v>53</v>
      </c>
      <c r="B487" s="1091"/>
      <c r="C487" s="1091"/>
      <c r="D487" s="1091"/>
      <c r="E487" s="1091"/>
      <c r="F487" s="1091"/>
      <c r="G487" s="1091"/>
      <c r="H487" s="1091"/>
      <c r="I487" s="109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6"/>
      <c r="B494" s="1084" t="s">
        <v>2182</v>
      </c>
      <c r="C494" s="1084" t="s">
        <v>306</v>
      </c>
      <c r="D494" s="1084" t="s">
        <v>322</v>
      </c>
      <c r="E494" s="1084" t="s">
        <v>307</v>
      </c>
      <c r="F494" s="1093" t="s">
        <v>1919</v>
      </c>
      <c r="G494" s="1084" t="s">
        <v>662</v>
      </c>
      <c r="H494" s="1093" t="s">
        <v>1920</v>
      </c>
      <c r="I494" s="1084" t="s">
        <v>349</v>
      </c>
      <c r="J494" s="1084">
        <v>2</v>
      </c>
      <c r="K494" s="1098" t="s">
        <v>50</v>
      </c>
      <c r="L494" s="222">
        <v>23</v>
      </c>
    </row>
    <row r="495" spans="1:12" ht="12.6" customHeight="1" x14ac:dyDescent="0.3">
      <c r="A495" s="1086"/>
      <c r="B495" s="1084"/>
      <c r="C495" s="1084"/>
      <c r="D495" s="1084"/>
      <c r="E495" s="1084"/>
      <c r="F495" s="1093"/>
      <c r="G495" s="1084"/>
      <c r="H495" s="1093"/>
      <c r="I495" s="1084"/>
      <c r="J495" s="1084"/>
      <c r="K495" s="1098"/>
    </row>
    <row r="496" spans="1:12" ht="24.95" customHeight="1" x14ac:dyDescent="0.3">
      <c r="A496" s="108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8" t="s">
        <v>2233</v>
      </c>
      <c r="B522" s="878"/>
      <c r="C522" s="878"/>
      <c r="D522" s="878"/>
      <c r="E522" s="878"/>
      <c r="F522" s="878"/>
      <c r="G522" s="878"/>
      <c r="H522" s="878"/>
      <c r="I522" s="87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0" t="s">
        <v>2238</v>
      </c>
      <c r="B540" s="1091"/>
      <c r="C540" s="1091"/>
      <c r="D540" s="1091"/>
      <c r="E540" s="1091"/>
      <c r="F540" s="1091"/>
      <c r="G540" s="1091"/>
      <c r="H540" s="1091"/>
      <c r="I540" s="109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2" t="s">
        <v>306</v>
      </c>
      <c r="D569" s="922" t="s">
        <v>322</v>
      </c>
      <c r="E569" s="922" t="s">
        <v>307</v>
      </c>
      <c r="F569" s="922">
        <v>3306</v>
      </c>
      <c r="G569" s="922" t="s">
        <v>1153</v>
      </c>
      <c r="H569" s="922" t="s">
        <v>1907</v>
      </c>
      <c r="I569" s="922" t="s">
        <v>1111</v>
      </c>
      <c r="J569" s="922" t="s">
        <v>692</v>
      </c>
      <c r="K569" s="1131" t="s">
        <v>2291</v>
      </c>
    </row>
    <row r="570" spans="1:12" x14ac:dyDescent="0.3">
      <c r="B570" s="243" t="s">
        <v>1909</v>
      </c>
      <c r="C570" s="923"/>
      <c r="D570" s="923"/>
      <c r="E570" s="923"/>
      <c r="F570" s="923"/>
      <c r="G570" s="923"/>
      <c r="H570" s="923"/>
      <c r="I570" s="923"/>
      <c r="J570" s="923"/>
      <c r="K570" s="113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8" t="s">
        <v>2406</v>
      </c>
      <c r="B592" s="878"/>
      <c r="C592" s="878"/>
      <c r="D592" s="878"/>
      <c r="E592" s="878"/>
      <c r="F592" s="878"/>
      <c r="G592" s="878"/>
      <c r="H592" s="878"/>
      <c r="I592" s="87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8" t="s">
        <v>2406</v>
      </c>
      <c r="B601" s="878"/>
      <c r="C601" s="878"/>
      <c r="D601" s="878"/>
      <c r="E601" s="878"/>
      <c r="F601" s="878"/>
      <c r="G601" s="878"/>
      <c r="H601" s="878"/>
      <c r="I601" s="87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9" t="s">
        <v>1646</v>
      </c>
      <c r="B688" s="1139"/>
      <c r="C688" s="1139"/>
      <c r="D688" s="1139"/>
      <c r="E688" s="1139"/>
      <c r="F688" s="1139"/>
      <c r="G688" s="1139"/>
      <c r="H688" s="1139"/>
      <c r="I688" s="113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9" t="s">
        <v>1646</v>
      </c>
      <c r="B699" s="1139"/>
      <c r="C699" s="1139"/>
      <c r="D699" s="1139"/>
      <c r="E699" s="1139"/>
      <c r="F699" s="1139"/>
      <c r="G699" s="1139"/>
      <c r="H699" s="1139"/>
      <c r="I699" s="113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3" t="s">
        <v>1646</v>
      </c>
      <c r="B717" s="1073"/>
      <c r="C717" s="1073"/>
      <c r="D717" s="1073"/>
      <c r="E717" s="1073"/>
      <c r="F717" s="1073"/>
      <c r="G717" s="1073"/>
      <c r="H717" s="1073"/>
      <c r="I717" s="107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3" t="s">
        <v>1646</v>
      </c>
      <c r="B731" s="1073"/>
      <c r="C731" s="1073"/>
      <c r="D731" s="1073"/>
      <c r="E731" s="1073"/>
      <c r="F731" s="1073"/>
      <c r="G731" s="1073"/>
      <c r="H731" s="1073"/>
      <c r="I731" s="107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3" t="s">
        <v>1646</v>
      </c>
      <c r="B749" s="1073"/>
      <c r="C749" s="1073"/>
      <c r="D749" s="1073"/>
      <c r="E749" s="1073"/>
      <c r="F749" s="1073"/>
      <c r="G749" s="1073"/>
      <c r="H749" s="1073"/>
      <c r="I749" s="107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7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7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7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7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7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7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7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7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7" t="s">
        <v>1646</v>
      </c>
      <c r="B762" s="1057"/>
      <c r="C762" s="1057"/>
      <c r="D762" s="1057"/>
      <c r="E762" s="1057"/>
      <c r="F762" s="1057"/>
      <c r="G762" s="1057"/>
      <c r="H762" s="1057"/>
      <c r="I762" s="10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7" t="s">
        <v>1646</v>
      </c>
      <c r="B770" s="1057"/>
      <c r="C770" s="1057"/>
      <c r="D770" s="1057"/>
      <c r="E770" s="1057"/>
      <c r="F770" s="1057"/>
      <c r="G770" s="1057"/>
      <c r="H770" s="1057"/>
      <c r="I770" s="10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7" t="s">
        <v>1646</v>
      </c>
      <c r="B778" s="1057"/>
      <c r="C778" s="1057"/>
      <c r="D778" s="1057"/>
      <c r="E778" s="1057"/>
      <c r="F778" s="1057"/>
      <c r="G778" s="1057"/>
      <c r="H778" s="1057"/>
      <c r="I778" s="10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7" t="s">
        <v>1646</v>
      </c>
      <c r="B790" s="1057"/>
      <c r="C790" s="1057"/>
      <c r="D790" s="1057"/>
      <c r="E790" s="1057"/>
      <c r="F790" s="1057"/>
      <c r="G790" s="1057"/>
      <c r="H790" s="1057"/>
      <c r="I790" s="10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7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7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7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7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7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7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7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7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7" t="s">
        <v>1646</v>
      </c>
      <c r="B802" s="1057"/>
      <c r="C802" s="1057"/>
      <c r="D802" s="1057"/>
      <c r="E802" s="1057"/>
      <c r="F802" s="1057"/>
      <c r="G802" s="1057"/>
      <c r="H802" s="1057"/>
      <c r="I802" s="10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7" t="s">
        <v>1646</v>
      </c>
      <c r="B812" s="1057"/>
      <c r="C812" s="1057"/>
      <c r="D812" s="1057"/>
      <c r="E812" s="1057"/>
      <c r="F812" s="1057"/>
      <c r="G812" s="1057"/>
      <c r="H812" s="1057"/>
      <c r="I812" s="10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7" t="s">
        <v>1646</v>
      </c>
      <c r="B819" s="1057"/>
      <c r="C819" s="1057"/>
      <c r="D819" s="1057"/>
      <c r="E819" s="1057"/>
      <c r="F819" s="1057"/>
      <c r="G819" s="1057"/>
      <c r="H819" s="1057"/>
      <c r="I819" s="105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7" t="s">
        <v>1646</v>
      </c>
      <c r="B834" s="1057"/>
      <c r="C834" s="1057"/>
      <c r="D834" s="1057"/>
      <c r="E834" s="1057"/>
      <c r="F834" s="1057"/>
      <c r="G834" s="1057"/>
      <c r="H834" s="1057"/>
      <c r="I834" s="105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7" t="s">
        <v>1646</v>
      </c>
      <c r="B841" s="1057"/>
      <c r="C841" s="1057"/>
      <c r="D841" s="1057"/>
      <c r="E841" s="1057"/>
      <c r="F841" s="1057"/>
      <c r="G841" s="1057"/>
      <c r="H841" s="1057"/>
      <c r="I841" s="105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7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7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7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7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7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7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7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7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7" t="s">
        <v>1646</v>
      </c>
      <c r="B853" s="1057"/>
      <c r="C853" s="1057"/>
      <c r="D853" s="1057"/>
      <c r="E853" s="1057"/>
      <c r="F853" s="1057"/>
      <c r="G853" s="1057"/>
      <c r="H853" s="1057"/>
      <c r="I853" s="10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7" t="s">
        <v>1646</v>
      </c>
      <c r="B876" s="1057"/>
      <c r="C876" s="1057"/>
      <c r="D876" s="1057"/>
      <c r="E876" s="1057"/>
      <c r="F876" s="1057"/>
      <c r="G876" s="1057"/>
      <c r="H876" s="1057"/>
      <c r="I876" s="10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7" t="s">
        <v>1646</v>
      </c>
      <c r="B887" s="1057"/>
      <c r="C887" s="1057"/>
      <c r="D887" s="1057"/>
      <c r="E887" s="1057"/>
      <c r="F887" s="1057"/>
      <c r="G887" s="1057"/>
      <c r="H887" s="1057"/>
      <c r="I887" s="10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7" t="s">
        <v>1646</v>
      </c>
      <c r="B904" s="1057"/>
      <c r="C904" s="1057"/>
      <c r="D904" s="1057"/>
      <c r="E904" s="1057"/>
      <c r="F904" s="1057"/>
      <c r="G904" s="1057"/>
      <c r="H904" s="1057"/>
      <c r="I904" s="10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7" t="s">
        <v>1646</v>
      </c>
      <c r="B919" s="1057"/>
      <c r="C919" s="1057"/>
      <c r="D919" s="1057"/>
      <c r="E919" s="1057"/>
      <c r="F919" s="1057"/>
      <c r="G919" s="1057"/>
      <c r="H919" s="1057"/>
      <c r="I919" s="10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7" t="s">
        <v>1646</v>
      </c>
      <c r="B930" s="1057"/>
      <c r="C930" s="1057"/>
      <c r="D930" s="1057"/>
      <c r="E930" s="1057"/>
      <c r="F930" s="1057"/>
      <c r="G930" s="1057"/>
      <c r="H930" s="1057"/>
      <c r="I930" s="10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7" t="s">
        <v>1646</v>
      </c>
      <c r="B944" s="1057"/>
      <c r="C944" s="1057"/>
      <c r="D944" s="1057"/>
      <c r="E944" s="1057"/>
      <c r="F944" s="1057"/>
      <c r="G944" s="1057"/>
      <c r="H944" s="1057"/>
      <c r="I944" s="10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4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7" t="s">
        <v>1646</v>
      </c>
      <c r="B952" s="1057"/>
      <c r="C952" s="1057"/>
      <c r="D952" s="1057"/>
      <c r="E952" s="1057"/>
      <c r="F952" s="1057"/>
      <c r="G952" s="1057"/>
      <c r="H952" s="1057"/>
      <c r="I952" s="10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7" t="s">
        <v>1646</v>
      </c>
      <c r="B956" s="1057"/>
      <c r="C956" s="1057"/>
      <c r="D956" s="1057"/>
      <c r="E956" s="1057"/>
      <c r="F956" s="1057"/>
      <c r="G956" s="1057"/>
      <c r="H956" s="1057"/>
      <c r="I956" s="10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7" t="s">
        <v>1646</v>
      </c>
      <c r="B964" s="1057"/>
      <c r="C964" s="1057"/>
      <c r="D964" s="1057"/>
      <c r="E964" s="1057"/>
      <c r="F964" s="1057"/>
      <c r="G964" s="1057"/>
      <c r="H964" s="1057"/>
      <c r="I964" s="10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7" t="s">
        <v>1646</v>
      </c>
      <c r="B976" s="1057"/>
      <c r="C976" s="1057"/>
      <c r="D976" s="1057"/>
      <c r="E976" s="1057"/>
      <c r="F976" s="1057"/>
      <c r="G976" s="1057"/>
      <c r="H976" s="1057"/>
      <c r="I976" s="10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7" t="s">
        <v>1646</v>
      </c>
      <c r="B982" s="1057"/>
      <c r="C982" s="1057"/>
      <c r="D982" s="1057"/>
      <c r="E982" s="1057"/>
      <c r="F982" s="1057"/>
      <c r="G982" s="1057"/>
      <c r="H982" s="1057"/>
      <c r="I982" s="10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7" t="s">
        <v>1646</v>
      </c>
      <c r="B989" s="1057"/>
      <c r="C989" s="1057"/>
      <c r="D989" s="1057"/>
      <c r="E989" s="1057"/>
      <c r="F989" s="1057"/>
      <c r="G989" s="1057"/>
      <c r="H989" s="1057"/>
      <c r="I989" s="10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7" t="s">
        <v>1646</v>
      </c>
      <c r="B1003" s="1057"/>
      <c r="C1003" s="1057"/>
      <c r="D1003" s="1057"/>
      <c r="E1003" s="1057"/>
      <c r="F1003" s="1057"/>
      <c r="G1003" s="1057"/>
      <c r="H1003" s="1057"/>
      <c r="I1003" s="10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40" t="s">
        <v>7096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41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41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41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41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41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41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41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41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41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2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7" t="s">
        <v>1646</v>
      </c>
      <c r="B1018" s="1057"/>
      <c r="C1018" s="1057"/>
      <c r="D1018" s="1057"/>
      <c r="E1018" s="1057"/>
      <c r="F1018" s="1057"/>
      <c r="G1018" s="1057"/>
      <c r="H1018" s="1057"/>
      <c r="I1018" s="10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2" t="s">
        <v>7097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3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3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3"/>
      <c r="B1030" s="369" t="s">
        <v>7021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4"/>
      <c r="B1031" s="369" t="s">
        <v>7022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7" t="s">
        <v>1646</v>
      </c>
      <c r="B1032" s="1057"/>
      <c r="C1032" s="1057"/>
      <c r="D1032" s="1057"/>
      <c r="E1032" s="1057"/>
      <c r="F1032" s="1057"/>
      <c r="G1032" s="1057"/>
      <c r="H1032" s="1057"/>
      <c r="I1032" s="10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61" t="s">
        <v>7097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2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2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2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2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2"/>
      <c r="B1044" s="817" t="s">
        <v>7098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7099</v>
      </c>
    </row>
    <row r="1045" spans="1:11" ht="24" x14ac:dyDescent="0.3">
      <c r="A1045" s="1062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2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2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2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3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7" t="s">
        <v>1646</v>
      </c>
      <c r="B1050" s="1057"/>
      <c r="C1050" s="1057"/>
      <c r="D1050" s="1057"/>
      <c r="E1050" s="1057"/>
      <c r="F1050" s="1057"/>
      <c r="G1050" s="1057"/>
      <c r="H1050" s="1057"/>
      <c r="I1050" s="105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4" t="s">
        <v>7100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4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4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4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7" t="s">
        <v>1646</v>
      </c>
      <c r="B1061" s="1057"/>
      <c r="C1061" s="1057"/>
      <c r="D1061" s="1057"/>
      <c r="E1061" s="1057"/>
      <c r="F1061" s="1057"/>
      <c r="G1061" s="1057"/>
      <c r="H1061" s="1057"/>
      <c r="I1061" s="105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8" t="s">
        <v>7100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9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6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7" t="s">
        <v>1646</v>
      </c>
      <c r="B1069" s="1057"/>
      <c r="C1069" s="1057"/>
      <c r="D1069" s="1057"/>
      <c r="E1069" s="1057"/>
      <c r="F1069" s="1057"/>
      <c r="G1069" s="1057"/>
      <c r="H1069" s="1057"/>
      <c r="I1069" s="105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8" t="s">
        <v>7101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9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9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9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9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9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9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9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9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9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9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6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7" t="s">
        <v>1646</v>
      </c>
      <c r="B1087" s="1057"/>
      <c r="C1087" s="1057"/>
      <c r="D1087" s="1057"/>
      <c r="E1087" s="1057"/>
      <c r="F1087" s="1057"/>
      <c r="G1087" s="1057"/>
      <c r="H1087" s="1057"/>
      <c r="I1087" s="105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8" t="s">
        <v>7102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7105</v>
      </c>
    </row>
    <row r="1093" spans="1:11" x14ac:dyDescent="0.3">
      <c r="A1093" s="105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7103</v>
      </c>
      <c r="I1095" s="824"/>
      <c r="J1095" s="823">
        <v>1</v>
      </c>
      <c r="K1095" s="618" t="s">
        <v>50</v>
      </c>
    </row>
    <row r="1096" spans="1:11" x14ac:dyDescent="0.3">
      <c r="A1096" s="105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7104</v>
      </c>
      <c r="I1096" s="824"/>
      <c r="J1096" s="823">
        <v>1</v>
      </c>
      <c r="K1096" s="618" t="s">
        <v>50</v>
      </c>
    </row>
    <row r="1097" spans="1:11" x14ac:dyDescent="0.3">
      <c r="A1097" s="105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6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7" t="s">
        <v>1646</v>
      </c>
      <c r="B1099" s="1057"/>
      <c r="C1099" s="1057"/>
      <c r="D1099" s="1057"/>
      <c r="E1099" s="1057"/>
      <c r="F1099" s="1057"/>
      <c r="G1099" s="1057"/>
      <c r="H1099" s="1057"/>
      <c r="I1099" s="1057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8" t="s">
        <v>5385</v>
      </c>
      <c r="I12" s="878"/>
      <c r="J12" s="878"/>
      <c r="K12" s="87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8" t="s">
        <v>5386</v>
      </c>
      <c r="I20" s="878"/>
      <c r="J20" s="878"/>
      <c r="K20" s="87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2026-09-17T23:30:55Z</dcterms:modified>
</cp:coreProperties>
</file>