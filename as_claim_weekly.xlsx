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<sst xmlns="http://schemas.openxmlformats.org/spreadsheetml/2006/main" count="25456" uniqueCount="6573">
  <si>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</si>
  <si>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</si>
  <si>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</si>
  <si>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</si>
  <si>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</si>
  <si>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</si>
  <si>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</si>
  <si>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</si>
  <si>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</si>
  <si>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</si>
  <si>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</si>
  <si>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</si>
  <si>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</si>
  <si>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</si>
  <si>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</si>
  <si>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</si>
  <si>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</si>
  <si>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</si>
  <si>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</si>
  <si>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</si>
  <si>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</si>
  <si>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</si>
  <si>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</si>
  <si>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</si>
  <si>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</si>
  <si>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</si>
  <si>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</si>
  <si>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</si>
  <si>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</si>
  <si>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</si>
  <si>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</si>
  <si>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</si>
  <si>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</si>
  <si>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</si>
  <si>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</si>
  <si>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</si>
  <si>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</si>
  <si>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</si>
  <si>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</si>
  <si>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</si>
  <si>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</si>
  <si>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</si>
  <si>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</si>
  <si>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</si>
  <si>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</si>
  <si>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</si>
  <si>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</si>
  <si>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</si>
  <si>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</si>
  <si>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</si>
  <si>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</si>
  <si>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</si>
  <si>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</si>
  <si>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</si>
  <si>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</si>
  <si>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</si>
  <si>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</si>
  <si>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</si>
  <si>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</si>
  <si>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</si>
  <si>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</si>
  <si>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</si>
  <si>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</si>
  <si>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</si>
  <si>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</si>
  <si>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</si>
  <si>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</si>
  <si>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</si>
  <si>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</si>
  <si>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</si>
  <si>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</si>
  <si>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</si>
  <si>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</si>
  <si>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</si>
  <si>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</si>
  <si>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</si>
  <si>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</si>
  <si>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</si>
  <si>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</si>
  <si>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</si>
  <si>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</si>
  <si>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</si>
  <si>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</si>
  <si>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</si>
  <si>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</si>
  <si>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</si>
  <si>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</si>
  <si>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</si>
  <si>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</si>
  <si>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</si>
  <si>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</si>
  <si>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</si>
  <si>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</si>
  <si>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</si>
  <si>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</si>
  <si>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</si>
  <si>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</si>
  <si>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</si>
  <si>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</si>
  <si>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</si>
  <si>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</si>
  <si>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</si>
  <si>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</si>
  <si>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</si>
  <si>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</si>
  <si>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</si>
  <si>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</si>
  <si>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</si>
  <si>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</si>
  <si>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</si>
  <si>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</si>
  <si>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</si>
  <si>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</si>
  <si>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</si>
  <si>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</si>
  <si>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</si>
  <si>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</si>
  <si>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</si>
  <si>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</si>
  <si>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</si>
  <si>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</si>
  <si>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</si>
  <si>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</si>
  <si>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</si>
  <si>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</si>
  <si>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</si>
  <si>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</si>
  <si>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</si>
  <si>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</si>
  <si>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</si>
  <si>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</si>
  <si>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</si>
  <si>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</si>
  <si>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</si>
  <si>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</si>
  <si>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</si>
  <si>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</si>
  <si>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</si>
  <si>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</si>
  <si>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</si>
  <si>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</si>
  <si>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</si>
  <si>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</si>
  <si>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</si>
  <si>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</si>
  <si>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</si>
  <si>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</si>
  <si>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</si>
  <si>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</si>
  <si>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</si>
  <si>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</si>
  <si>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</si>
  <si>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</si>
  <si>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</si>
  <si>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</si>
  <si>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</si>
  <si>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</si>
  <si>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</si>
  <si>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</si>
  <si>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</si>
  <si>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</si>
  <si>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</si>
  <si>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</si>
  <si>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</si>
  <si>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</si>
  <si>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</si>
  <si>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</si>
  <si>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</si>
  <si>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</si>
  <si>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</si>
  <si>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</si>
  <si>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</si>
  <si>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</si>
  <si>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</si>
  <si>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</si>
  <si>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</si>
  <si>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</si>
  <si>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</si>
  <si>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</si>
  <si>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</si>
  <si>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</si>
  <si>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</si>
  <si>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</si>
  <si>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</si>
  <si>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</si>
  <si>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</si>
  <si>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</si>
  <si>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</si>
  <si>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</si>
  <si>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</si>
  <si>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</si>
  <si>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</si>
  <si>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</si>
  <si>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</si>
  <si>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</si>
  <si>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</si>
  <si>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</si>
  <si>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</si>
  <si>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</si>
  <si>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</si>
  <si>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</si>
  <si>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</si>
  <si>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</si>
  <si>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</si>
  <si>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</si>
  <si>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</si>
  <si>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</si>
  <si>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</si>
  <si>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</si>
  <si>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</si>
  <si>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</si>
  <si>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</si>
  <si>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</si>
  <si>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</si>
  <si>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</si>
  <si>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</si>
  <si>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</si>
  <si>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</si>
  <si>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</si>
  <si>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</si>
  <si>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</si>
  <si>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</si>
  <si>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</si>
  <si>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</si>
  <si>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</si>
  <si>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</si>
  <si>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</si>
  <si>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</si>
  <si>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</si>
  <si>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</si>
  <si>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</si>
  <si>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</si>
  <si>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</si>
  <si>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</si>
  <si>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</si>
  <si>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</si>
  <si>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</si>
  <si>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</si>
  <si>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</si>
  <si>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</si>
  <si>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</si>
  <si>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</si>
  <si>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</si>
  <si>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</si>
  <si>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</si>
  <si>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</si>
  <si>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</si>
  <si>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</si>
  <si>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</si>
  <si>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</si>
  <si>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</si>
  <si>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</si>
  <si>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</si>
  <si>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</si>
  <si>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</si>
  <si>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</si>
  <si>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</si>
  <si>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</si>
  <si>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</si>
  <si>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</si>
  <si>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</si>
  <si>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</si>
  <si>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</si>
  <si>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</si>
  <si>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</si>
  <si>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</si>
  <si>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</si>
  <si>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</si>
  <si>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</si>
  <si>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</si>
  <si>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</si>
  <si>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</si>
  <si>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</si>
  <si>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</si>
  <si>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</si>
  <si>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</si>
  <si>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</si>
  <si>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</si>
  <si>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</si>
  <si>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</si>
  <si>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</si>
  <si>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</si>
  <si>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</si>
  <si>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</si>
  <si>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</si>
  <si>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</si>
  <si>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</si>
  <si>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</si>
  <si>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</si>
  <si>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</si>
  <si>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</si>
  <si>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</si>
  <si>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</si>
  <si>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</si>
  <si>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</si>
  <si>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</si>
  <si>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</si>
  <si>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</si>
  <si>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</si>
  <si>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</si>
  <si>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</si>
  <si>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</si>
  <si>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</si>
  <si>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</si>
  <si>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</si>
  <si>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</si>
  <si>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</si>
  <si>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</si>
  <si>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</si>
  <si>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</si>
  <si>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</si>
  <si>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</si>
  <si>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</si>
  <si>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</si>
  <si>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</si>
  <si>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</si>
  <si>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</si>
  <si>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</si>
  <si>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</si>
  <si>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</si>
  <si>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</si>
  <si>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</si>
  <si>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</si>
  <si>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</si>
  <si>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</si>
  <si>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</si>
  <si>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</si>
  <si>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</si>
  <si>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</si>
  <si>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</si>
  <si>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</si>
  <si>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</si>
  <si>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</si>
  <si>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</si>
  <si>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</si>
  <si>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</si>
  <si>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</si>
  <si>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</si>
  <si>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</si>
  <si>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</si>
  <si>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</si>
  <si>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</si>
  <si>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</si>
  <si>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</si>
  <si>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</si>
  <si>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</si>
  <si>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</si>
  <si>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</si>
  <si>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</si>
  <si>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</si>
  <si>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</si>
  <si>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</si>
  <si>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</si>
  <si>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</si>
  <si>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</si>
  <si>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</si>
  <si>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</si>
  <si>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</si>
  <si>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</si>
  <si>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</si>
  <si>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</si>
  <si>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</si>
  <si>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</si>
  <si>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</si>
  <si>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</si>
  <si>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</si>
  <si>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</si>
  <si>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</si>
  <si>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</si>
  <si>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</si>
  <si>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</si>
  <si>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</si>
  <si>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</si>
  <si>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</si>
  <si>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</si>
  <si>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</si>
  <si>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</si>
  <si>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</si>
  <si>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</si>
  <si>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</si>
  <si>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</si>
  <si>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</si>
  <si>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</si>
  <si>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</si>
  <si>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</si>
  <si>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</si>
  <si>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</si>
  <si>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</si>
  <si>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</si>
  <si>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</si>
  <si>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</si>
  <si>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</si>
  <si>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</si>
  <si>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</si>
  <si>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</si>
  <si>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</si>
  <si>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</si>
  <si>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</si>
  <si>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</si>
  <si>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</si>
  <si>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</si>
  <si>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</si>
  <si>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</si>
  <si>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</si>
  <si>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</si>
  <si>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</si>
  <si>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</si>
  <si>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</si>
  <si>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</si>
  <si>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</si>
  <si>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</si>
  <si>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</si>
  <si>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</si>
  <si>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</si>
  <si>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</si>
  <si>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</si>
  <si>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</si>
  <si>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</si>
  <si>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</si>
  <si>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</si>
  <si>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</si>
  <si>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</si>
  <si>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</si>
  <si>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</si>
  <si>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</si>
  <si>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</si>
  <si>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</si>
  <si>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</si>
  <si>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</si>
  <si>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</si>
  <si>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</si>
  <si>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</si>
  <si>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</si>
  <si>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</si>
  <si>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</si>
  <si>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</si>
  <si>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</si>
  <si>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</si>
  <si>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</si>
  <si>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</si>
  <si>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</si>
  <si>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</si>
  <si>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</si>
  <si>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</si>
  <si>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</si>
  <si>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</si>
  <si>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</si>
  <si>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</si>
  <si>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</si>
  <si>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</si>
  <si>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</si>
  <si>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</si>
  <si>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</si>
  <si>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</si>
  <si>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</si>
  <si>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</si>
  <si>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</si>
  <si>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</si>
  <si>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</si>
  <si>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</si>
  <si>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</si>
  <si>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</si>
  <si>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</si>
  <si>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</si>
  <si>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</si>
  <si>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</si>
  <si>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</si>
  <si>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</si>
  <si>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</si>
  <si>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</si>
  <si>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</si>
  <si>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</si>
  <si>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</si>
  <si>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</si>
  <si>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</si>
  <si>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</si>
  <si>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</si>
  <si>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</si>
  <si>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</si>
  <si>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</si>
  <si>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</si>
  <si>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</si>
  <si>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</si>
  <si>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</si>
  <si>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</si>
  <si>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</si>
  <si>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</si>
  <si>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</si>
  <si>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</si>
  <si>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</si>
  <si>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</si>
  <si>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</si>
  <si>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</si>
  <si>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</si>
  <si>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</si>
  <si>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</si>
  <si>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</si>
  <si>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</si>
  <si>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</si>
  <si>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</si>
  <si>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</si>
  <si>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</si>
  <si>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</si>
  <si>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</si>
  <si>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</si>
  <si>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</si>
  <si>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</si>
  <si>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</si>
  <si>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</si>
  <si>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</si>
  <si>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</si>
  <si>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</si>
  <si>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</si>
  <si>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</si>
  <si>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</si>
  <si>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</si>
  <si>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</si>
  <si>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</si>
  <si>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</si>
  <si>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</si>
  <si>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</si>
  <si>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</si>
  <si>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</si>
  <si>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</si>
  <si>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</si>
  <si>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</si>
  <si>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</si>
  <si>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</si>
  <si>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</si>
  <si>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</si>
  <si>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</si>
  <si>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</si>
  <si>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</si>
  <si>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</si>
  <si>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</si>
  <si>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</si>
  <si>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</si>
  <si>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</si>
  <si>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</si>
  <si>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</si>
  <si>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</si>
  <si>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</si>
  <si>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</si>
  <si>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</si>
  <si>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</si>
  <si>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</si>
  <si>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</si>
  <si>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</si>
  <si>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</si>
  <si>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</si>
  <si>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</si>
  <si>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</si>
  <si>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</si>
  <si>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</si>
  <si>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</si>
  <si>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</si>
  <si>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</si>
  <si>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</si>
  <si>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</si>
  <si>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</si>
  <si>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</si>
  <si>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</si>
  <si>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</si>
  <si>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</si>
  <si>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</si>
  <si>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</si>
  <si>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</si>
  <si>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</si>
  <si>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</si>
  <si>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</si>
  <si>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</si>
  <si>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</si>
  <si>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</si>
  <si>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</si>
  <si>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</si>
  <si>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</si>
  <si>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</si>
  <si>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</si>
  <si>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</si>
  <si>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</si>
  <si>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</si>
  <si>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</si>
  <si>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</si>
  <si>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</si>
  <si>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</si>
  <si>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</si>
  <si>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</si>
  <si>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</si>
  <si>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</si>
  <si>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</si>
  <si>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</si>
  <si>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</si>
  <si>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</si>
  <si>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</si>
  <si>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</si>
  <si>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</si>
  <si>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</si>
  <si>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</si>
  <si>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</si>
  <si>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</si>
  <si>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</si>
  <si>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</si>
  <si>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</si>
  <si>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</si>
  <si>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</si>
  <si>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</si>
  <si>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</si>
  <si>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</si>
  <si>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</si>
  <si>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</si>
  <si>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</si>
  <si>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</si>
  <si>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</si>
  <si>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</si>
  <si>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</si>
  <si>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</si>
  <si>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</si>
  <si>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</si>
  <si>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</si>
  <si>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</si>
  <si>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</si>
  <si>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</si>
  <si>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</si>
  <si>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</si>
  <si>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</si>
  <si>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</si>
  <si>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</si>
  <si>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</si>
  <si>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</si>
  <si>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</si>
  <si>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</si>
  <si>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</si>
  <si>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</si>
  <si>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</si>
  <si>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</si>
  <si>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</si>
  <si>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</si>
  <si>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</si>
  <si>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</si>
  <si>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</si>
  <si>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</si>
  <si>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</si>
  <si>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</si>
  <si>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</si>
  <si>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</si>
  <si>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</si>
  <si>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</si>
  <si>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</si>
  <si>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</si>
  <si>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</si>
  <si>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</si>
  <si>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</si>
  <si>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</si>
  <si>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</si>
  <si>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</si>
  <si>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</si>
  <si>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</si>
  <si>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</si>
  <si>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</si>
  <si>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</si>
  <si>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</si>
  <si>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</si>
  <si>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</si>
  <si>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</si>
  <si>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</si>
  <si>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</si>
  <si>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</si>
  <si>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</si>
  <si>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</si>
  <si>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</si>
  <si>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</si>
  <si>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</si>
  <si>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</si>
  <si>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</si>
  <si>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</si>
  <si>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</si>
  <si>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</si>
  <si>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</si>
  <si>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</si>
  <si>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</si>
  <si>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</si>
  <si>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</si>
  <si>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</si>
  <si>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</si>
  <si>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</si>
  <si>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</si>
  <si>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</si>
  <si>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</si>
  <si>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</si>
  <si>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</si>
  <si>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</si>
  <si>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</si>
  <si>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</si>
  <si>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</si>
  <si>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</si>
  <si>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</si>
  <si>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</si>
  <si>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</si>
  <si>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</si>
  <si>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</si>
  <si>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</si>
  <si>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</si>
  <si>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</si>
  <si>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</si>
  <si>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</si>
  <si>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</si>
  <si>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</si>
  <si>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</si>
  <si>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</si>
  <si>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</si>
  <si>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</si>
  <si>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</si>
  <si>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</si>
  <si>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</si>
  <si>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</si>
  <si>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</si>
  <si>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</si>
  <si>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</si>
  <si>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</si>
  <si>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</si>
  <si>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</si>
  <si>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</si>
  <si>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</si>
  <si>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</si>
  <si>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</si>
  <si>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</si>
  <si>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</si>
  <si>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</si>
  <si>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</si>
  <si>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</si>
  <si>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</si>
  <si>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</si>
  <si>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</si>
  <si>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</si>
  <si>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</si>
  <si>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</si>
  <si>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</si>
  <si>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</si>
  <si>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</si>
  <si>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</si>
  <si>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</si>
  <si>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</si>
  <si>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</si>
  <si>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</si>
  <si>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</si>
  <si>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</si>
  <si>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</si>
  <si>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</si>
  <si>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</si>
  <si>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</si>
  <si>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</si>
  <si>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</si>
  <si>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</si>
  <si>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</si>
  <si>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</si>
  <si>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</si>
  <si>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</si>
  <si>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</si>
  <si>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</si>
  <si>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</si>
  <si>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</si>
  <si>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</si>
  <si>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</si>
  <si>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</si>
  <si>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</si>
  <si>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</si>
  <si>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</si>
  <si>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</si>
  <si>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</si>
  <si>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</si>
  <si>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</si>
  <si>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</si>
  <si>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</si>
  <si>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</si>
  <si>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</si>
  <si>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</si>
  <si>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</si>
  <si>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</si>
  <si>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</si>
  <si>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</si>
  <si>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</si>
  <si>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</si>
  <si>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</si>
  <si>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</si>
  <si>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</si>
  <si>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</si>
  <si>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</si>
  <si>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</si>
  <si>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</si>
  <si>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</si>
  <si>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</si>
  <si>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</si>
  <si>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</si>
  <si>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</si>
  <si>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</si>
  <si>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</si>
  <si>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</si>
  <si>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</si>
  <si>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</si>
  <si>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</si>
  <si>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</si>
  <si>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</si>
  <si>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</si>
  <si>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</si>
  <si>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</si>
  <si>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</si>
  <si>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</si>
  <si>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</si>
  <si>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</si>
  <si>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</si>
  <si>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</si>
  <si>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</si>
  <si>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</si>
  <si>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</si>
  <si>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</si>
  <si>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</si>
  <si>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</si>
  <si>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</si>
  <si>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</si>
  <si>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</si>
  <si>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</si>
  <si>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</si>
  <si>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</si>
  <si>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</si>
  <si>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</si>
  <si>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</si>
  <si>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</si>
  <si>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</si>
  <si>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</si>
  <si>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</si>
  <si>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</si>
  <si>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</si>
  <si>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</si>
  <si>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</si>
  <si>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</si>
  <si>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</si>
  <si>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</si>
  <si>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</si>
  <si>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</si>
  <si>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</si>
  <si>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</si>
  <si>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</si>
  <si>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</si>
  <si>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</si>
  <si>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</si>
  <si>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</si>
  <si>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</si>
  <si>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</si>
  <si>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</si>
  <si>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</si>
  <si>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</si>
  <si>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</si>
  <si>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</si>
  <si>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</si>
  <si>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</si>
  <si>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</si>
  <si>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</si>
  <si>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</si>
  <si>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</si>
  <si>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</si>
  <si>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</si>
  <si>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</si>
  <si>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</si>
  <si>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</si>
  <si>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</si>
  <si>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</si>
  <si>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</si>
  <si>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</si>
  <si>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</si>
  <si>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</si>
  <si>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</si>
  <si>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</si>
  <si>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</si>
  <si>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</si>
  <si>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</si>
  <si>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</si>
  <si>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</si>
  <si>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</si>
  <si>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</si>
  <si>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</si>
  <si>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</si>
  <si>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</si>
  <si>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</si>
  <si>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</si>
  <si>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</si>
  <si>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</si>
  <si>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</si>
  <si>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</si>
  <si>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</si>
  <si>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</si>
  <si>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</si>
  <si>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</si>
  <si>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</si>
  <si>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</si>
  <si>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</si>
  <si>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</si>
  <si>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</si>
  <si>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</si>
  <si>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</si>
  <si>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</si>
  <si>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</si>
  <si>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</si>
  <si>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</si>
  <si>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</si>
  <si>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</si>
  <si>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</si>
  <si>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</si>
  <si>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</si>
  <si>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</si>
  <si>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</si>
  <si>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</si>
  <si>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</si>
  <si>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</si>
  <si>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</si>
  <si>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</si>
  <si>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</si>
  <si>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</si>
  <si>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</si>
  <si>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</si>
  <si>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</si>
  <si>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</si>
  <si>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</si>
  <si>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</si>
  <si>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</si>
  <si>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</si>
  <si>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</si>
  <si>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</si>
  <si>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</si>
  <si>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</si>
  <si>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</si>
  <si>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</si>
  <si>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</si>
  <si>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</si>
  <si>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</si>
  <si>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</si>
  <si>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</si>
  <si>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</si>
  <si>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</si>
  <si>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</si>
  <si>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</si>
  <si>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</si>
  <si>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</si>
  <si>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</si>
  <si>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</si>
  <si>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</si>
  <si>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</si>
  <si>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</si>
  <si>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</si>
  <si>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</si>
  <si>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</si>
  <si>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</si>
  <si>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</si>
  <si>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</si>
  <si>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</si>
  <si>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</si>
  <si>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</si>
  <si>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</si>
  <si>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</si>
  <si>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</si>
  <si>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</si>
  <si>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</si>
  <si>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</si>
  <si>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</si>
  <si>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</si>
  <si>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</si>
  <si>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</si>
  <si>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</si>
  <si>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</si>
  <si>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</si>
  <si>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</si>
  <si>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</si>
  <si>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</si>
  <si>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</si>
  <si>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</si>
  <si>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</si>
  <si>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</si>
  <si>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</si>
  <si>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</si>
  <si>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</si>
  <si>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</si>
  <si>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</si>
  <si>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</si>
  <si>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</si>
  <si>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</si>
  <si>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</si>
  <si>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</si>
  <si>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</si>
  <si>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</si>
  <si>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</si>
  <si>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</si>
  <si>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</si>
  <si>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</si>
  <si>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</si>
  <si>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</si>
  <si>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</si>
  <si>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</si>
  <si>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</si>
  <si>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</si>
  <si>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</si>
  <si>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</si>
  <si>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</si>
  <si>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</si>
  <si>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</si>
  <si>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</si>
  <si>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</si>
  <si>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</si>
  <si>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</si>
  <si>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</si>
  <si>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</si>
  <si>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</si>
  <si>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</si>
  <si>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</si>
  <si>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</si>
  <si>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</si>
  <si>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</si>
  <si>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</si>
  <si>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</si>
  <si>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</si>
  <si>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</si>
  <si>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</si>
  <si>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</si>
  <si>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</si>
  <si>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</si>
  <si>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</si>
  <si>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</si>
  <si>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</si>
  <si>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</si>
  <si>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</si>
  <si>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</si>
  <si>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</si>
  <si>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</si>
  <si>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</si>
  <si>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</si>
  <si>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</si>
  <si>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</si>
  <si>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</si>
  <si>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</si>
  <si>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</si>
  <si>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</si>
  <si>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</si>
  <si>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</si>
  <si>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</si>
  <si>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</si>
  <si>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</si>
  <si>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</si>
  <si>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</si>
  <si>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</si>
  <si>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</si>
  <si>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</si>
  <si>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</si>
  <si>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</si>
  <si>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</si>
  <si>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</si>
  <si>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</si>
  <si>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</si>
  <si>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</si>
  <si>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</si>
  <si>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</si>
  <si>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</si>
  <si>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</si>
  <si>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</si>
  <si>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</si>
  <si>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</si>
  <si>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</si>
  <si>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</si>
  <si>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</si>
  <si>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</si>
  <si>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</si>
  <si>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</si>
  <si>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</si>
  <si>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</si>
  <si>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</si>
  <si>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</si>
  <si>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</si>
  <si>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</si>
  <si>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</si>
  <si>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</si>
  <si>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</si>
  <si>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</si>
  <si>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</si>
  <si>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</si>
  <si>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</si>
  <si>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</si>
  <si>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</si>
  <si>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</si>
  <si>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</si>
  <si>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</si>
  <si>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</si>
  <si>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</si>
  <si>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</si>
  <si>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</si>
  <si>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</si>
  <si>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</si>
  <si>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</si>
  <si>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</si>
  <si>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</si>
  <si>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</si>
  <si>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</si>
  <si>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</si>
  <si>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</si>
  <si>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</si>
  <si>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</si>
  <si>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</si>
  <si>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</si>
  <si>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</si>
  <si>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</si>
  <si>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</si>
  <si>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</si>
  <si>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</si>
  <si>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</si>
  <si>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</si>
  <si>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</si>
  <si>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</si>
  <si>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</si>
  <si>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</si>
  <si>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</si>
  <si>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</si>
  <si>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</si>
  <si>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</si>
  <si>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</si>
  <si>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</si>
  <si>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</si>
  <si>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</si>
  <si>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</si>
  <si>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</si>
  <si>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</si>
  <si>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</si>
  <si>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</si>
  <si>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</si>
  <si>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</si>
  <si>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</si>
  <si>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</si>
  <si>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</si>
  <si>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</si>
  <si>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</si>
  <si>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</si>
  <si>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</si>
  <si>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</si>
  <si>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</si>
  <si>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</si>
  <si>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</si>
  <si>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</si>
  <si>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</si>
  <si>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</si>
  <si>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</si>
  <si>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</si>
  <si>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</si>
  <si>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</si>
  <si>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</si>
  <si>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</si>
  <si>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</si>
  <si>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</si>
  <si>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</si>
  <si>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</si>
  <si>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</si>
  <si>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</si>
  <si>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</si>
  <si>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</si>
  <si>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</si>
  <si>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</si>
  <si>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</si>
  <si>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</si>
  <si>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</si>
  <si>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</si>
  <si>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</si>
  <si>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</si>
  <si>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</si>
  <si>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</si>
  <si>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</si>
  <si>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</si>
  <si>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</si>
  <si>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</si>
  <si>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</si>
  <si>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</si>
  <si>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</si>
  <si>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</si>
  <si>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</si>
  <si>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</si>
  <si>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</si>
  <si>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</si>
  <si>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</si>
  <si>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</si>
  <si>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</si>
  <si>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</si>
  <si>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</si>
  <si>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</si>
  <si>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</si>
  <si>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</si>
  <si>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</si>
  <si>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</si>
  <si>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</si>
  <si>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</si>
  <si>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</si>
  <si>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</si>
  <si>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</si>
  <si>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</si>
  <si>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</si>
  <si>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</si>
  <si>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</si>
  <si>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</si>
  <si>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</si>
  <si>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</si>
  <si>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</si>
  <si>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</si>
  <si>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</si>
  <si>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</si>
  <si>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</si>
  <si>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</si>
  <si>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</si>
  <si>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</si>
  <si>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</si>
  <si>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</si>
  <si>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</si>
  <si>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</si>
  <si>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</si>
  <si>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</si>
  <si>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</si>
  <si>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</si>
  <si>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</si>
  <si>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</si>
  <si>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</si>
  <si>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</si>
  <si>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</si>
  <si>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</si>
  <si>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</si>
  <si>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</si>
  <si>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</si>
  <si>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</si>
  <si>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</si>
  <si>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</si>
  <si>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</si>
  <si>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</si>
  <si>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</si>
  <si>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</si>
  <si>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</si>
  <si>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</si>
  <si>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</si>
  <si>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</si>
  <si>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</si>
  <si>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</si>
  <si>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</si>
  <si>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</si>
  <si>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</si>
  <si>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</si>
  <si>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</si>
  <si>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</si>
  <si>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</si>
  <si>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</si>
  <si>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</si>
  <si>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</si>
  <si>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</si>
  <si>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</si>
  <si>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</si>
  <si>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</si>
  <si>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</si>
  <si>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</si>
  <si>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</si>
  <si>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</si>
  <si>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</si>
  <si>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</si>
  <si>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</si>
  <si>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</si>
  <si>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</si>
  <si>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</si>
  <si>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</si>
  <si>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</si>
  <si>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</si>
  <si>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</si>
  <si>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</si>
  <si>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</si>
  <si>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</si>
  <si>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</si>
  <si>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</si>
  <si>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</si>
  <si>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</si>
  <si>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</si>
  <si>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</si>
  <si>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</si>
  <si>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</si>
  <si>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</si>
  <si>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</si>
  <si>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</si>
  <si>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</si>
  <si>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</si>
  <si>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</si>
  <si>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</si>
  <si>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</si>
  <si>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</si>
  <si>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</si>
  <si>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</si>
  <si>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</si>
  <si>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</si>
  <si>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</si>
  <si>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</si>
  <si>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</si>
  <si>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</si>
  <si>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</si>
  <si>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</si>
  <si>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</si>
  <si>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</si>
  <si>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</si>
  <si>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</si>
  <si>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</si>
  <si>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</si>
  <si>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</si>
  <si>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</si>
  <si>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</si>
  <si>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</si>
  <si>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</si>
  <si>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</si>
  <si>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</si>
  <si>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</si>
  <si>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</si>
  <si>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</si>
  <si>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</si>
  <si>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</si>
  <si>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</si>
  <si>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</si>
  <si>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</si>
  <si>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</si>
  <si>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</si>
  <si>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</si>
  <si>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</si>
  <si>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</si>
  <si>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</si>
  <si>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</si>
  <si>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</si>
  <si>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</si>
  <si>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</si>
  <si>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</si>
  <si>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</si>
  <si>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</si>
  <si>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</si>
  <si>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</si>
  <si>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</si>
  <si>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</si>
  <si>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</si>
  <si>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</si>
  <si>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</si>
  <si>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</si>
  <si>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</si>
  <si>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</si>
  <si>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</si>
  <si>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</si>
  <si>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</si>
  <si>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</si>
  <si>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</si>
  <si>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</si>
  <si>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</si>
  <si>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</si>
  <si>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</si>
  <si>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</si>
  <si>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</si>
  <si>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</si>
  <si>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</si>
  <si>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</si>
  <si>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</si>
  <si>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</si>
  <si>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</si>
  <si>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</si>
  <si>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</si>
  <si>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</si>
  <si>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</si>
  <si>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</si>
  <si>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</si>
  <si>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</si>
  <si>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</si>
  <si>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</si>
  <si>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</si>
  <si>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</si>
  <si>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</si>
  <si>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</si>
  <si>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</si>
  <si>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</si>
  <si>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</si>
  <si>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</si>
  <si>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</si>
  <si>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</si>
  <si>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</si>
  <si>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</si>
  <si>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</si>
  <si>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</si>
  <si>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</si>
  <si>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</si>
  <si>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</si>
  <si>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</si>
  <si>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</si>
  <si>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</si>
  <si>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</si>
  <si>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</si>
  <si>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</si>
  <si>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</si>
  <si>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</si>
  <si>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</si>
  <si>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</si>
  <si>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</si>
  <si>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</si>
  <si>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</si>
  <si>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</si>
  <si>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</si>
  <si>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</si>
  <si>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</si>
  <si>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</si>
  <si>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</si>
  <si>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</si>
  <si>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</si>
  <si>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</si>
  <si>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</si>
  <si>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</si>
  <si>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</si>
  <si>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</si>
  <si>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</si>
  <si>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</si>
  <si>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</si>
  <si>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</si>
  <si>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</si>
  <si>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</si>
  <si>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</si>
  <si>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</si>
  <si>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</si>
  <si>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</si>
  <si>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</si>
  <si>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</si>
  <si>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</si>
  <si>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</si>
  <si>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</si>
  <si>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</si>
  <si>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</si>
  <si>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</si>
  <si>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</si>
  <si>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</si>
  <si>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</si>
  <si>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</si>
  <si>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</si>
  <si>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</si>
  <si>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</si>
  <si>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</si>
  <si>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</si>
  <si>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</si>
  <si>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</si>
  <si>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</si>
  <si>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</si>
  <si>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</si>
  <si>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</si>
  <si>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</si>
  <si>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</si>
  <si>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</si>
  <si>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</si>
  <si>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</si>
  <si>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</si>
  <si>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</si>
  <si>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</si>
  <si>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</si>
  <si>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</si>
  <si>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</si>
  <si>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</si>
  <si>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</si>
  <si>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</si>
  <si>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</si>
  <si>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</si>
  <si>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</si>
  <si>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</si>
  <si>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</si>
  <si>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</si>
  <si>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</si>
  <si>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</si>
  <si>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</si>
  <si>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</si>
  <si>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</si>
  <si>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</si>
  <si>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</si>
  <si>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</si>
  <si>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</si>
  <si>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</si>
  <si>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</si>
  <si>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</si>
  <si>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</si>
  <si>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</si>
  <si>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</si>
  <si>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</si>
  <si>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</si>
  <si>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</si>
  <si>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</si>
  <si>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</si>
  <si>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</si>
  <si>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</si>
  <si>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</si>
  <si>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</si>
  <si>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</si>
  <si>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</si>
  <si>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</si>
  <si>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</si>
  <si>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</si>
  <si>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</si>
  <si>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</si>
  <si>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</si>
  <si>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</si>
  <si>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</si>
  <si>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</si>
  <si>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</si>
  <si>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</si>
  <si>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</si>
  <si>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</si>
  <si>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</si>
  <si>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</si>
  <si>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</si>
  <si>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</si>
  <si>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</si>
  <si>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</si>
  <si>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</si>
  <si>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</si>
  <si>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</si>
  <si>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</si>
  <si>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</si>
  <si>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</si>
  <si>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</si>
  <si>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</si>
  <si>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</si>
  <si>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</si>
  <si>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</si>
  <si>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</si>
  <si>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</si>
  <si>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</si>
  <si>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</si>
  <si>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</si>
  <si>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</si>
  <si>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</si>
  <si>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</si>
  <si>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</si>
  <si>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</si>
  <si>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</si>
  <si>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</si>
  <si>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</si>
  <si>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</si>
  <si>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</si>
  <si>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</si>
  <si>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</si>
  <si>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</si>
  <si>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</si>
  <si>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</si>
  <si>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</si>
  <si>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</si>
  <si>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</si>
  <si>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</si>
  <si>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</si>
  <si>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</si>
  <si>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</si>
  <si>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</si>
  <si>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</si>
  <si>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</si>
  <si>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</si>
  <si>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</si>
  <si>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</si>
  <si>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</si>
  <si>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</si>
  <si>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</si>
  <si>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</si>
  <si>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</si>
  <si>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</si>
  <si>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</si>
  <si>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</si>
  <si>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</si>
  <si>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</si>
  <si>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</si>
  <si>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</si>
  <si>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</si>
  <si>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</si>
  <si>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</si>
  <si>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</si>
  <si>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</si>
  <si>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</si>
  <si>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</si>
  <si>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</si>
  <si>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</si>
  <si>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</si>
  <si>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</si>
  <si>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</si>
  <si>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</si>
  <si>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</si>
  <si>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</si>
  <si>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</si>
  <si>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</si>
  <si>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</si>
  <si>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</si>
  <si>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</si>
  <si>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</si>
  <si>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</si>
  <si>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</si>
  <si>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</si>
  <si>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</si>
  <si>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</si>
  <si>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</si>
  <si>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</si>
  <si>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</si>
  <si>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</si>
  <si>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</si>
  <si>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</si>
  <si>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</si>
  <si>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</si>
  <si>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</si>
  <si>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</si>
  <si>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</si>
  <si>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</si>
  <si>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</si>
  <si>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</si>
  <si>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</si>
  <si>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</si>
  <si>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</si>
  <si>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</si>
  <si>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</si>
  <si>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</si>
  <si>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</si>
  <si>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</si>
  <si>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</si>
  <si>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</si>
  <si>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</si>
  <si>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</si>
  <si>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</si>
  <si>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</si>
  <si>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</si>
  <si>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</si>
  <si>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</si>
  <si>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</si>
  <si>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</si>
  <si>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</si>
  <si>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</si>
  <si>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</si>
  <si>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</si>
  <si>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</si>
  <si>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</si>
  <si>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</si>
  <si>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</si>
  <si>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</si>
  <si>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</si>
  <si>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</si>
  <si>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</si>
  <si>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</si>
  <si>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</si>
  <si>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</si>
  <si>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</si>
  <si>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</si>
  <si>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</si>
  <si>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</si>
  <si>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</si>
  <si>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</si>
  <si>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</si>
  <si>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</si>
  <si>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</si>
  <si>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</si>
  <si>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</si>
  <si>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</si>
  <si>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</si>
  <si>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</si>
  <si>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</si>
  <si>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</si>
  <si>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</si>
  <si>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</si>
  <si>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</si>
  <si>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</si>
  <si>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</si>
  <si>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</si>
  <si>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</si>
  <si>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</si>
  <si>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</si>
  <si>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</si>
  <si>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</si>
  <si>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</si>
  <si>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</si>
  <si>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</si>
  <si>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</si>
  <si>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</si>
  <si>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</si>
  <si>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</si>
  <si>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</si>
  <si>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</si>
  <si>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</si>
  <si>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</si>
  <si>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</si>
  <si>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</si>
  <si>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</si>
  <si>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</si>
  <si>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</si>
  <si>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</si>
  <si>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</si>
  <si>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</si>
  <si>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</si>
  <si>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</si>
  <si>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</si>
  <si>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</si>
  <si>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</si>
  <si>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</si>
  <si>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</si>
  <si>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</si>
  <si>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</si>
  <si>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</si>
  <si>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</si>
  <si>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</si>
  <si>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</si>
  <si>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</si>
  <si>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</si>
  <si>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</si>
  <si>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</si>
  <si>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</si>
  <si>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</si>
  <si>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</si>
  <si>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</si>
  <si>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</si>
  <si>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</si>
  <si>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</si>
  <si>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</si>
  <si>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</si>
  <si>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</si>
  <si>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</si>
  <si>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</si>
  <si>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</si>
  <si>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</si>
  <si>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</si>
  <si>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</si>
  <si>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</si>
  <si>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</si>
  <si>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</si>
  <si>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</si>
  <si>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</si>
  <si>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</si>
  <si>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</si>
  <si>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</si>
  <si>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</si>
  <si>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</si>
  <si>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</si>
  <si>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</si>
  <si>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</si>
  <si>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</si>
  <si>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</si>
  <si>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</si>
  <si>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</si>
  <si>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</si>
  <si>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</si>
  <si>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</si>
  <si>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</si>
  <si>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</si>
  <si>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</si>
  <si>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</si>
  <si>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</si>
  <si>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</si>
  <si>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</si>
  <si>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</si>
  <si>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</si>
  <si>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</si>
  <si>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</si>
  <si>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</si>
  <si>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</si>
  <si>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</si>
  <si>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</si>
  <si>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</si>
  <si>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</si>
  <si>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</si>
  <si>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</si>
  <si>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</si>
  <si>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</si>
  <si>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</si>
  <si>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</si>
  <si>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</si>
  <si>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</si>
  <si>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</si>
  <si>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</si>
  <si>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</si>
  <si>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</si>
  <si>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</si>
  <si>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</si>
  <si>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</si>
  <si>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</si>
  <si>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</si>
  <si>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</si>
  <si>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</si>
  <si>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</si>
  <si>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</si>
  <si>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</si>
  <si>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</si>
  <si>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</si>
  <si>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</si>
  <si>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</si>
  <si>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</si>
  <si>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</si>
  <si>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</si>
  <si>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</si>
  <si>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</si>
  <si>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</si>
  <si>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</si>
  <si>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</si>
  <si>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</si>
  <si>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</si>
  <si>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</si>
  <si>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</si>
  <si>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</si>
  <si>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</si>
  <si>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</si>
  <si>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</si>
  <si>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</si>
  <si>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</si>
  <si>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</si>
  <si>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</si>
  <si>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</si>
  <si>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</si>
  <si>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</si>
  <si>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</si>
  <si>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</si>
  <si>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</si>
  <si>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</si>
  <si>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</si>
  <si>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</si>
  <si>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</si>
  <si>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</si>
  <si>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</si>
  <si>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</si>
  <si>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</si>
  <si>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</si>
  <si>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</si>
  <si>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</si>
  <si>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</si>
  <si>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</si>
  <si>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</si>
  <si>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</si>
  <si>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</si>
  <si>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</si>
  <si>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</si>
  <si>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</si>
  <si>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</si>
  <si>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</si>
  <si>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</si>
  <si>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</si>
  <si>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</si>
  <si>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</si>
  <si>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</si>
  <si>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</si>
  <si>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</si>
  <si>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</si>
  <si>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</si>
  <si>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</si>
  <si>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</si>
  <si>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</si>
  <si>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</si>
  <si>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</si>
  <si>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</si>
  <si>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</si>
  <si>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</si>
  <si>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</si>
  <si>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</si>
  <si>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</si>
  <si>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</si>
  <si>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</si>
  <si>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</si>
  <si>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</si>
  <si>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</si>
  <si>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</si>
  <si>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</si>
  <si>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</si>
  <si>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</si>
  <si>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</si>
  <si>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</si>
  <si>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</si>
  <si>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</si>
  <si>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</si>
  <si>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</si>
  <si>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</si>
  <si>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</si>
  <si>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</si>
  <si>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</si>
  <si>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</si>
  <si>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</si>
  <si>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</si>
  <si>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</si>
  <si>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</si>
  <si>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</si>
  <si>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</si>
  <si>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</si>
  <si>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</si>
  <si>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</si>
  <si>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</si>
  <si>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</si>
  <si>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</si>
  <si>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</si>
  <si>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</si>
  <si>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</si>
  <si>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</si>
  <si>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</si>
  <si>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</si>
  <si>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</si>
  <si>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</si>
  <si>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</si>
  <si>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</si>
  <si>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</si>
  <si>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</si>
  <si>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</si>
  <si>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</si>
  <si>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</si>
  <si>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</si>
  <si>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</si>
  <si>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</si>
  <si>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</si>
  <si>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</si>
  <si>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</si>
  <si>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</si>
  <si>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</si>
  <si>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</si>
  <si>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</si>
  <si>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</si>
  <si>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</si>
  <si>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</si>
  <si>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</si>
  <si>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</si>
  <si>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</si>
  <si>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</si>
  <si>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</si>
  <si>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</si>
  <si>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</si>
  <si>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</si>
  <si>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</si>
  <si>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</si>
  <si>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</si>
  <si>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</si>
  <si>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</si>
  <si>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</si>
  <si>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</si>
  <si>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</si>
  <si>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</si>
  <si>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</si>
  <si>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</si>
  <si>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</si>
  <si>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</si>
  <si>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</si>
  <si>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</si>
  <si>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</si>
  <si>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</si>
  <si>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</si>
  <si>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</si>
  <si>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</si>
  <si>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</si>
  <si>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</si>
  <si>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</si>
  <si>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</si>
  <si>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</si>
  <si>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</si>
  <si>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</si>
  <si>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</si>
  <si>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</si>
  <si>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</si>
  <si>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</si>
  <si>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</si>
  <si>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</si>
  <si>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</si>
  <si>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</si>
  <si>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</si>
  <si>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</si>
  <si>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</si>
  <si>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</si>
  <si>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</si>
  <si>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</si>
  <si>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</si>
  <si>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</si>
  <si>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</si>
  <si>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</si>
  <si>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</si>
  <si>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</si>
  <si>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</si>
  <si>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</si>
  <si>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</si>
  <si>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</si>
  <si>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</si>
  <si>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</si>
  <si>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</si>
  <si>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</si>
  <si>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</si>
  <si>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</si>
  <si>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</si>
  <si>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</si>
  <si>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</si>
  <si>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</si>
  <si>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</si>
  <si>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</si>
  <si>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</si>
  <si>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</si>
  <si>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</si>
  <si>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</si>
  <si>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</si>
  <si>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</si>
  <si>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</si>
  <si>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</si>
  <si>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</si>
  <si>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</si>
  <si>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</si>
  <si>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</si>
  <si>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</si>
  <si>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</si>
  <si>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</si>
  <si>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</si>
  <si>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</si>
  <si>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</si>
  <si>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</si>
  <si>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</si>
  <si>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</si>
  <si>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</si>
  <si>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</si>
  <si>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</si>
  <si>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</si>
  <si>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</si>
  <si>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</si>
  <si>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</si>
  <si>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</si>
  <si>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</si>
  <si>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</si>
  <si>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</si>
  <si>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</si>
  <si>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</si>
  <si>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</si>
  <si>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</si>
  <si>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</si>
  <si>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</si>
  <si>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</si>
  <si>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</si>
  <si>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</si>
  <si>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</si>
  <si>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</si>
  <si>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</si>
  <si>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</si>
  <si>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</si>
  <si>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</si>
  <si>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</si>
  <si>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</si>
  <si>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</si>
  <si>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</si>
  <si>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</si>
  <si>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</si>
  <si>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</si>
  <si>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</si>
  <si>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</si>
  <si>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</si>
  <si>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</si>
  <si>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</si>
  <si>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</si>
  <si>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</si>
  <si>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</si>
  <si>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</si>
  <si>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</si>
  <si>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</si>
  <si>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</si>
  <si>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</si>
  <si>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</si>
  <si>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</si>
  <si>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</si>
  <si>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</si>
  <si>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</si>
  <si>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</si>
  <si>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</si>
  <si>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</si>
  <si>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</si>
  <si>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</si>
  <si>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</si>
  <si>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</si>
  <si>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</si>
  <si>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</si>
  <si>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</si>
  <si>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</si>
  <si>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</si>
  <si>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</si>
  <si>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</si>
  <si>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</si>
  <si>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</si>
  <si>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</si>
  <si>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</si>
  <si>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</si>
  <si>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</si>
  <si>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</si>
  <si>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</si>
  <si>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</si>
  <si>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</si>
  <si>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</si>
  <si>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</si>
  <si>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</si>
  <si>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</si>
  <si>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</si>
  <si>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</si>
  <si>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</si>
  <si>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</si>
  <si>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</si>
  <si>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</si>
  <si>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</si>
  <si>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</si>
  <si>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</si>
  <si>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</si>
  <si>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</si>
  <si>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</si>
  <si>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</si>
  <si>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</si>
  <si>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</si>
  <si>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</si>
  <si>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</si>
  <si>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</si>
  <si>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</si>
  <si>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</si>
  <si>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</si>
  <si>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</si>
  <si>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</si>
  <si>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</si>
  <si>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</si>
  <si>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</si>
  <si>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</si>
  <si>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</si>
  <si>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</si>
  <si>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</si>
  <si>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</si>
  <si>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</si>
  <si>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</si>
  <si>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</si>
  <si>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</si>
  <si>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</si>
  <si>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</si>
  <si>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</si>
  <si>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</si>
  <si>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</si>
  <si>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</si>
  <si>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</si>
  <si>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</si>
  <si>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</si>
  <si>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</si>
  <si>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</si>
  <si>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</si>
  <si>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</si>
  <si>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</si>
  <si>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</si>
  <si>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</si>
  <si>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</si>
  <si>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</si>
  <si>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</si>
  <si>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</si>
  <si>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</si>
  <si>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</si>
  <si>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</si>
  <si>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</si>
  <si>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</si>
  <si>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</si>
  <si>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</si>
  <si>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</si>
  <si>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</si>
  <si>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</si>
  <si>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</si>
  <si>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</si>
  <si>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</si>
  <si>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</si>
  <si>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</si>
  <si>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</si>
  <si>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</si>
  <si>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</si>
  <si>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</si>
  <si>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</si>
  <si>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</si>
  <si>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</si>
  <si>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</si>
  <si>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</si>
  <si>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</si>
  <si>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</si>
  <si>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</si>
  <si>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</si>
  <si>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</si>
  <si>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</si>
  <si>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</si>
  <si>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</si>
  <si>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</si>
  <si>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</si>
  <si>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</si>
  <si>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</si>
  <si>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</si>
  <si>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</si>
  <si>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</si>
  <si>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</si>
  <si>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</si>
  <si>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</si>
  <si>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</si>
  <si>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</si>
  <si>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</si>
  <si>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</si>
  <si>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</si>
  <si>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</si>
  <si>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</si>
  <si>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</si>
  <si>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</si>
  <si>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</si>
  <si>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</si>
  <si>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</si>
  <si>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</si>
  <si>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</si>
  <si>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</si>
  <si>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</si>
  <si>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</si>
  <si>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</si>
  <si>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</si>
  <si>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</si>
  <si>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</si>
  <si>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</si>
  <si>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</si>
  <si>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</si>
  <si>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</si>
  <si>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</si>
  <si>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</si>
  <si>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</si>
  <si>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</si>
  <si>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</si>
  <si>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</si>
  <si>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</si>
  <si>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</si>
  <si>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</si>
  <si>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</si>
  <si>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</si>
  <si>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</si>
  <si>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</si>
  <si>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</si>
  <si>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</si>
  <si>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</si>
  <si>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</si>
  <si>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</si>
  <si>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</si>
  <si>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</si>
  <si>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</si>
  <si>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</si>
  <si>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</si>
  <si>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</si>
  <si>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</si>
  <si>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</si>
  <si>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</si>
  <si>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</si>
  <si>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</si>
  <si>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</si>
  <si>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</si>
  <si>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</si>
  <si>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</si>
  <si>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</si>
  <si>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</si>
  <si>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</si>
  <si>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</si>
  <si>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</si>
  <si>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</si>
  <si>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</si>
  <si>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</si>
  <si>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</si>
  <si>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</si>
  <si>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</si>
  <si>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</si>
  <si>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</si>
  <si>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</si>
  <si>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</si>
  <si>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</si>
  <si>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</si>
  <si>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</si>
  <si>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</si>
  <si>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</si>
  <si>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</si>
  <si>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</si>
  <si>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</si>
  <si>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</si>
  <si>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</si>
  <si>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</si>
  <si>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</si>
  <si>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</si>
  <si>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</si>
  <si>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</si>
  <si>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</si>
  <si>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</si>
  <si>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</si>
  <si>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</si>
  <si>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</si>
  <si>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</si>
  <si>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</si>
  <si>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</si>
  <si>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</si>
  <si>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</si>
  <si>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</si>
  <si>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</si>
  <si>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</si>
  <si>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</si>
  <si>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</si>
  <si>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</si>
  <si>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</si>
  <si>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</si>
  <si>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</si>
  <si>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</si>
  <si>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</si>
  <si>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</si>
  <si>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</si>
  <si>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</si>
  <si>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</si>
  <si>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</si>
  <si>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</si>
  <si>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</si>
  <si>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</si>
  <si>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</si>
  <si>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</si>
  <si>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</si>
  <si>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</si>
  <si>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</si>
  <si>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</si>
  <si>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</si>
  <si>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</si>
  <si>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</si>
  <si>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</si>
  <si>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</si>
  <si>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</si>
  <si>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</si>
  <si>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</si>
  <si>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</si>
  <si>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</si>
  <si>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</si>
  <si>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</si>
  <si>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</si>
  <si>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</si>
  <si>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</si>
  <si>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</si>
  <si>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</si>
  <si>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</si>
  <si>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</si>
  <si>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</si>
  <si>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</si>
  <si>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</si>
  <si>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</si>
  <si>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</si>
  <si>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</si>
  <si>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</si>
  <si>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</si>
  <si>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</si>
  <si>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</si>
  <si>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</si>
  <si>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</si>
  <si>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</si>
  <si>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</si>
  <si>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</si>
  <si>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</si>
  <si>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</si>
  <si>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</si>
  <si>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</si>
  <si>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</si>
  <si>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</si>
  <si>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</si>
  <si>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</si>
  <si>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</si>
  <si>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</si>
  <si>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</si>
  <si>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</si>
  <si>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</si>
  <si>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</si>
  <si>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</si>
  <si>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</si>
  <si>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</si>
  <si>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</si>
  <si>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</si>
  <si>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</si>
  <si>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</si>
  <si>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</si>
  <si>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</si>
  <si>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</si>
  <si>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</si>
  <si>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</si>
  <si>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</si>
  <si>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</si>
  <si>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</si>
  <si>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</si>
  <si>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</si>
  <si>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</si>
  <si>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</si>
  <si>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</si>
  <si>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</si>
  <si>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</si>
  <si>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</si>
  <si>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</si>
  <si>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</si>
  <si>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</si>
  <si>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</si>
  <si>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</si>
  <si>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</si>
  <si>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</si>
  <si>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</si>
  <si>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</si>
  <si>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</si>
  <si>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</si>
  <si>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</si>
  <si>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</si>
  <si>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</si>
  <si>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</si>
  <si>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</si>
  <si>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</si>
  <si>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</si>
  <si>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</si>
  <si>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</si>
  <si>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</si>
  <si>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</si>
  <si>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</si>
  <si>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</si>
  <si>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</si>
  <si>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</si>
  <si>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</si>
  <si>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</si>
  <si>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</si>
  <si>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</si>
  <si>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</si>
  <si>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</si>
  <si>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</si>
  <si>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</si>
  <si>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</si>
  <si>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</si>
  <si>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</si>
  <si>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</si>
  <si>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</si>
  <si>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</si>
  <si>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</si>
  <si>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</si>
  <si>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</si>
  <si>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</si>
  <si>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</si>
  <si>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</si>
  <si>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</si>
  <si>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</si>
  <si>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</si>
  <si>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</si>
  <si>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</si>
  <si>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</si>
  <si>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</si>
  <si>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</si>
  <si>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</si>
  <si>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</si>
  <si>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</si>
  <si>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</si>
  <si>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</si>
  <si>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</si>
  <si>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</si>
  <si>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</si>
  <si>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</si>
  <si>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</si>
  <si>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</si>
  <si>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</si>
  <si>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</si>
  <si>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</si>
  <si>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</si>
  <si>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</si>
  <si>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</si>
  <si>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</si>
  <si>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</si>
  <si>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</si>
  <si>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</si>
  <si>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</si>
  <si>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</si>
  <si>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</si>
  <si>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</si>
  <si>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</si>
  <si>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</si>
  <si>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</si>
  <si>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</si>
  <si>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</si>
  <si>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</si>
  <si>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</si>
  <si>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</si>
  <si>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</si>
  <si>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</si>
  <si>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</si>
  <si>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</si>
  <si>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</si>
  <si>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</si>
  <si>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</si>
  <si>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</si>
  <si>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</si>
  <si>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</si>
  <si>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</si>
  <si>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</si>
  <si>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</si>
  <si>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</si>
  <si>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</si>
  <si>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</si>
  <si>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</si>
  <si>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</si>
  <si>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</si>
  <si>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</si>
  <si>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</si>
  <si>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</si>
  <si>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</si>
  <si>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</si>
  <si>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</si>
  <si>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</si>
  <si>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</si>
  <si>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</si>
  <si>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</si>
  <si>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</si>
  <si>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</si>
  <si>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</si>
  <si>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</si>
  <si>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</si>
  <si>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</si>
  <si>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</si>
  <si>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</si>
  <si>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</si>
  <si>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</si>
  <si>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</si>
  <si>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</si>
  <si>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</si>
  <si>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</si>
  <si>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</si>
  <si>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</si>
  <si>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</si>
  <si>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</si>
  <si>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</si>
  <si>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</si>
  <si>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</si>
  <si>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</si>
  <si>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</si>
  <si>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</si>
  <si>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</si>
  <si>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</si>
  <si>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</si>
  <si>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</si>
  <si>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</si>
  <si>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</si>
  <si>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</si>
  <si>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</si>
  <si>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</si>
  <si>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</si>
  <si>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</si>
  <si>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</si>
  <si>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</si>
  <si>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</si>
  <si>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</si>
  <si>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</si>
  <si>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</si>
  <si>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</si>
  <si>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</si>
  <si>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</si>
  <si>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</si>
  <si>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</si>
  <si>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</si>
  <si>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</si>
  <si>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</si>
  <si>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</si>
  <si>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</si>
  <si>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</si>
  <si>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</si>
  <si>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</si>
  <si>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</si>
  <si>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</si>
  <si>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</si>
  <si>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</si>
  <si>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</si>
  <si>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</si>
  <si>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</si>
  <si>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</si>
  <si>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</si>
  <si>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</si>
  <si>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</si>
  <si>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</si>
  <si>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</si>
  <si>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</si>
  <si>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</si>
  <si>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</si>
  <si>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</si>
  <si>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</si>
  <si>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</si>
  <si>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</si>
  <si>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</si>
  <si>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</si>
  <si>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</si>
  <si>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</si>
  <si>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</si>
  <si>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</si>
  <si>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</si>
  <si>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</si>
  <si>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</si>
  <si>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</si>
  <si>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</si>
  <si>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</si>
  <si>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</si>
  <si>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</si>
  <si>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</si>
  <si>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</si>
  <si>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</si>
  <si>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</si>
  <si>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</si>
  <si>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</si>
  <si>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</si>
  <si>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</si>
  <si>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</si>
  <si>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</si>
  <si>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</si>
  <si>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</si>
  <si>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</si>
  <si>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</si>
  <si>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</si>
  <si>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</si>
  <si>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</si>
  <si>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</si>
  <si>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</si>
  <si>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</si>
  <si>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</si>
  <si>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</si>
  <si>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</si>
  <si>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</si>
  <si>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</si>
  <si>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</si>
  <si>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</si>
  <si>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</si>
  <si>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</si>
  <si>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</si>
  <si>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</si>
  <si>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</si>
  <si>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</si>
  <si>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</si>
  <si>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</si>
  <si>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</si>
  <si>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</si>
  <si>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</si>
  <si>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</si>
  <si>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</si>
  <si>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</si>
  <si>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</si>
  <si>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</si>
  <si>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</si>
  <si>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</si>
  <si>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</si>
  <si>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</si>
  <si>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</si>
  <si>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</si>
  <si>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</si>
  <si>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</si>
  <si>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</si>
  <si>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</si>
  <si>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</si>
  <si>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</si>
  <si>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</si>
  <si>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</si>
  <si>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</si>
  <si>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</si>
  <si>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</si>
  <si>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</si>
  <si>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</si>
  <si>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</si>
  <si>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</si>
  <si>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</si>
  <si>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</si>
  <si>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</si>
  <si>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</si>
  <si>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</si>
  <si>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</si>
  <si>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</si>
  <si>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</si>
  <si>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</si>
  <si>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</si>
  <si>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</si>
  <si>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</si>
  <si>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</si>
  <si>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</si>
  <si>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</si>
  <si>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</si>
  <si>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</si>
  <si>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</si>
  <si>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</si>
  <si>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</si>
  <si>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</si>
  <si>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</si>
  <si>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</si>
  <si>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</si>
  <si>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</si>
  <si>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</si>
  <si>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</si>
  <si>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</si>
  <si>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</si>
  <si>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</si>
  <si>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</si>
  <si>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</si>
  <si>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</si>
  <si>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</si>
  <si>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</si>
  <si>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</si>
  <si>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</si>
  <si>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</si>
  <si>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</si>
  <si>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</si>
  <si>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</si>
  <si>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</si>
  <si>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</si>
  <si>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</si>
  <si>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</si>
  <si>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</si>
  <si>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</si>
  <si>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</si>
  <si>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</si>
  <si>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</si>
  <si>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</si>
  <si>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</si>
  <si>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</si>
  <si>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</si>
  <si>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</si>
  <si>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</si>
  <si>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</si>
  <si>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</si>
  <si>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</si>
  <si>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</si>
  <si>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</si>
  <si>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</si>
  <si>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</si>
  <si>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</si>
  <si>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</si>
  <si>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</si>
  <si>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</si>
  <si>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</si>
  <si>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</si>
  <si>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</si>
  <si>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</si>
  <si>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</si>
  <si>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</si>
  <si>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</si>
  <si>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</si>
  <si>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</si>
  <si>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</si>
  <si>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</si>
  <si>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</si>
  <si>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</si>
  <si>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</si>
  <si>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</si>
  <si>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</si>
  <si>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</si>
  <si>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</si>
  <si>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</si>
  <si>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</si>
  <si>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</si>
  <si>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</si>
  <si>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</si>
  <si>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</si>
  <si>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</si>
  <si>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</si>
  <si>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</si>
  <si>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</si>
  <si>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</si>
  <si>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</si>
  <si>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</si>
  <si>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</si>
  <si>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</si>
  <si>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</si>
  <si>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</si>
  <si>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</si>
  <si>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</si>
  <si>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</si>
  <si>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</si>
  <si>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</si>
  <si>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</si>
  <si>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</si>
  <si>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</si>
  <si>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</si>
  <si>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</si>
  <si>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</si>
  <si>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</si>
  <si>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</si>
  <si>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</si>
  <si>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</si>
  <si>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</si>
  <si>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</si>
  <si>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</si>
  <si>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</si>
  <si>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</si>
  <si>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</si>
  <si>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</si>
  <si>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</si>
  <si>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</si>
  <si>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</si>
  <si>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</si>
  <si>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</si>
  <si>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</si>
  <si>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</si>
  <si>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</si>
  <si>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</si>
  <si>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</si>
  <si>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</si>
  <si>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</si>
  <si>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</si>
  <si>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</si>
  <si>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</si>
  <si>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</si>
  <si>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</si>
  <si>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</si>
  <si>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</si>
  <si>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</si>
  <si>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</si>
  <si>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</si>
  <si>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</si>
  <si>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</si>
  <si>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</si>
  <si>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</si>
  <si>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</si>
  <si>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</si>
  <si>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</si>
  <si>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</si>
  <si>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</si>
  <si>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</si>
  <si>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</si>
  <si>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</si>
  <si>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</si>
  <si>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</si>
  <si>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</si>
  <si>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</si>
  <si>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</si>
  <si>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</si>
  <si>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</si>
  <si>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</si>
  <si>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</si>
  <si>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</si>
  <si>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</si>
  <si>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</si>
  <si>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</si>
  <si>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</si>
  <si>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</si>
  <si>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</si>
  <si>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</si>
  <si>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</si>
  <si>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</si>
  <si>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</si>
  <si>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</si>
  <si>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</si>
  <si>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</si>
  <si>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</si>
  <si>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</si>
  <si>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</si>
  <si>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</si>
  <si>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</si>
  <si>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</si>
  <si>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</si>
  <si>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</si>
  <si>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</si>
  <si>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</si>
  <si>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</si>
  <si>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</si>
  <si>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</si>
  <si>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</si>
  <si>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</si>
  <si>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</si>
  <si>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</si>
  <si>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</si>
  <si>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</si>
  <si>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</si>
  <si>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</si>
  <si>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</si>
  <si>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</si>
  <si>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</si>
  <si>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</si>
  <si>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</si>
  <si>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</si>
  <si>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</si>
  <si>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</si>
  <si>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</si>
  <si>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</si>
  <si>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</si>
  <si>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</si>
  <si>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</si>
  <si>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</si>
  <si>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</si>
  <si>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</si>
  <si>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</si>
  <si>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</si>
  <si>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</si>
  <si>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</si>
  <si>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</si>
  <si>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</si>
  <si>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</si>
  <si>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</si>
  <si>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</si>
  <si>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</si>
  <si>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</si>
  <si>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</si>
  <si>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</si>
  <si>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</si>
  <si>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</si>
  <si>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</si>
  <si>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</si>
  <si>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</si>
  <si>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</si>
  <si>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</si>
  <si>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</si>
  <si>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</si>
  <si>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</si>
  <si>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</si>
  <si>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</si>
  <si>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</si>
  <si>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</si>
  <si>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</si>
  <si>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</si>
  <si>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</si>
  <si>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</si>
  <si>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</si>
  <si>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</si>
  <si>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</si>
  <si>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</si>
  <si>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</si>
  <si>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</si>
  <si>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</si>
  <si>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</si>
  <si>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</si>
  <si>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</si>
  <si>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</si>
  <si>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</si>
  <si>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</si>
  <si>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</si>
  <si>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</si>
  <si>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</si>
  <si>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</si>
  <si>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</si>
  <si>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</si>
  <si>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</si>
  <si>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</si>
  <si>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</si>
  <si>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</si>
  <si>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</si>
  <si>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</si>
  <si>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</si>
  <si>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</si>
  <si>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</si>
  <si>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</si>
  <si>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</si>
  <si>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</si>
  <si>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</si>
  <si>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</si>
  <si>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</si>
  <si>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</si>
  <si>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</si>
  <si>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</si>
  <si>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</si>
  <si>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</si>
  <si>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</si>
  <si>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</si>
  <si>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</si>
  <si>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</si>
  <si>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</si>
  <si>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</si>
  <si>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</si>
  <si>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</si>
  <si>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</si>
  <si>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</si>
  <si>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</si>
  <si>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</si>
  <si>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</si>
  <si>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</si>
  <si>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</si>
  <si>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</si>
  <si>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</si>
  <si>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</si>
  <si>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</si>
  <si>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</si>
  <si>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</si>
  <si>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</si>
  <si>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</si>
  <si>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</si>
  <si>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</si>
  <si>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</si>
  <si>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</si>
  <si>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</si>
  <si>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</si>
  <si>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</si>
  <si>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</si>
  <si>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</si>
  <si>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</si>
  <si>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</si>
  <si>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</si>
  <si>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</si>
  <si>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</si>
  <si>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</si>
  <si>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</si>
  <si>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</si>
  <si>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</si>
  <si>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</si>
  <si>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</si>
  <si>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</si>
  <si>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</si>
  <si>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</si>
  <si>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</si>
  <si>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</si>
  <si>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</si>
  <si>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</si>
  <si>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</si>
  <si>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</si>
  <si>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</si>
  <si>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</si>
  <si>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</si>
  <si>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</si>
  <si>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</si>
  <si>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</si>
  <si>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</si>
  <si>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</si>
  <si>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</si>
  <si>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</si>
  <si>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</si>
  <si>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</si>
  <si>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</si>
  <si>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</si>
  <si>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</si>
  <si>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</si>
  <si>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</si>
  <si>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</si>
  <si>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</si>
  <si>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</si>
  <si>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</si>
  <si>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</si>
  <si>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</si>
  <si>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</si>
  <si>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</si>
  <si>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</si>
  <si>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</si>
  <si>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</si>
  <si>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</si>
  <si>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</si>
  <si>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</si>
  <si>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</si>
  <si>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</si>
  <si>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</si>
  <si>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</si>
  <si>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</si>
  <si>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</si>
  <si>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</si>
  <si>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</si>
  <si>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</si>
  <si>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</si>
  <si>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</si>
  <si>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</si>
  <si>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</si>
  <si>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</si>
  <si>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</si>
  <si>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</si>
  <si>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</si>
  <si>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</si>
  <si>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</si>
  <si>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</si>
  <si>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</si>
  <si>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</si>
  <si>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</si>
  <si>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</si>
  <si>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</si>
  <si>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</si>
  <si>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</si>
  <si>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</si>
  <si>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</si>
  <si>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</si>
  <si>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</si>
  <si>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</si>
  <si>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</si>
  <si>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</si>
  <si>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</si>
  <si>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</si>
  <si>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</si>
  <si>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</si>
  <si>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</si>
  <si>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</si>
  <si>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</si>
  <si>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</si>
  <si>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</si>
  <si>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</si>
  <si>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</si>
  <si>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</si>
  <si>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</si>
  <si>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</si>
  <si>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</si>
  <si>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</si>
  <si>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</si>
  <si>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</si>
  <si>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</si>
  <si>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</si>
  <si>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</si>
  <si>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</si>
  <si>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</si>
  <si>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</si>
  <si>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</si>
  <si>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</si>
  <si>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</si>
  <si>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</si>
  <si>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</si>
  <si>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</si>
  <si>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</si>
  <si>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</si>
  <si>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</si>
  <si>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</si>
  <si>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</si>
  <si>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</si>
  <si>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</si>
  <si>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</si>
  <si>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</si>
  <si>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</si>
  <si>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</si>
  <si>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</si>
  <si>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</si>
  <si>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</si>
  <si>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</si>
  <si>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</si>
  <si>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</si>
  <si>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</si>
  <si>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</si>
  <si>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</si>
  <si>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</si>
  <si>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</si>
  <si>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</si>
  <si>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</si>
  <si>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</si>
  <si>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</si>
  <si>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</si>
  <si>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</si>
  <si>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</si>
  <si>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</si>
  <si>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</si>
  <si>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</si>
  <si>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</si>
  <si>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</si>
  <si>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</si>
  <si>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</si>
  <si>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</si>
  <si>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</si>
  <si>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</si>
  <si>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</si>
  <si>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</si>
  <si>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</si>
  <si>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</si>
  <si>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</si>
  <si>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</si>
  <si>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</si>
  <si>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</si>
  <si>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</si>
  <si>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</si>
  <si>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</si>
  <si>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</si>
  <si>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</si>
  <si>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</si>
  <si>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</si>
  <si>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</si>
  <si>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</si>
  <si>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</si>
  <si>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</si>
  <si>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</si>
  <si>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</si>
  <si>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</si>
  <si>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</si>
  <si>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</si>
  <si>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</si>
  <si>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</si>
  <si>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</si>
  <si>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</si>
  <si>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</si>
  <si>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</si>
  <si>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</si>
  <si>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</si>
  <si>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</si>
  <si>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</si>
  <si>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</si>
  <si>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</si>
  <si>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</si>
  <si>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</si>
  <si>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</si>
  <si>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</si>
  <si>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</si>
  <si>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</si>
  <si>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</si>
  <si>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</si>
  <si>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</si>
  <si>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</si>
  <si>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</si>
  <si>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</si>
  <si>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</si>
  <si>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</si>
  <si>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</si>
  <si>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</si>
  <si>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</si>
  <si>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</si>
  <si>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</si>
  <si>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</si>
  <si>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</si>
  <si>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</si>
  <si>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</si>
  <si>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</si>
  <si>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</si>
  <si>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</si>
  <si>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</si>
  <si>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</si>
  <si>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</si>
  <si>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</si>
  <si>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</si>
  <si>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</si>
  <si>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</si>
  <si>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</si>
  <si>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</si>
  <si>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</si>
  <si>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</si>
  <si>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</si>
  <si>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</si>
  <si>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</si>
  <si>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</si>
  <si>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</si>
  <si>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</si>
  <si>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</si>
  <si>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</si>
  <si>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</si>
  <si>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</si>
  <si>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</si>
  <si>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</si>
  <si>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</si>
  <si>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</si>
  <si>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</si>
  <si>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</si>
  <si>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</si>
  <si>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</si>
  <si>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</si>
  <si>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</si>
  <si>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</si>
  <si>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</si>
  <si>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</si>
  <si>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</si>
  <si>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</si>
  <si>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</si>
  <si>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</si>
  <si>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</si>
  <si>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</si>
  <si>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</si>
  <si>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</si>
  <si>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</si>
  <si>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</si>
  <si>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</si>
  <si>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</si>
  <si>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</si>
  <si>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</si>
  <si>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</si>
  <si>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</si>
  <si>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</si>
  <si>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</si>
  <si>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</si>
  <si>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</si>
  <si>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</si>
  <si>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</si>
  <si>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</si>
  <si>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</si>
  <si>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</si>
  <si>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</si>
  <si>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</si>
  <si>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</si>
  <si>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</si>
  <si>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</si>
  <si>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</si>
  <si>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</si>
  <si>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</si>
  <si>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</si>
  <si>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</si>
  <si>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</si>
  <si>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</si>
  <si>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</si>
  <si>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</si>
  <si>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</si>
  <si>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</si>
  <si>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</si>
  <si>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</si>
  <si>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</si>
  <si>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</si>
  <si>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</si>
  <si>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</si>
  <si>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</si>
  <si>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</si>
  <si>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</si>
  <si>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</si>
  <si>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</si>
  <si>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</si>
  <si>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</si>
  <si>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</si>
  <si>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</si>
  <si>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</si>
  <si>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</si>
  <si>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</si>
  <si>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</si>
  <si>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</si>
  <si>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</si>
  <si>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</si>
  <si>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</si>
  <si>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</si>
  <si>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</si>
  <si>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</si>
  <si>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</si>
  <si>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</si>
  <si>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</si>
  <si>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</si>
  <si>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</si>
  <si>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</si>
  <si>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</si>
  <si>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</si>
  <si>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</si>
  <si>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</si>
  <si>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</si>
  <si>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</si>
  <si>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</si>
  <si>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</si>
  <si>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</si>
  <si>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</si>
  <si>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</si>
  <si>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</si>
  <si>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</si>
  <si>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</si>
  <si>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</si>
  <si>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</si>
  <si>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</si>
  <si>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</si>
  <si>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</si>
  <si>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</si>
  <si>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</si>
  <si>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</si>
  <si>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</si>
  <si>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</si>
  <si>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</si>
  <si>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</si>
  <si>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</si>
  <si>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</si>
  <si>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</si>
  <si>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</si>
  <si>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</si>
  <si>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</si>
  <si>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</si>
  <si>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</si>
  <si>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</si>
  <si>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</si>
  <si>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</si>
  <si>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</si>
  <si>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</si>
  <si>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</si>
  <si>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</si>
  <si>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</si>
  <si>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</si>
  <si>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</si>
  <si>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</si>
  <si>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</si>
  <si>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</si>
  <si>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</si>
  <si>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</si>
  <si>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</si>
  <si>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</si>
  <si>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</si>
  <si>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</si>
  <si>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</si>
  <si>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</si>
  <si>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</si>
  <si>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</si>
  <si>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</si>
  <si>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</si>
  <si>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</si>
  <si>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</si>
  <si>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</si>
  <si>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</si>
  <si>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</si>
  <si>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</si>
  <si>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</si>
  <si>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</si>
  <si>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</si>
  <si>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</si>
  <si>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</si>
  <si>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</si>
  <si>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</si>
  <si>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</si>
  <si>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</si>
  <si>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</si>
  <si>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</si>
  <si>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</si>
  <si>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</si>
  <si>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</si>
  <si>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</si>
  <si>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</si>
  <si>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</si>
  <si>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</si>
  <si>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</si>
  <si>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</si>
  <si>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</si>
  <si>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</si>
  <si>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</si>
  <si>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</si>
  <si>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</si>
  <si>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</si>
  <si>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</si>
  <si>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</si>
  <si>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</si>
  <si>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</si>
  <si>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</si>
  <si>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</si>
  <si>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</si>
  <si>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</si>
  <si>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</si>
  <si>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</si>
  <si>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</si>
  <si>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</si>
  <si>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</si>
  <si>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</si>
  <si>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</si>
  <si>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</si>
  <si>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</si>
  <si>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</si>
  <si>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</si>
  <si>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</si>
  <si>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</si>
  <si>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</si>
  <si>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</si>
  <si>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</si>
  <si>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</si>
  <si>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</si>
  <si>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</si>
  <si>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</si>
  <si>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</si>
  <si>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</si>
  <si>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</si>
  <si>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</si>
  <si>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</si>
  <si>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</si>
  <si>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</si>
  <si>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</si>
  <si>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</si>
  <si>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</si>
  <si>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</si>
  <si>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</si>
  <si>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</si>
  <si>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</si>
  <si>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</si>
  <si>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</si>
  <si>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</si>
  <si>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</si>
  <si>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</si>
  <si>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</si>
  <si>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</si>
  <si>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</si>
  <si>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</si>
  <si>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</si>
  <si>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</si>
  <si>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</si>
  <si>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</si>
  <si>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</si>
  <si>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</si>
  <si>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</si>
  <si>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</si>
  <si>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</si>
  <si>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</si>
  <si>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</si>
  <si>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</si>
  <si>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</si>
  <si>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</si>
  <si>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</si>
  <si>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</si>
  <si>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</si>
  <si>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</si>
  <si>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</si>
  <si>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</si>
  <si>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</si>
  <si>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</si>
  <si>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</si>
  <si>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</si>
  <si>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</si>
  <si>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</si>
  <si>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</si>
  <si>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</si>
  <si>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</si>
  <si>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</si>
  <si>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</si>
  <si>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</si>
  <si>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</si>
  <si>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</si>
  <si>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</si>
  <si>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</si>
  <si>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</si>
  <si>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</si>
  <si>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</si>
  <si>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</si>
  <si>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</si>
  <si>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</si>
  <si>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</si>
  <si>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</si>
  <si>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</si>
  <si>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</si>
  <si>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</si>
  <si>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</si>
  <si>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</si>
  <si>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</si>
  <si>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</si>
  <si>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</si>
  <si>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</si>
  <si>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</si>
  <si>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</si>
  <si>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</si>
  <si>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</si>
  <si>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</si>
  <si>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</si>
  <si>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</si>
  <si>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</si>
  <si>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</si>
  <si>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</si>
  <si>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</si>
  <si>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</si>
  <si>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</si>
  <si>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</si>
  <si>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</si>
  <si>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</si>
  <si>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</si>
  <si>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</si>
  <si>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</si>
  <si>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</si>
  <si>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</si>
  <si>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</si>
  <si>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</si>
  <si>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</si>
  <si>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</si>
  <si>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</si>
  <si>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</si>
  <si>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</si>
  <si>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</si>
  <si>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</si>
  <si>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</si>
  <si>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</si>
  <si>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</si>
  <si>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</si>
  <si>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</si>
  <si>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</si>
  <si>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</si>
  <si>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</si>
  <si>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</si>
  <si>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</si>
  <si>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</si>
  <si>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</si>
  <si>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</si>
  <si>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</si>
  <si>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</si>
  <si>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</si>
  <si>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</si>
  <si>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</si>
  <si>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</si>
  <si>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</si>
  <si>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</si>
  <si>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</si>
  <si>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</si>
  <si>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</si>
  <si>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</si>
  <si>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</si>
  <si>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</si>
  <si>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</si>
  <si>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</si>
  <si>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</si>
  <si>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</si>
  <si>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</si>
  <si>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</si>
  <si>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</si>
  <si>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</si>
  <si>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</si>
  <si>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</si>
  <si>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</si>
  <si>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</si>
  <si>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</si>
  <si>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</si>
  <si>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</si>
  <si>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</si>
  <si>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</si>
  <si>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</si>
  <si>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</si>
  <si>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</si>
  <si>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</si>
  <si>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</si>
  <si>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</si>
  <si>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</si>
  <si>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</si>
  <si>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</si>
  <si>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</si>
  <si>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</si>
  <si>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</si>
  <si>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</si>
  <si>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</si>
  <si>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</si>
  <si>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</si>
  <si>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</si>
  <si>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</si>
  <si>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</si>
  <si>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</si>
  <si>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</si>
  <si>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</si>
  <si>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</si>
  <si>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</si>
  <si>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</si>
  <si>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</si>
  <si>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</si>
  <si>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</si>
  <si>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</si>
  <si>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</si>
  <si>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</si>
  <si>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</si>
  <si>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</si>
  <si>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</si>
  <si>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</si>
  <si>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</si>
  <si>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</si>
  <si>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</si>
  <si>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</si>
  <si>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</si>
  <si>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</si>
  <si>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</si>
  <si>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</si>
  <si>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</si>
  <si>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</si>
  <si>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</si>
  <si>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</si>
  <si>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</si>
  <si>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</si>
  <si>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</si>
  <si>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</si>
  <si>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</si>
  <si>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</si>
  <si>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</si>
  <si>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</si>
  <si>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</si>
  <si>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</si>
  <si>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</si>
  <si>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</si>
  <si>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</si>
  <si>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</si>
  <si>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</si>
  <si>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</si>
  <si>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</si>
  <si>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</si>
  <si>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</si>
  <si>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</si>
  <si>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</si>
  <si>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</si>
  <si>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</si>
  <si>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</si>
  <si>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</si>
  <si>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</si>
  <si>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</si>
  <si>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</si>
  <si>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</si>
  <si>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</si>
  <si>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</si>
  <si>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</si>
  <si>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</si>
  <si>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</si>
  <si>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</si>
  <si>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</si>
  <si>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</si>
  <si>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</si>
  <si>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</si>
  <si>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</si>
  <si>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</si>
  <si>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</si>
  <si>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</si>
  <si>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</si>
  <si>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</si>
  <si>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</si>
  <si>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</si>
  <si>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</si>
  <si>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</si>
  <si>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</si>
  <si>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</si>
  <si>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</si>
  <si>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</si>
  <si>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</si>
  <si>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</si>
  <si>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</si>
  <si>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</si>
  <si>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</si>
  <si>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</si>
  <si>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</si>
  <si>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</si>
  <si>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</si>
  <si>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</si>
  <si>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</si>
  <si>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</si>
  <si>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</si>
  <si>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</si>
  <si>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</si>
  <si>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</si>
  <si>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</si>
  <si>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</si>
  <si>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</si>
  <si>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</si>
  <si>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</si>
  <si>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</si>
  <si>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</si>
  <si>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</si>
  <si>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</si>
  <si>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</si>
  <si>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</si>
  <si>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</si>
  <si>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</si>
  <si>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</si>
  <si>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</si>
  <si>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</si>
  <si>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</si>
  <si>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</si>
  <si>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</si>
  <si>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</si>
  <si>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</si>
  <si>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</si>
  <si>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</si>
  <si>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</si>
  <si>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</si>
  <si>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</si>
  <si>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</si>
  <si>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</si>
  <si>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</si>
  <si>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</si>
  <si>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</si>
  <si>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</si>
  <si>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</si>
  <si>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</si>
  <si>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</si>
  <si>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</si>
  <si>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</si>
  <si>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</si>
  <si>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</si>
  <si>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</si>
  <si>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</si>
  <si>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</si>
  <si>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</si>
  <si>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</si>
  <si>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</si>
  <si>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</si>
  <si>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</si>
  <si>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</si>
  <si>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</si>
  <si>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</si>
  <si>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</si>
  <si>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</si>
  <si>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</si>
  <si>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</si>
  <si>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</si>
  <si>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</si>
  <si>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</si>
  <si>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</si>
  <si>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</si>
  <si>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</si>
  <si>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</si>
  <si>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</si>
  <si>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</si>
  <si>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</si>
  <si>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</si>
  <si>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</si>
  <si>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</si>
  <si>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</si>
  <si>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</si>
  <si>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</si>
  <si>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</si>
  <si>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</si>
  <si>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</si>
  <si>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</si>
  <si>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</si>
  <si>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</si>
  <si>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</si>
  <si>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</si>
  <si>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</si>
  <si>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</si>
  <si>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</si>
  <si>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</si>
  <si>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</si>
  <si>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</si>
  <si>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</si>
  <si>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</si>
  <si>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</si>
  <si>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</si>
  <si>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</si>
  <si>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</si>
  <si>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</si>
  <si>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</si>
  <si>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</si>
  <si>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</si>
  <si>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</si>
  <si>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</si>
  <si>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</si>
  <si>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</si>
  <si>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</si>
  <si>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</si>
  <si>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</si>
  <si>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</si>
  <si>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</si>
  <si>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</si>
  <si>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</si>
  <si>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</si>
  <si>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</si>
  <si>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</si>
  <si>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</si>
  <si>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</si>
  <si>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</si>
  <si>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</si>
  <si>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</si>
  <si>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</si>
  <si>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</si>
  <si>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</si>
  <si>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</si>
  <si>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</si>
  <si>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</si>
  <si>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</si>
  <si>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</si>
  <si>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</si>
  <si>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</si>
  <si>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</si>
  <si>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</si>
  <si>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</si>
  <si>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</si>
  <si>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</si>
  <si>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</si>
  <si>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</si>
  <si>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</si>
  <si>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</si>
  <si>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</si>
  <si>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</si>
  <si>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</si>
  <si>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</si>
  <si>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</si>
  <si>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</si>
  <si>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</si>
  <si>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</si>
  <si>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</si>
  <si>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</si>
  <si>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</si>
  <si>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</si>
  <si>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</si>
  <si>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</si>
  <si>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</si>
  <si>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</si>
  <si>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</si>
  <si>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</si>
  <si>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</si>
  <si>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</si>
  <si>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</si>
  <si>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</si>
  <si>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</si>
  <si>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</si>
  <si>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</si>
  <si>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</si>
  <si>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</si>
  <si>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</si>
  <si>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</si>
  <si>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</si>
  <si>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</si>
  <si>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</si>
  <si>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</si>
  <si>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</si>
  <si>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</si>
  <si>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</si>
  <si>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</si>
  <si>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</si>
  <si>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</si>
  <si>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</si>
  <si>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</si>
  <si>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</si>
  <si>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</si>
  <si>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</si>
  <si>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</si>
  <si>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</si>
  <si>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</si>
  <si>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</si>
  <si>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</si>
  <si>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</si>
  <si>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</si>
  <si>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</si>
  <si>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</si>
  <si>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</si>
  <si>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</si>
  <si>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</si>
  <si>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</si>
  <si>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</si>
  <si>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</si>
  <si>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</si>
  <si>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</si>
  <si>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</si>
  <si>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</si>
  <si>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</si>
  <si>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</si>
  <si>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</si>
  <si>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</si>
  <si>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</si>
  <si>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</si>
  <si>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</si>
  <si>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</si>
  <si>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</si>
  <si>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</si>
  <si>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</si>
  <si>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</si>
  <si>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</si>
  <si>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</si>
  <si>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</si>
  <si>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</si>
  <si>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</si>
  <si>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</si>
  <si>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</si>
  <si>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</si>
  <si>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</si>
  <si>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</si>
  <si>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</si>
  <si>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</si>
  <si>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</si>
  <si>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</si>
  <si>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</si>
  <si>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</si>
  <si>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</si>
  <si>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</si>
  <si>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</si>
  <si>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</si>
  <si>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</si>
  <si>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</si>
  <si>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</si>
  <si>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</si>
  <si>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</si>
  <si>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</si>
  <si>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</si>
  <si>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</si>
  <si>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</si>
  <si>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</si>
  <si>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</si>
  <si>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</si>
  <si>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</si>
  <si>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</si>
  <si>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</si>
  <si>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</si>
  <si>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</si>
  <si>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</si>
  <si>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</si>
  <si>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</si>
  <si>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</si>
  <si>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</si>
  <si>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</si>
  <si>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</si>
  <si>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</si>
  <si>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</si>
  <si>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</si>
  <si>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</si>
  <si>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</si>
  <si>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</si>
  <si>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</si>
  <si>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</si>
  <si>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</si>
  <si>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</si>
  <si>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</si>
  <si>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</si>
  <si>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</si>
  <si>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</si>
  <si>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</si>
  <si>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</si>
  <si>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</si>
  <si>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</si>
  <si>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</si>
  <si>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</si>
  <si>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</si>
  <si>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</si>
  <si>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</si>
  <si>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</si>
  <si>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</si>
  <si>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</si>
  <si>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</si>
  <si>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</si>
  <si>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</si>
  <si>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</si>
  <si>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</si>
  <si>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</si>
  <si>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</si>
  <si>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</si>
  <si>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</si>
  <si>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</si>
  <si>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</si>
  <si>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</si>
  <si>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</si>
  <si>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</si>
  <si>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</si>
  <si>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</si>
  <si>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</si>
  <si>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</si>
  <si>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</si>
  <si>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</si>
  <si>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</si>
  <si>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</si>
  <si>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</si>
  <si>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</si>
  <si>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</si>
  <si>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</si>
  <si>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</si>
  <si>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</si>
  <si>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</si>
  <si>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</si>
  <si>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</si>
  <si>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</si>
  <si>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</si>
  <si>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</si>
  <si>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</si>
  <si>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</si>
  <si>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</si>
  <si>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</si>
  <si>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</si>
  <si>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</si>
  <si>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</si>
  <si>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</si>
  <si>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</si>
  <si>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</si>
  <si>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</si>
  <si>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</si>
  <si>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</si>
  <si>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</si>
  <si>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</si>
  <si>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</si>
  <si>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</si>
  <si>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</si>
  <si>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</si>
  <si>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</si>
  <si>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</si>
  <si>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</si>
  <si>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</si>
  <si>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</si>
  <si>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</si>
  <si>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</si>
  <si>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</si>
  <si>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</si>
  <si>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</si>
  <si>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</si>
  <si>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</si>
  <si>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</si>
  <si>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</si>
  <si>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</si>
  <si>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</si>
  <si>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</si>
  <si>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</si>
  <si>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</si>
  <si>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</si>
  <si>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</si>
  <si>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</si>
  <si>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</si>
  <si>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</si>
  <si>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</si>
  <si>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</si>
  <si>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</si>
  <si>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</si>
  <si>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</si>
  <si>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</si>
  <si>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</si>
  <si>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</si>
  <si>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</si>
  <si>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</si>
  <si>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</si>
  <si>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</si>
  <si>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</si>
  <si>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</si>
  <si>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</si>
  <si>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</si>
  <si>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</si>
  <si>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</si>
  <si>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</si>
  <si>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</si>
  <si>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</si>
  <si>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</si>
  <si>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</si>
  <si>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</si>
  <si>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</si>
  <si>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</si>
  <si>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</si>
  <si>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</si>
  <si>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</si>
  <si>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</si>
  <si>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</si>
  <si>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</si>
  <si>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</si>
  <si>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</si>
  <si>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</si>
  <si>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</si>
  <si>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</si>
  <si>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</si>
  <si>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</si>
  <si>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</si>
  <si>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</si>
  <si>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</si>
  <si>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</si>
  <si>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</si>
  <si>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</si>
  <si>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</si>
  <si>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</si>
  <si>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</si>
  <si>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</si>
  <si>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</si>
  <si>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</si>
  <si>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</si>
  <si>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</si>
  <si>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</si>
  <si>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</si>
  <si>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</si>
  <si>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</si>
  <si>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</si>
  <si>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</si>
  <si>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</si>
  <si>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</si>
  <si>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</si>
  <si>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</si>
  <si>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</si>
  <si>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</si>
  <si>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</si>
  <si>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</si>
  <si>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</si>
  <si>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</si>
  <si>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</si>
  <si>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</si>
  <si>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</si>
  <si>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</si>
  <si>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</si>
  <si>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</si>
  <si>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</si>
  <si>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</si>
  <si>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</si>
  <si>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</si>
  <si>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</si>
  <si>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</si>
  <si>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</si>
  <si>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</si>
  <si>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</si>
  <si>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</si>
  <si>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</si>
  <si>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</si>
  <si>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</si>
  <si>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</si>
  <si>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</si>
  <si>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</si>
  <si>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</si>
  <si>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</si>
  <si>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</si>
  <si>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</si>
  <si>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</si>
  <si>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</si>
  <si>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</si>
  <si>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</si>
  <si>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</si>
  <si>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</si>
  <si>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</si>
  <si>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</si>
  <si>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</si>
  <si>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</si>
  <si>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</si>
  <si>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</si>
  <si>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</si>
  <si>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</si>
  <si>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</si>
  <si>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</si>
  <si>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</si>
  <si>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</si>
  <si>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</si>
  <si>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</si>
  <si>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</si>
  <si>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</si>
  <si>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</si>
  <si>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</si>
  <si>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</si>
  <si>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</si>
  <si>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</si>
  <si>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</si>
  <si>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</si>
  <si>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</si>
  <si>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</si>
  <si>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</si>
  <si>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</si>
  <si>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</si>
  <si>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</si>
  <si>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</si>
  <si>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</si>
  <si>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</si>
  <si>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</si>
  <si>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</si>
  <si>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</si>
  <si>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</si>
  <si>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</si>
  <si>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</si>
  <si>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</si>
  <si>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</si>
  <si>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</si>
  <si>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</si>
  <si>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</si>
  <si>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</si>
  <si>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</si>
  <si>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</si>
  <si>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</si>
  <si>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</si>
  <si>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</si>
  <si>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</si>
  <si>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</si>
  <si>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</si>
  <si>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</si>
  <si>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</si>
  <si>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</si>
  <si>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</si>
  <si>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</si>
  <si>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</si>
  <si>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</si>
  <si>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</si>
  <si>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</si>
  <si>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</si>
  <si>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</si>
  <si>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</si>
  <si>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</si>
  <si>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</si>
  <si>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</si>
  <si>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</si>
  <si>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</si>
  <si>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</si>
  <si>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</si>
  <si>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</si>
  <si>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</si>
  <si>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</si>
  <si>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</si>
  <si>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</si>
  <si>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</si>
  <si>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</si>
  <si>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</si>
  <si>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</si>
  <si>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</si>
  <si>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</si>
  <si>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</si>
  <si>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</si>
  <si>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</si>
  <si>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</si>
  <si>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</si>
  <si>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</si>
  <si>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</si>
  <si>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</si>
  <si>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</si>
  <si>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</si>
  <si>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</si>
  <si>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</si>
  <si>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</si>
  <si>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</si>
  <si>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</si>
  <si>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</si>
  <si>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</si>
  <si>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</si>
  <si>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</si>
  <si>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</si>
  <si>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</si>
  <si>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</si>
  <si>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</si>
  <si>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</si>
  <si>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</si>
  <si>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</si>
  <si>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</si>
  <si>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</si>
  <si>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</si>
  <si>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</si>
  <si>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</si>
  <si>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</si>
  <si>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</si>
  <si>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</si>
  <si>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</si>
  <si>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</si>
  <si>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</si>
  <si>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</si>
  <si>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</si>
  <si>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</si>
  <si>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</si>
  <si>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</si>
  <si>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</si>
  <si>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</si>
  <si>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</si>
  <si>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</si>
  <si>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</si>
  <si>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</si>
  <si>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</si>
  <si>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</si>
  <si>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</si>
  <si>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</si>
  <si>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</si>
  <si>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</si>
  <si>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</si>
  <si>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</si>
  <si>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</si>
  <si>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</si>
  <si>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</si>
  <si>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</si>
  <si>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</si>
  <si>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</si>
  <si>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</si>
  <si>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</si>
  <si>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</si>
  <si>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</si>
  <si>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</si>
  <si>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</si>
  <si>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</si>
  <si>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</si>
  <si>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</si>
  <si>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</si>
  <si>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</si>
  <si>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</si>
  <si>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</si>
  <si>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</si>
  <si>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</si>
  <si>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</si>
  <si>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</si>
  <si>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</si>
  <si>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</si>
  <si>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</si>
  <si>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</si>
  <si>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</si>
  <si>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</si>
  <si>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</si>
  <si>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</si>
  <si>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</si>
  <si>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</si>
  <si>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</si>
  <si>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</si>
  <si>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</si>
  <si>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</si>
  <si>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</si>
  <si>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</si>
  <si>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</si>
  <si>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</si>
  <si>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</si>
  <si>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</si>
  <si>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</si>
  <si>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</si>
  <si>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</si>
  <si>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</si>
  <si>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</si>
  <si>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</si>
  <si>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</si>
  <si>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</si>
  <si>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</si>
  <si>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</si>
  <si>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</si>
  <si>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</si>
  <si>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</si>
  <si>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</si>
  <si>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</si>
  <si>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</si>
  <si>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</si>
  <si>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</si>
  <si>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</si>
  <si>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</si>
  <si>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</si>
  <si>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</si>
  <si>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</si>
  <si>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</si>
  <si>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</si>
  <si>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</si>
  <si>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</si>
  <si>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</si>
  <si>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</si>
  <si>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</si>
  <si>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</si>
  <si>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</si>
  <si>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</si>
  <si>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</si>
  <si>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</si>
  <si>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</si>
  <si>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</si>
  <si>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</si>
  <si>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</si>
  <si>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</si>
  <si>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</si>
  <si>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</si>
  <si>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</si>
  <si>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</si>
  <si>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</si>
  <si>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</si>
  <si>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</si>
  <si>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</si>
  <si>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</si>
  <si>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</si>
  <si>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</si>
  <si>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</si>
  <si>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</si>
  <si>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</si>
  <si>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</si>
  <si>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</si>
  <si>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</si>
  <si>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</si>
  <si>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</si>
  <si>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</si>
  <si>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</si>
  <si>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</si>
  <si>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</si>
  <si>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</si>
  <si>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</si>
  <si>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</si>
  <si>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</si>
  <si>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</si>
  <si>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</si>
  <si>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</si>
  <si>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</si>
  <si>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</si>
  <si>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</si>
  <si>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</si>
  <si>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</si>
  <si>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</si>
  <si>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</si>
  <si>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</si>
  <si>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</si>
  <si>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</si>
  <si>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</si>
  <si>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</si>
  <si>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</si>
  <si>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</si>
  <si>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</si>
  <si>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</si>
  <si>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</si>
  <si>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</si>
  <si>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</si>
  <si>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</si>
  <si>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</si>
  <si>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</si>
  <si>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</si>
  <si>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</si>
  <si>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</si>
  <si>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</si>
  <si>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</si>
  <si>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</si>
  <si>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</si>
  <si>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</si>
  <si>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</si>
  <si>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</si>
  <si>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</si>
  <si>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</si>
  <si>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</si>
  <si>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</si>
  <si>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</si>
  <si>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</si>
  <si>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</si>
  <si>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</si>
  <si>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</si>
  <si>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</si>
  <si>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</si>
  <si>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</si>
  <si>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</si>
  <si>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</si>
  <si>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</si>
  <si>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</si>
  <si>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</si>
  <si>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</si>
  <si>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</si>
  <si>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</si>
  <si>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</si>
  <si>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</si>
  <si>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</si>
  <si>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</si>
  <si>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</si>
  <si>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</si>
  <si>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</si>
  <si>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</si>
  <si>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</si>
  <si>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</si>
  <si>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</si>
  <si>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</si>
  <si>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</si>
  <si>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</si>
  <si>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</si>
  <si>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</si>
  <si>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</si>
  <si>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</si>
  <si>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</si>
  <si>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</si>
  <si>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</si>
  <si>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</si>
  <si>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</si>
  <si>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</si>
  <si>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</si>
  <si>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</si>
  <si>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</si>
  <si>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</si>
  <si>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</si>
  <si>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</si>
  <si>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</si>
  <si>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</si>
  <si>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</si>
  <si>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</si>
  <si>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</si>
  <si>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</si>
  <si>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</si>
  <si>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</si>
  <si>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</si>
  <si>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</si>
  <si>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</si>
  <si>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</si>
  <si>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</si>
  <si>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</si>
  <si>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</si>
  <si>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</si>
  <si>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</si>
  <si>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</si>
  <si>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</si>
  <si>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</si>
  <si>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</si>
  <si>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</si>
  <si>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</si>
  <si>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</si>
  <si>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</si>
  <si>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</si>
  <si>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</si>
  <si>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</si>
  <si>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</si>
  <si>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</si>
  <si>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</si>
  <si>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</si>
  <si>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</si>
  <si>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</si>
  <si>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</si>
  <si>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</si>
  <si>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</si>
  <si>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</si>
  <si>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</si>
  <si>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</si>
  <si>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</si>
  <si>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</si>
  <si>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</si>
  <si>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</si>
  <si>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</si>
  <si>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</si>
  <si>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</si>
  <si>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</si>
  <si>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</si>
  <si>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</si>
  <si>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</si>
  <si>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</si>
  <si>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</si>
  <si>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</si>
  <si>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</si>
  <si>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</si>
  <si>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</si>
  <si>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</si>
  <si>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</si>
  <si>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</si>
  <si>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</si>
  <si>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</si>
  <si>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</si>
  <si>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</si>
  <si>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</si>
  <si>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</si>
  <si>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</si>
  <si>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</si>
  <si>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</si>
  <si>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</si>
  <si>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</si>
  <si>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</si>
  <si>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</si>
  <si>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</si>
  <si>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</si>
  <si>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</si>
  <si>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</si>
  <si>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</si>
  <si>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</si>
  <si>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</si>
  <si>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</si>
  <si>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</si>
  <si>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</si>
  <si>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</si>
  <si>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</si>
  <si>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</si>
  <si>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</si>
  <si>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</si>
  <si>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</si>
  <si>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</si>
  <si>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</si>
  <si>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</si>
  <si>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</si>
  <si>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</si>
  <si>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</si>
  <si>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</si>
  <si>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</si>
  <si>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</si>
  <si>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</si>
  <si>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</si>
  <si>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</si>
  <si>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</si>
  <si>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</si>
  <si>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</si>
  <si>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</si>
  <si>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</si>
  <si>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</si>
  <si>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</si>
  <si>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</si>
  <si>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</si>
  <si>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</si>
  <si>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</si>
  <si>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</si>
  <si>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</si>
  <si>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</si>
  <si>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</si>
  <si>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</si>
  <si>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</si>
  <si>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</si>
  <si>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</si>
  <si>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</si>
  <si>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</si>
  <si>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</si>
  <si>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</si>
  <si>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</si>
  <si>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</si>
  <si>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</si>
  <si>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</si>
  <si>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</si>
  <si>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</si>
  <si>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</si>
  <si>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</si>
  <si>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</si>
  <si>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</si>
  <si>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</si>
  <si>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</si>
  <si>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</si>
  <si>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</si>
  <si>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</si>
  <si>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</si>
  <si>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</si>
  <si>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</si>
  <si>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</si>
  <si>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</si>
  <si>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</si>
  <si>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</si>
  <si>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</si>
  <si>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</si>
  <si>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</si>
  <si>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</si>
  <si>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</si>
  <si>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</si>
  <si>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</si>
  <si>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</si>
  <si>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</si>
  <si>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</si>
  <si>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</si>
  <si>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</si>
  <si>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</si>
  <si>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</si>
  <si>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</si>
  <si>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</si>
  <si>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</si>
  <si>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</si>
  <si>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</si>
  <si>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</si>
  <si>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</si>
  <si>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</si>
  <si>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</si>
  <si>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</si>
  <si>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</si>
  <si>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</si>
  <si>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</si>
  <si>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</si>
  <si>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</si>
  <si>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</si>
  <si>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</si>
  <si>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</si>
  <si>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</si>
  <si>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</si>
  <si>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</si>
  <si>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</si>
  <si>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</si>
  <si>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</si>
  <si>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</si>
  <si>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</si>
  <si>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</si>
  <si>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</si>
  <si>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</si>
  <si>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</si>
  <si>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</si>
  <si>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</si>
  <si>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</si>
  <si>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</si>
  <si>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</si>
  <si>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</si>
  <si>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</si>
  <si>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</si>
  <si>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</si>
  <si>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</si>
  <si>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</si>
  <si>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</si>
  <si>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</si>
  <si>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</si>
  <si>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</si>
  <si>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</si>
  <si>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</si>
  <si>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</si>
  <si>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</si>
  <si>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</si>
  <si>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</si>
  <si>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</si>
  <si>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</si>
  <si>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</si>
  <si>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</si>
  <si>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</si>
  <si>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</si>
  <si>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</si>
  <si>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</si>
  <si>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</si>
  <si>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</si>
  <si>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</si>
  <si>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</si>
  <si>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</si>
  <si>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</si>
  <si>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</si>
  <si>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</si>
  <si>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</si>
  <si>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</si>
  <si>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</si>
  <si>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</si>
  <si>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</si>
  <si>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</si>
  <si>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</si>
  <si>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</si>
  <si>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</si>
  <si>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</si>
  <si>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</si>
  <si>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</si>
  <si>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</si>
  <si>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</si>
  <si>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</si>
  <si>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</si>
  <si>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</si>
  <si>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</si>
  <si>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</si>
  <si>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</si>
  <si>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</si>
  <si>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</si>
  <si>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</si>
  <si>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</si>
  <si>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</si>
  <si>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</si>
  <si>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</si>
  <si>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</si>
  <si>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</si>
  <si>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</si>
  <si>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</si>
  <si>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</si>
  <si>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</si>
  <si>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</si>
  <si>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</si>
  <si>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</si>
  <si>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</si>
  <si>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</si>
  <si>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</si>
  <si>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</si>
  <si>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</si>
  <si>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</si>
  <si>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</si>
  <si>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</si>
  <si>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</si>
  <si>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</si>
  <si>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</si>
  <si>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</si>
  <si>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</si>
  <si>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</si>
  <si>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</si>
  <si>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</si>
  <si>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</si>
  <si>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</si>
  <si>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</si>
  <si>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</si>
  <si>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</si>
  <si>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</si>
  <si>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</si>
  <si>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</si>
  <si>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</si>
  <si>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</si>
  <si>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</si>
  <si>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</si>
  <si>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</si>
  <si>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</si>
  <si>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</si>
  <si>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</si>
  <si>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</si>
  <si>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</si>
  <si>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</si>
  <si>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</si>
  <si>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</si>
  <si>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</si>
  <si>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</si>
  <si>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</si>
  <si>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</si>
  <si>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</si>
  <si>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</si>
  <si>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</si>
  <si>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</si>
  <si>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</si>
  <si>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</si>
  <si>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</si>
  <si>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</si>
  <si>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</si>
  <si>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</si>
  <si>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</si>
  <si>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</si>
  <si>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</si>
  <si>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</si>
  <si>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</si>
  <si>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</si>
  <si>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</si>
  <si>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</si>
  <si>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</si>
  <si>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</si>
  <si>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</si>
  <si>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</si>
  <si>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</si>
  <si>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</si>
  <si>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</si>
  <si>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</si>
  <si>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</si>
  <si>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</si>
  <si>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</si>
  <si>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</si>
  <si>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</si>
  <si>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</si>
  <si>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</si>
  <si>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</si>
  <si>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</si>
  <si>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</si>
  <si>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</si>
  <si>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</si>
  <si>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</si>
  <si>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</si>
  <si>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</si>
  <si>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</si>
  <si>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</si>
  <si>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</si>
  <si>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</si>
  <si>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</si>
  <si>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</si>
  <si>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</si>
  <si>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</si>
  <si>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</si>
  <si>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</si>
  <si>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</si>
  <si>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</si>
  <si>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</si>
  <si>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</si>
  <si>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</si>
  <si>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</si>
  <si>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</si>
  <si>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</si>
  <si>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</si>
  <si>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</si>
  <si>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</si>
  <si>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</si>
  <si>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</si>
  <si>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</si>
  <si>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</si>
  <si>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</si>
  <si>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</si>
  <si>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</si>
  <si>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</si>
  <si>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</si>
  <si>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</si>
  <si>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</si>
  <si>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</si>
  <si>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</si>
  <si>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</si>
  <si>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</si>
  <si>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</si>
  <si>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</si>
  <si>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</si>
  <si>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</si>
  <si>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</si>
  <si>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</si>
  <si>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</si>
  <si>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</si>
  <si>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</si>
  <si>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</si>
  <si>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</si>
  <si>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</si>
  <si>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</si>
  <si>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</si>
  <si>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</si>
  <si>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</si>
  <si>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</si>
  <si>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</si>
  <si>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</si>
  <si>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</si>
  <si>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</si>
  <si>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</si>
  <si>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</si>
  <si>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</si>
  <si>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</si>
  <si>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</si>
  <si>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</si>
  <si>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</si>
  <si>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</si>
  <si>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</si>
  <si>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</si>
  <si>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</si>
  <si>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</si>
  <si>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</si>
  <si>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</si>
  <si>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</si>
  <si>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</si>
  <si>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</si>
  <si>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</si>
  <si>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</si>
  <si>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</si>
  <si>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</si>
  <si>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</si>
  <si>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</si>
  <si>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</si>
  <si>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</si>
  <si>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</si>
  <si>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</si>
  <si>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</si>
  <si>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</si>
  <si>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</si>
  <si>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</si>
  <si>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</si>
  <si>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</si>
  <si>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</si>
  <si>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</si>
  <si>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</si>
  <si>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</si>
  <si>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</si>
  <si>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</si>
  <si>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</si>
  <si>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</si>
  <si>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</si>
  <si>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</si>
  <si>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</si>
  <si>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</si>
  <si>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</si>
  <si>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</si>
  <si>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</si>
  <si>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</si>
  <si>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</si>
  <si>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</si>
  <si>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</si>
  <si>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</si>
  <si>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</si>
  <si>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</si>
  <si>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</si>
  <si>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</si>
  <si>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</si>
  <si>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</si>
  <si>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</si>
  <si>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</si>
  <si>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</si>
  <si>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</si>
  <si>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</si>
  <si>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</si>
  <si>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</si>
  <si>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</si>
  <si>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</si>
  <si>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</si>
  <si>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</si>
  <si>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</si>
  <si>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</si>
  <si>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</si>
  <si>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</si>
  <si>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</si>
  <si>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</si>
  <si>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</si>
  <si>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</si>
  <si>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</si>
  <si>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</si>
  <si>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</si>
  <si>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</si>
  <si>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</si>
  <si>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</si>
  <si>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</si>
  <si>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</si>
  <si>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</si>
  <si>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</si>
  <si>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</si>
  <si>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</si>
  <si>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</si>
  <si>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</si>
  <si>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</si>
  <si>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</si>
  <si>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</si>
  <si>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</si>
  <si>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</si>
  <si>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</si>
  <si>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</si>
  <si>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</si>
  <si>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</si>
  <si>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</si>
  <si>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</si>
  <si>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</si>
  <si>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</si>
  <si>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</si>
  <si>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</si>
  <si>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</si>
  <si>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</si>
  <si>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</si>
  <si>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</si>
  <si>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</si>
  <si>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</si>
  <si>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</si>
  <si>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</si>
  <si>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</si>
  <si>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</si>
  <si>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</si>
  <si>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</si>
  <si>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</si>
  <si>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</si>
  <si>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</si>
  <si>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</si>
  <si>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</si>
  <si>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</si>
  <si>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</si>
  <si>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</si>
  <si>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</si>
  <si>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</si>
  <si>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</si>
  <si>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</si>
  <si>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</si>
  <si>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</si>
  <si>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</si>
  <si>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</si>
  <si>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</si>
  <si>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</si>
  <si>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</si>
  <si>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</si>
  <si>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</si>
  <si>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</si>
  <si>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</si>
  <si>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</si>
  <si>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</si>
  <si>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</si>
  <si>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</si>
  <si>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</si>
  <si>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</si>
  <si>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</si>
  <si>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</si>
  <si>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</si>
  <si>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</si>
  <si>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</si>
  <si>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</si>
  <si>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</si>
  <si>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</si>
  <si>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</si>
  <si>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</si>
  <si>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</si>
  <si>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</si>
  <si>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</si>
  <si>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</si>
  <si>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</si>
  <si>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</si>
  <si>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</si>
  <si>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</si>
  <si>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</si>
  <si>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</si>
  <si>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</si>
  <si>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</si>
  <si>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</si>
  <si>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</si>
  <si>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</si>
  <si>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</si>
  <si>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</si>
  <si>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</si>
  <si>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</si>
  <si>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</si>
  <si>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</si>
  <si>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</si>
  <si>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</si>
  <si>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</si>
  <si>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</si>
  <si>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</si>
  <si>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</si>
  <si>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</si>
  <si>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</si>
  <si>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</si>
  <si>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</si>
  <si>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</si>
  <si>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</si>
  <si>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</si>
  <si>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</si>
  <si>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</si>
  <si>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</si>
  <si>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</si>
  <si>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</si>
  <si>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</si>
  <si>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</si>
  <si>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</si>
  <si>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</si>
  <si>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</si>
  <si>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</si>
  <si>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</si>
  <si>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</si>
  <si>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</si>
  <si>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</si>
  <si>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</si>
  <si>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</si>
  <si>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</si>
  <si>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</si>
  <si>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</si>
  <si>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</si>
  <si>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</si>
  <si>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</si>
  <si>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</si>
  <si>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</si>
  <si>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</si>
  <si>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</si>
  <si>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</si>
  <si>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</si>
  <si>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</si>
  <si>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</si>
  <si>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</si>
  <si>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</si>
  <si>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</si>
  <si>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</si>
  <si>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</si>
  <si>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</si>
  <si>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</si>
  <si>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</si>
  <si>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</si>
  <si>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</si>
  <si>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</si>
  <si>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</si>
  <si>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</si>
  <si>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</si>
  <si>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</si>
  <si>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</si>
  <si>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</si>
  <si>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</si>
  <si>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</si>
  <si>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</si>
  <si>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</si>
  <si>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</si>
  <si>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</si>
  <si>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</si>
  <si>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</si>
  <si>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</si>
  <si>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</si>
  <si>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</si>
  <si>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</si>
  <si>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</si>
  <si>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</si>
  <si>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</si>
  <si>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</si>
  <si>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</si>
  <si>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</si>
  <si>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</si>
  <si>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</si>
  <si>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</si>
  <si>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</si>
  <si>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</si>
  <si>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</si>
  <si>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</si>
  <si>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</si>
  <si>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</si>
  <si>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</si>
  <si>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</si>
  <si>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</si>
  <si>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</si>
  <si>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</si>
  <si>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</si>
  <si>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</si>
  <si>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</si>
  <si>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</si>
  <si>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</si>
  <si>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</si>
  <si>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</si>
  <si>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</si>
  <si>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</si>
  <si>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</si>
  <si>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</si>
  <si>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</si>
  <si>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</si>
  <si>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</si>
  <si>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</si>
  <si>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</si>
  <si>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</si>
  <si>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</si>
  <si>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</si>
  <si>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</si>
  <si>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</si>
  <si>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</si>
  <si>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</si>
  <si>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</si>
  <si>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</si>
  <si>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</si>
  <si>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</si>
  <si>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</si>
  <si>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</si>
  <si>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</si>
  <si>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</si>
  <si>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</si>
  <si>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</si>
  <si>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</si>
  <si>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</si>
  <si>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</si>
  <si>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</si>
  <si>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</si>
  <si>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</si>
  <si>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</si>
  <si>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</si>
  <si>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</si>
  <si>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</si>
  <si>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</si>
  <si>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</si>
  <si>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</si>
  <si>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</si>
  <si>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</si>
  <si>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</si>
  <si>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</si>
  <si>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</si>
  <si>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</si>
  <si>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</si>
  <si>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</si>
  <si>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</si>
  <si>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</si>
  <si>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</si>
  <si>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</si>
  <si>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</si>
  <si>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</si>
  <si>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</si>
  <si>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</si>
  <si>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</si>
  <si>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</si>
  <si>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</si>
  <si>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</si>
  <si>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</si>
  <si>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</si>
  <si>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</si>
  <si>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</si>
  <si>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</si>
  <si>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</si>
  <si>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</si>
  <si>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</si>
  <si>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</si>
  <si>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</si>
  <si>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</si>
  <si>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</si>
  <si>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</si>
  <si>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</si>
  <si>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</si>
  <si>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</si>
  <si>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</si>
  <si>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</si>
  <si>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</si>
  <si>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</si>
  <si>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</si>
  <si>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</si>
  <si>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</si>
  <si>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</si>
  <si>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</si>
  <si>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</si>
  <si>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</si>
  <si>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</si>
  <si>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</si>
  <si>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</si>
  <si>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</si>
  <si>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</si>
  <si>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</si>
  <si>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</si>
  <si>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</si>
  <si>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</si>
  <si>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</si>
  <si>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</si>
  <si>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</si>
  <si>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</si>
  <si>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</si>
  <si>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</si>
  <si>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</si>
  <si>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</si>
  <si>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</si>
  <si>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</si>
  <si>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</si>
  <si>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</si>
  <si>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</si>
  <si>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</si>
  <si>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</si>
  <si>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</si>
  <si>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</si>
  <si>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</si>
  <si>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</si>
  <si>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</si>
  <si>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</si>
  <si>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</si>
  <si>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</si>
  <si>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</si>
  <si>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</si>
  <si>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</si>
  <si>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</si>
  <si>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</si>
  <si>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</si>
  <si>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</si>
  <si>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</si>
  <si>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</si>
  <si>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</si>
  <si>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</si>
  <si>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</si>
  <si>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</si>
  <si>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</si>
  <si>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</si>
  <si>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</si>
  <si>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</si>
  <si>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</si>
  <si>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</si>
  <si>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</si>
  <si>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</si>
  <si>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</si>
  <si>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</si>
  <si>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</si>
  <si>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</si>
  <si>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</si>
  <si>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</si>
  <si>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</si>
  <si>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</si>
  <si>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</si>
  <si>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</si>
  <si>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</si>
  <si>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</si>
  <si>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</si>
  <si>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</si>
  <si>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</si>
  <si>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</si>
  <si>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</si>
  <si>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</si>
  <si>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</si>
  <si>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</si>
  <si>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</si>
  <si>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</si>
  <si>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</si>
  <si>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</si>
  <si>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</si>
  <si>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</si>
  <si>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</si>
  <si>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</si>
  <si>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</si>
  <si>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</si>
  <si>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</si>
  <si>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</si>
  <si>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</si>
  <si>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</si>
  <si>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</si>
  <si>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</si>
  <si>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</si>
  <si>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</si>
  <si>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</si>
  <si>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</si>
  <si>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</si>
  <si>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</si>
  <si>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</si>
  <si>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</si>
  <si>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</si>
  <si>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</si>
  <si>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</si>
  <si>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</si>
  <si>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</si>
  <si>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</si>
  <si>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</si>
  <si>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</si>
  <si>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</si>
  <si>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</si>
  <si>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</si>
  <si>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</si>
  <si>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</si>
  <si>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</si>
  <si>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</si>
  <si>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</si>
  <si>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</si>
  <si>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</si>
  <si>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</si>
  <si>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</si>
  <si>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</si>
  <si>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</si>
  <si>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</si>
  <si>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</si>
  <si>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</si>
  <si>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</si>
  <si>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</si>
  <si>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</si>
  <si>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</si>
  <si>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</si>
  <si>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</si>
  <si>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</si>
  <si>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</si>
  <si>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</si>
  <si>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</si>
  <si>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</si>
  <si>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</si>
  <si>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</si>
  <si>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</si>
  <si>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</si>
  <si>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</si>
  <si>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</si>
  <si>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</si>
  <si>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</si>
  <si>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</si>
  <si>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</si>
  <si>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</si>
  <si>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</si>
  <si>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</si>
  <si>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</si>
  <si>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</si>
  <si>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</si>
  <si>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</si>
  <si>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</si>
  <si>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</si>
  <si>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</si>
  <si>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</si>
  <si>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</si>
  <si>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</si>
  <si>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</si>
  <si>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</si>
  <si>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</si>
  <si>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</si>
  <si>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</si>
  <si>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</si>
  <si>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</si>
  <si>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</si>
  <si>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</si>
  <si>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</si>
  <si>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</si>
  <si>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</si>
  <si>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</si>
  <si>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</si>
  <si>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</si>
  <si>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</si>
  <si>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</si>
  <si>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</si>
  <si>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</si>
  <si>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</si>
  <si>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</si>
  <si>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</si>
  <si>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</si>
  <si>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</si>
  <si>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</si>
  <si>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</si>
  <si>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</si>
  <si>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</si>
  <si>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</si>
  <si>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</si>
  <si>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</si>
  <si>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</si>
  <si>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</si>
  <si>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</si>
  <si>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</si>
  <si>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</si>
  <si>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</si>
  <si>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</si>
  <si>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</si>
  <si>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</si>
  <si>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</si>
  <si>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</si>
  <si>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</si>
  <si>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</si>
  <si>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</si>
  <si>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</si>
  <si>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</si>
  <si>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</si>
  <si>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</si>
  <si>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</si>
  <si>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</si>
  <si>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</si>
  <si>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</si>
  <si>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</si>
  <si>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</si>
  <si>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</si>
  <si>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</si>
  <si>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</si>
  <si>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</si>
  <si>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</si>
  <si>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</si>
  <si>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</si>
  <si>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</si>
  <si>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</si>
  <si>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</si>
  <si>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</si>
  <si>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</si>
  <si>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</si>
  <si>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</si>
  <si>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</si>
  <si>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</si>
  <si>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</si>
  <si>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</si>
  <si>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</si>
  <si>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</si>
  <si>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</si>
  <si>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</si>
  <si>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</si>
  <si>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</si>
  <si>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</si>
  <si>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</si>
  <si>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</si>
  <si>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</si>
  <si>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</si>
  <si>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</si>
  <si>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</si>
  <si>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</si>
  <si>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</si>
  <si>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</si>
  <si>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</si>
  <si>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</si>
  <si>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</si>
  <si>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</si>
  <si>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</si>
  <si>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</si>
  <si>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</si>
  <si>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</si>
  <si>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</si>
  <si>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</si>
  <si>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</si>
  <si>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</si>
  <si>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</si>
  <si>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</si>
  <si>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</si>
  <si>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</si>
  <si>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</si>
  <si>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</si>
  <si>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</si>
  <si>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</si>
  <si>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</si>
  <si>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</si>
  <si>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</si>
  <si>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</si>
  <si>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</si>
  <si>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</si>
  <si>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</si>
  <si>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</si>
  <si>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</si>
  <si>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</si>
  <si>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</si>
  <si>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</si>
  <si>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</si>
  <si>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</si>
  <si>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</si>
  <si>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</si>
  <si>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</si>
  <si>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</si>
  <si>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</si>
  <si>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</si>
  <si>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</si>
  <si>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</si>
  <si>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</si>
  <si>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</si>
  <si>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</si>
  <si>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</si>
  <si>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</si>
  <si>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</si>
  <si>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</si>
  <si>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</si>
  <si>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</si>
  <si>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</si>
  <si>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</si>
  <si>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</si>
  <si>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</si>
  <si>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</si>
  <si>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</si>
  <si>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</si>
  <si>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</si>
  <si>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</si>
  <si>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</si>
  <si>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</si>
  <si>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</si>
  <si>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</si>
  <si>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</si>
  <si>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</si>
  <si>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</si>
  <si>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</si>
  <si>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</si>
  <si>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</si>
  <si>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</si>
  <si>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</si>
  <si>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</si>
  <si>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</si>
  <si>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</si>
  <si>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</si>
  <si>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</si>
  <si>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</si>
  <si>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</si>
  <si>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</si>
  <si>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</si>
  <si>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</si>
  <si>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</si>
  <si>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</si>
  <si>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</si>
  <si>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</si>
  <si>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</si>
  <si>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</si>
  <si>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</si>
  <si>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</si>
  <si>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</si>
  <si>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</si>
  <si>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</si>
  <si>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</si>
  <si>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</si>
  <si>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</si>
  <si>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</si>
  <si>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</si>
  <si>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</si>
  <si>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</si>
  <si>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</si>
  <si>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</si>
  <si>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</si>
  <si>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</si>
  <si>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</si>
  <si>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</si>
  <si>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</si>
  <si>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</si>
  <si>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</si>
  <si>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</si>
  <si>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</si>
  <si>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</si>
  <si>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</si>
  <si>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</si>
  <si>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</si>
  <si>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</si>
  <si>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</si>
  <si>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</si>
  <si>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</si>
  <si>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</si>
  <si>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</si>
  <si>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</si>
  <si>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</si>
  <si>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</si>
  <si>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</si>
  <si>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</si>
  <si>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</si>
  <si>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</si>
  <si>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</si>
  <si>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</si>
  <si>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</si>
  <si>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</si>
  <si>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</si>
  <si>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</si>
  <si>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</si>
  <si>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</si>
  <si>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</si>
  <si>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</si>
  <si>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</si>
  <si>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</si>
  <si>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</si>
  <si>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</si>
  <si>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</si>
  <si>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</si>
  <si>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</si>
  <si>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</si>
  <si>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</si>
  <si>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</si>
  <si>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</si>
  <si>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</si>
  <si>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</si>
  <si>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</si>
  <si>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</si>
  <si>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</si>
  <si>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</si>
  <si>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</si>
  <si>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</si>
  <si>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</si>
  <si>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</si>
  <si>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</si>
  <si>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</si>
  <si>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</si>
  <si>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</si>
  <si>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</si>
  <si>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</si>
  <si>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</si>
  <si>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</si>
  <si>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</si>
  <si>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</si>
  <si>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</si>
  <si>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</si>
  <si>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</si>
  <si>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</si>
  <si>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</si>
  <si>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</si>
  <si>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</si>
  <si>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</si>
  <si>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</si>
  <si>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</si>
  <si>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</si>
  <si>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</si>
  <si>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</si>
  <si>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</si>
  <si>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</si>
  <si>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</si>
  <si>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</si>
  <si>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</si>
  <si>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</si>
  <si>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</si>
  <si>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</si>
  <si>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</si>
  <si>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</si>
  <si>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</si>
  <si>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</si>
  <si>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</si>
  <si>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</si>
  <si>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</si>
  <si>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</si>
  <si>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</si>
  <si>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</si>
  <si>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</si>
  <si>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</si>
  <si>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</si>
  <si>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</si>
  <si>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</si>
  <si>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</si>
  <si>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</si>
  <si>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</si>
  <si>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</si>
  <si>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</si>
  <si>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</si>
  <si>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</si>
  <si>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</si>
  <si>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</si>
  <si>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</si>
  <si>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</si>
  <si>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</si>
  <si>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</si>
  <si>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</si>
  <si>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</si>
  <si>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</si>
  <si>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</si>
  <si>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</si>
  <si>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</si>
  <si>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</si>
  <si>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</si>
  <si>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</si>
  <si>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</si>
  <si>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</si>
  <si>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</si>
  <si>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</si>
  <si>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</si>
  <si>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</si>
  <si>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</si>
  <si>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</si>
  <si>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</si>
  <si>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</si>
  <si>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</si>
  <si>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</si>
  <si>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</si>
  <si>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</si>
  <si>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</si>
  <si>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</si>
  <si>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</si>
  <si>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</si>
  <si>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</si>
  <si>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</si>
  <si>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</si>
  <si>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</si>
  <si>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</si>
  <si>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</si>
  <si>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</si>
  <si>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</si>
  <si>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</si>
  <si>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</si>
  <si>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</si>
  <si>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</si>
  <si>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</si>
  <si>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</si>
  <si>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</si>
  <si>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</si>
  <si>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</si>
  <si>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</si>
  <si>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</si>
  <si>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</si>
  <si>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</si>
  <si>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</si>
  <si>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</si>
  <si>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</si>
  <si>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</si>
  <si>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</si>
  <si>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</si>
  <si>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</si>
  <si>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</si>
  <si>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</si>
  <si>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</si>
  <si>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</si>
  <si>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</si>
  <si>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</si>
  <si>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</si>
  <si>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</si>
  <si>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</si>
  <si>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</si>
  <si>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</si>
  <si>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</si>
  <si>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</si>
  <si>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</si>
  <si>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</si>
  <si>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</si>
  <si>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</si>
  <si>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</si>
  <si>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</si>
  <si>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</si>
  <si>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</si>
  <si>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</si>
  <si>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</si>
  <si>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</si>
  <si>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</si>
  <si>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</si>
  <si>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</si>
  <si>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</si>
  <si>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</si>
  <si>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</si>
  <si>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</si>
  <si>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</si>
  <si>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</si>
  <si>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</si>
  <si>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</si>
  <si>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</si>
  <si>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</si>
  <si>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</si>
  <si>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</si>
  <si>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</si>
  <si>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</si>
  <si>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</si>
  <si>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</si>
  <si>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</si>
  <si>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</si>
  <si>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</si>
  <si>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</si>
  <si>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</si>
  <si>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</si>
  <si>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</si>
  <si>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</si>
  <si>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</si>
  <si>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</si>
  <si>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</si>
  <si>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</si>
  <si>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</si>
  <si>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</si>
  <si>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</si>
  <si>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</si>
  <si>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</si>
  <si>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</si>
  <si>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</si>
  <si>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</si>
  <si>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</si>
  <si>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</si>
  <si>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</si>
  <si>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</si>
  <si>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</si>
  <si>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</si>
  <si>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</si>
  <si>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</si>
  <si>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</si>
  <si>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</si>
  <si>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</si>
  <si>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</si>
  <si>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</si>
  <si>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</si>
  <si>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</si>
  <si>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</si>
  <si>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</si>
  <si>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</si>
  <si>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</si>
  <si>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</si>
  <si>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</si>
  <si>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</si>
  <si>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</si>
  <si>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</si>
  <si>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</si>
  <si>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</si>
  <si>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</si>
  <si>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</si>
  <si>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</si>
  <si>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</si>
  <si>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</si>
  <si>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</si>
  <si>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</si>
  <si>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</si>
  <si>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</si>
  <si>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</si>
  <si>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</si>
  <si>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</si>
  <si>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</si>
  <si>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</si>
  <si>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</si>
  <si>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</si>
  <si>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</si>
  <si>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</si>
  <si>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</si>
  <si>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</si>
  <si>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</si>
  <si>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</si>
  <si>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</si>
  <si>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</si>
  <si>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</si>
  <si>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</si>
  <si>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</si>
  <si>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</si>
  <si>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</si>
  <si>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</si>
  <si>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</si>
  <si>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</si>
  <si>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</si>
  <si>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</si>
  <si>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</si>
  <si>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</si>
  <si>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</si>
  <si>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</si>
  <si>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</si>
  <si>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</si>
  <si>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</si>
  <si>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</si>
  <si>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</si>
  <si>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</si>
  <si>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</si>
  <si>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</si>
  <si>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</si>
  <si>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</si>
  <si>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</si>
  <si>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</si>
  <si>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</si>
  <si>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</si>
  <si>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</si>
  <si>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</si>
  <si>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</si>
  <si>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</si>
  <si>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</si>
  <si>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</si>
  <si>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</si>
  <si>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</si>
  <si>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</si>
  <si>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</si>
  <si>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</si>
  <si>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</si>
  <si>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</si>
  <si>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</si>
  <si>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</si>
  <si>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</si>
  <si>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</si>
  <si>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</si>
  <si>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</si>
  <si>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</si>
  <si>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</si>
  <si>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</si>
  <si>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</si>
  <si>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</si>
  <si>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</si>
  <si>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</si>
  <si>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</si>
  <si>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</si>
  <si>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</si>
  <si>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</si>
  <si>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</si>
  <si>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</si>
  <si>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</si>
  <si>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</si>
  <si>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</si>
  <si>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</si>
  <si>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</si>
  <si>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</si>
  <si>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</si>
  <si>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</si>
  <si>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</si>
  <si>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</si>
  <si>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</si>
  <si>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</si>
  <si>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</si>
  <si>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</si>
  <si>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</si>
  <si>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</si>
  <si>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</si>
  <si>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</si>
  <si>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</si>
  <si>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</si>
  <si>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</si>
  <si>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</si>
  <si>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</si>
  <si>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</si>
  <si>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</si>
  <si>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</si>
  <si>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</si>
  <si>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</si>
  <si>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</si>
  <si>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</si>
  <si>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</si>
  <si>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</si>
  <si>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</si>
  <si>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</si>
  <si>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</si>
  <si>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</si>
  <si>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</si>
  <si>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</si>
  <si>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</si>
  <si>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</si>
  <si>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</si>
  <si>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</si>
  <si>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</si>
  <si>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</si>
  <si>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</si>
  <si>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</si>
  <si>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</si>
  <si>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</si>
  <si>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</si>
  <si>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</si>
  <si>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</si>
  <si>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</si>
  <si>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</si>
  <si>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</si>
  <si>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</si>
  <si>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</si>
  <si>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</si>
  <si>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</si>
  <si>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</si>
  <si>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</si>
  <si>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</si>
  <si>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</si>
  <si>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</si>
  <si>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</si>
  <si>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</si>
  <si>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</si>
  <si>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</si>
  <si>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</si>
  <si>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</si>
  <si>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</si>
  <si>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</si>
  <si>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</si>
  <si>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</si>
  <si>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</si>
  <si>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</si>
  <si>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</si>
  <si>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</si>
  <si>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</si>
  <si>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</si>
  <si>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</si>
  <si>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</si>
  <si>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</si>
  <si>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</si>
  <si>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</si>
  <si>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</si>
  <si>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</si>
  <si>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</si>
  <si>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</si>
  <si>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</si>
  <si>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</si>
  <si>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</si>
  <si>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</si>
  <si>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</si>
  <si>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</si>
  <si>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</si>
  <si>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</si>
  <si>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</si>
  <si>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</si>
  <si>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</si>
  <si>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</si>
  <si>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</si>
  <si>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</si>
  <si>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</si>
  <si>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</si>
  <si>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</si>
  <si>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</si>
  <si>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</si>
  <si>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</si>
  <si>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</si>
  <si>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</si>
  <si>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</si>
  <si>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</si>
  <si>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</si>
  <si>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</si>
  <si>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</si>
  <si>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</si>
  <si>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</si>
  <si>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</si>
  <si>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</si>
  <si>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</si>
  <si>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</si>
  <si>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</si>
  <si>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</si>
  <si>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</si>
  <si>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</si>
  <si>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</si>
  <si>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</si>
  <si>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</si>
  <si>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</si>
  <si>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</si>
  <si>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</si>
  <si>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</si>
  <si>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</si>
  <si>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</si>
  <si>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</si>
  <si>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</si>
  <si>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</si>
  <si>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</si>
  <si>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</si>
  <si>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</si>
  <si>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</si>
  <si>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</si>
  <si>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</si>
  <si>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</si>
  <si>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</si>
  <si>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</si>
  <si>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</si>
  <si>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</si>
  <si>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</si>
  <si>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</si>
  <si>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</si>
  <si>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</si>
  <si>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</si>
  <si>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</si>
  <si>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</si>
  <si>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</si>
  <si>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</si>
  <si>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</si>
  <si>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</si>
  <si>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</si>
  <si>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</si>
  <si>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</si>
  <si>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</si>
  <si>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</si>
  <si>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</si>
  <si>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</si>
  <si>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</si>
  <si>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</si>
  <si>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</si>
  <si>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</si>
  <si>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</si>
  <si>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</si>
  <si>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</si>
  <si>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</si>
  <si>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</si>
  <si>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</si>
  <si>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</si>
  <si>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</si>
  <si>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</si>
  <si>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</si>
  <si>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</si>
  <si>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</si>
  <si>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</si>
  <si>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</si>
  <si>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</si>
  <si>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</si>
  <si>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</si>
  <si>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</si>
  <si>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</si>
  <si>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</si>
  <si>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</si>
  <si>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</si>
  <si>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</si>
  <si>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</si>
  <si>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</si>
  <si>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</si>
  <si>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</si>
  <si>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</si>
  <si>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</si>
  <si>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</si>
  <si>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</si>
  <si>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</si>
  <si>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</si>
  <si>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</si>
  <si>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</si>
  <si>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</si>
  <si>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</si>
  <si>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</si>
  <si>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</si>
  <si>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</si>
  <si>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</si>
  <si>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</si>
  <si>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</si>
  <si>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</si>
  <si>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</si>
  <si>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</si>
  <si>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</si>
  <si>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</si>
  <si>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</si>
  <si>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</si>
  <si>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</si>
  <si>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</si>
  <si>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</si>
  <si>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</si>
  <si>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</si>
  <si>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</si>
  <si>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</si>
  <si>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</si>
  <si>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</si>
  <si>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</si>
  <si>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</si>
  <si>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</si>
  <si>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</si>
  <si>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</si>
  <si>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</si>
  <si>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</si>
  <si>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</si>
  <si>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</si>
  <si>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</si>
  <si>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</si>
  <si>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</si>
  <si>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</si>
  <si>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</si>
  <si>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</si>
  <si>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</si>
  <si>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</si>
  <si>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</si>
  <si>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</si>
  <si>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</si>
  <si>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</si>
  <si>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</si>
  <si>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</si>
  <si>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</si>
  <si>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</si>
  <si>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</si>
  <si>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</si>
  <si>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</si>
  <si>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</si>
  <si>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</si>
  <si>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</si>
  <si>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</si>
  <si>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</si>
  <si>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</si>
  <si>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</si>
  <si>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</si>
  <si>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</si>
  <si>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</si>
  <si>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</si>
  <si>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</si>
  <si>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</si>
  <si>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</si>
  <si>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</si>
  <si>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</si>
  <si>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</si>
  <si>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</si>
  <si>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</si>
  <si>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</si>
  <si>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</si>
  <si>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</si>
  <si>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</si>
  <si>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</si>
  <si>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</si>
  <si>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</si>
  <si>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</si>
  <si>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</si>
  <si>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</si>
  <si>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</si>
  <si>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</si>
  <si>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</si>
  <si>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</si>
  <si>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</si>
  <si>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</si>
  <si>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</si>
  <si>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</si>
  <si>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</si>
  <si>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</si>
  <si>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</si>
  <si>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</si>
  <si>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</si>
  <si>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</si>
  <si>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</si>
  <si>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</si>
  <si>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</si>
  <si>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</si>
  <si>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</si>
  <si>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</si>
  <si>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</si>
  <si>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</si>
  <si>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</si>
  <si>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</si>
  <si>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</si>
  <si>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</si>
  <si>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</si>
  <si>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</si>
  <si>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</si>
  <si>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</si>
  <si>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</si>
  <si>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</si>
  <si>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</si>
  <si>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</si>
  <si>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</si>
  <si>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</si>
  <si>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</si>
  <si>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</si>
  <si>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</si>
  <si>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</si>
  <si>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</si>
  <si>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</si>
  <si>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</si>
  <si>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</si>
  <si>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</si>
  <si>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</si>
  <si>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</si>
  <si>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</si>
  <si>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</si>
  <si>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</si>
  <si>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</si>
  <si>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</si>
  <si>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</si>
  <si>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</si>
  <si>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</si>
  <si>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</si>
  <si>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</si>
  <si>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</si>
  <si>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</si>
  <si>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</si>
  <si>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</si>
  <si>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</si>
  <si>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</si>
  <si>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</si>
  <si>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</si>
  <si>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</si>
  <si>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</si>
  <si>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</si>
  <si>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</si>
  <si>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</si>
  <si>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</si>
  <si>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</si>
  <si>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</si>
  <si>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</si>
  <si>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</si>
  <si>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</si>
  <si>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</si>
  <si>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</si>
  <si>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</si>
  <si>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</si>
  <si>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</si>
  <si>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</si>
  <si>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</si>
  <si>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</si>
  <si>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</si>
  <si>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</si>
  <si>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</si>
  <si>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</si>
  <si>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</si>
  <si>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</si>
  <si>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</si>
  <si>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</si>
  <si>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</si>
  <si>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</si>
  <si>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</si>
  <si>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</si>
  <si>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</si>
  <si>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</si>
  <si>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</si>
  <si>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</si>
  <si>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</si>
  <si>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</si>
  <si>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</si>
  <si>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</si>
  <si>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</si>
  <si>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</si>
  <si>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</si>
  <si>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</si>
  <si>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</si>
  <si>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</si>
  <si>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</si>
  <si>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</si>
  <si>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</si>
  <si>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</si>
  <si>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</si>
  <si>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</si>
  <si>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</si>
  <si>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</si>
  <si>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</si>
  <si>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</si>
  <si>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</si>
  <si>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</si>
  <si>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</si>
  <si>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</si>
  <si>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</si>
  <si>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</si>
  <si>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</si>
  <si>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</si>
  <si>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</si>
  <si>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</si>
  <si>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</si>
  <si>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</si>
  <si>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</si>
  <si>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</si>
  <si>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</si>
  <si>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</si>
  <si>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</si>
  <si>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</si>
  <si>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</si>
  <si>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</si>
  <si>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</si>
  <si>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</si>
  <si>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</si>
  <si>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</si>
  <si>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</si>
  <si>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</si>
  <si>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</si>
  <si>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</si>
  <si>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</si>
  <si>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</si>
  <si>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</si>
  <si>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</si>
  <si>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</si>
  <si>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</si>
  <si>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</si>
  <si>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</si>
  <si>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</si>
  <si>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</si>
  <si>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</si>
  <si>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</si>
  <si>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</si>
  <si>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</si>
  <si>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</si>
  <si>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</si>
  <si>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</si>
  <si>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</si>
  <si>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</si>
  <si>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</si>
  <si>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</si>
  <si>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</si>
  <si>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</si>
  <si>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</si>
  <si>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</si>
  <si>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</si>
  <si>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</si>
  <si>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</si>
  <si>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</si>
  <si>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</si>
  <si>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</si>
  <si>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</si>
  <si>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</si>
  <si>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</si>
  <si>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</si>
  <si>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</si>
  <si>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</si>
  <si>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</si>
  <si>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</si>
  <si>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</si>
  <si>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</si>
  <si>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</si>
  <si>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</si>
  <si>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</si>
  <si>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</si>
  <si>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</si>
  <si>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</si>
  <si>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</si>
  <si>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</si>
  <si>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</si>
  <si>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</si>
  <si>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</si>
  <si>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</si>
  <si>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</si>
  <si>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</si>
  <si>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</si>
  <si>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</si>
  <si>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</si>
  <si>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</si>
  <si>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</si>
  <si>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</si>
  <si>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</si>
  <si>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</si>
  <si>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</si>
  <si>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</si>
  <si>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</si>
  <si>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</si>
  <si>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</si>
  <si>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</si>
  <si>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</si>
  <si>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</si>
  <si>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</si>
  <si>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</si>
  <si>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</si>
  <si>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</si>
  <si>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</si>
  <si>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</si>
  <si>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</si>
  <si>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</si>
  <si>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</si>
  <si>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</si>
  <si>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</si>
  <si>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</si>
  <si>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</si>
  <si>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</si>
  <si>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</si>
  <si>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</si>
  <si>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</si>
  <si>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</si>
  <si>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</si>
  <si>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</si>
  <si>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</si>
  <si>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</si>
  <si>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</si>
  <si>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</si>
  <si>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</si>
  <si>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</si>
  <si>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</si>
  <si>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</si>
  <si>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</si>
  <si>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</si>
  <si>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</si>
  <si>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</si>
  <si>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</si>
  <si>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</si>
  <si>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</si>
  <si>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</si>
  <si>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</si>
  <si>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</si>
  <si>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</si>
  <si>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</si>
  <si>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</si>
  <si>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</si>
  <si>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</si>
  <si>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</si>
  <si>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</si>
  <si>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</si>
  <si>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</si>
  <si>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</si>
  <si>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</si>
  <si>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</si>
  <si>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</si>
  <si>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</si>
  <si>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</si>
  <si>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</si>
  <si>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</si>
  <si>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</si>
  <si>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</si>
  <si>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</si>
  <si>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</si>
  <si>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</si>
  <si>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</si>
  <si>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</si>
  <si>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</si>
  <si>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</si>
  <si>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</si>
  <si>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</si>
  <si>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</si>
  <si>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</si>
  <si>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</si>
  <si>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</si>
  <si>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</si>
  <si>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</si>
  <si>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</si>
  <si>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</si>
  <si>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</si>
  <si>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</si>
  <si>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</si>
  <si>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</si>
  <si>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</si>
  <si>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</si>
  <si>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</si>
  <si>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</si>
  <si>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</si>
  <si>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</si>
  <si>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</si>
  <si>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</si>
  <si>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</si>
  <si>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</si>
  <si>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</si>
  <si>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</si>
  <si>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</si>
  <si>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</si>
  <si>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</si>
  <si>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</si>
  <si>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</si>
  <si>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</si>
  <si>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</si>
  <si>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</si>
  <si>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</si>
  <si>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</si>
  <si>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</si>
  <si>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</si>
  <si>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</si>
  <si>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</si>
  <si>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</si>
  <si>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</si>
  <si>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</si>
  <si>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</si>
  <si>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</si>
  <si>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</si>
  <si>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</si>
  <si>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</si>
  <si>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</si>
  <si>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</si>
  <si>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</si>
  <si>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</si>
  <si>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</si>
  <si>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</si>
  <si>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</si>
  <si>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</si>
  <si>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</si>
  <si>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</si>
  <si>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</si>
  <si>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</si>
  <si>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</si>
  <si>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</si>
  <si>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</si>
  <si>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</si>
  <si>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</si>
  <si>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</si>
  <si>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</si>
  <si>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</si>
  <si>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</si>
  <si>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</si>
  <si>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</si>
  <si>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</si>
  <si>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</si>
  <si>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</si>
  <si>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</si>
  <si>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</si>
  <si>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</si>
  <si>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잔여작업 및 STW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</si>
  <si>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</si>
  <si>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</si>
  <si>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</si>
  <si>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</si>
  <si>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</si>
  <si>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</si>
  <si>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</si>
  <si>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</si>
  <si>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</si>
  <si>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</si>
  <si>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</si>
  <si>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</si>
  <si>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</si>
  <si>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일정 재협의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</si>
</sst>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8"/>
  <sheetViews>
    <sheetView showGridLines="0" tabSelected="1" topLeftCell="A459" zoomScaleNormal="100" workbookViewId="0">
      <selection activeCell="J473" sqref="J47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60" t="s">
        <v>3261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6336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6341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6365</v>
      </c>
      <c r="I428" s="68" t="s">
        <v>6337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6355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6347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6366</v>
      </c>
      <c r="I431" s="6" t="s">
        <v>6409</v>
      </c>
      <c r="J431" s="6" t="s">
        <v>6377</v>
      </c>
      <c r="K431" s="125" t="s">
        <v>6301</v>
      </c>
      <c r="L431" s="277" t="s">
        <v>6302</v>
      </c>
      <c r="M431" s="417">
        <v>2</v>
      </c>
      <c r="N431" s="6"/>
      <c r="O431" s="434" t="s">
        <v>6364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6394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6398</v>
      </c>
      <c r="M433" s="417">
        <v>2</v>
      </c>
      <c r="N433" s="394"/>
      <c r="O433" s="437" t="s">
        <v>6356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6382</v>
      </c>
      <c r="H434" s="820" t="s">
        <v>6383</v>
      </c>
      <c r="I434" s="6" t="s">
        <v>6384</v>
      </c>
      <c r="J434" s="6"/>
      <c r="K434" s="125" t="s">
        <v>6385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6387</v>
      </c>
      <c r="E435" s="806" t="s">
        <v>6388</v>
      </c>
      <c r="F435" s="806" t="s">
        <v>6389</v>
      </c>
      <c r="G435" s="16" t="s">
        <v>6390</v>
      </c>
      <c r="H435" s="820" t="s">
        <v>6391</v>
      </c>
      <c r="I435" s="6"/>
      <c r="J435" s="6" t="s">
        <v>6392</v>
      </c>
      <c r="K435" s="125" t="s">
        <v>15</v>
      </c>
      <c r="L435" s="277" t="s">
        <v>6393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6410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6381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6340</v>
      </c>
      <c r="I437" s="68" t="s">
        <v>6397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6381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6357</v>
      </c>
      <c r="K438" s="136" t="s">
        <v>15</v>
      </c>
      <c r="L438" s="277" t="s">
        <v>6312</v>
      </c>
      <c r="M438" s="822">
        <v>2</v>
      </c>
      <c r="N438" s="394"/>
      <c r="O438" s="437" t="s">
        <v>6380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6395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6357</v>
      </c>
      <c r="K442" s="136" t="s">
        <v>15</v>
      </c>
      <c r="L442" s="277" t="s">
        <v>6312</v>
      </c>
      <c r="M442" s="822">
        <v>2</v>
      </c>
      <c r="N442" s="394"/>
      <c r="O442" s="437" t="s">
        <v>6380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6411</v>
      </c>
      <c r="I443" s="6" t="s">
        <v>6409</v>
      </c>
      <c r="J443" s="6" t="s">
        <v>6377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6416</v>
      </c>
      <c r="D444" s="3" t="s">
        <v>14</v>
      </c>
      <c r="E444" s="454" t="s">
        <v>427</v>
      </c>
      <c r="F444" s="454" t="s">
        <v>3386</v>
      </c>
      <c r="G444" s="459" t="s">
        <v>6417</v>
      </c>
      <c r="H444" s="820" t="s">
        <v>6418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6420</v>
      </c>
      <c r="I445" s="68" t="s">
        <v>6395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6368</v>
      </c>
      <c r="E447" s="806" t="s">
        <v>6399</v>
      </c>
      <c r="F447" s="806" t="s">
        <v>6400</v>
      </c>
      <c r="G447" s="16" t="s">
        <v>6419</v>
      </c>
      <c r="H447" s="820" t="s">
        <v>6296</v>
      </c>
      <c r="I447" s="68"/>
      <c r="J447" s="68" t="s">
        <v>6401</v>
      </c>
      <c r="K447" s="136" t="s">
        <v>6402</v>
      </c>
      <c r="L447" s="277" t="s">
        <v>6403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6416</v>
      </c>
      <c r="D448" s="3" t="s">
        <v>14</v>
      </c>
      <c r="E448" s="454" t="s">
        <v>427</v>
      </c>
      <c r="F448" s="454" t="s">
        <v>3386</v>
      </c>
      <c r="G448" s="459" t="s">
        <v>6417</v>
      </c>
      <c r="H448" s="820" t="s">
        <v>6421</v>
      </c>
      <c r="I448" s="820" t="s">
        <v>6422</v>
      </c>
      <c r="J448" s="594" t="s">
        <v>6423</v>
      </c>
      <c r="K448" s="125" t="s">
        <v>6424</v>
      </c>
      <c r="L448" s="16" t="s">
        <v>6425</v>
      </c>
      <c r="M448" s="8">
        <v>4</v>
      </c>
      <c r="N448" s="594"/>
      <c r="O448" s="432"/>
      <c r="P448" s="760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6463</v>
      </c>
      <c r="D450" s="3" t="s">
        <v>14</v>
      </c>
      <c r="E450" s="454" t="s">
        <v>427</v>
      </c>
      <c r="F450" s="454" t="s">
        <v>3386</v>
      </c>
      <c r="G450" s="459" t="s">
        <v>6417</v>
      </c>
      <c r="H450" s="820" t="s">
        <v>6475</v>
      </c>
      <c r="I450" s="806" t="s">
        <v>6437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6426</v>
      </c>
      <c r="I451" s="806" t="s">
        <v>6427</v>
      </c>
      <c r="J451" s="806" t="s">
        <v>6428</v>
      </c>
      <c r="K451" s="125" t="s">
        <v>6402</v>
      </c>
      <c r="L451" s="16" t="s">
        <v>6386</v>
      </c>
      <c r="M451" s="8">
        <v>2</v>
      </c>
      <c r="N451" s="806"/>
      <c r="O451" s="431"/>
      <c r="P451" s="806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6441</v>
      </c>
      <c r="H452" s="453" t="s">
        <v>6442</v>
      </c>
      <c r="I452" s="68"/>
      <c r="J452" s="136" t="s">
        <v>6443</v>
      </c>
      <c r="K452" s="136" t="s">
        <v>6438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6426</v>
      </c>
      <c r="I453" s="806" t="s">
        <v>6429</v>
      </c>
      <c r="J453" s="806"/>
      <c r="K453" s="125" t="s">
        <v>6402</v>
      </c>
      <c r="L453" s="16" t="s">
        <v>6386</v>
      </c>
      <c r="M453" s="8">
        <v>2</v>
      </c>
      <c r="N453" s="806"/>
      <c r="O453" s="431"/>
      <c r="P453" s="806"/>
    </row>
    <row r="454" spans="1:16" s="17" customFormat="1" ht="33" customHeight="1">
      <c r="A454" s="604"/>
      <c r="B454" s="399">
        <v>46211</v>
      </c>
      <c r="C454" s="3" t="s">
        <v>6352</v>
      </c>
      <c r="D454" s="3" t="s">
        <v>17</v>
      </c>
      <c r="E454" s="454" t="s">
        <v>6349</v>
      </c>
      <c r="F454" s="454" t="s">
        <v>6350</v>
      </c>
      <c r="G454" s="459" t="s">
        <v>6351</v>
      </c>
      <c r="H454" s="805" t="s">
        <v>6348</v>
      </c>
      <c r="I454" s="799" t="s">
        <v>6353</v>
      </c>
      <c r="J454" s="799"/>
      <c r="K454" s="125" t="s">
        <v>6301</v>
      </c>
      <c r="L454" s="16" t="s">
        <v>6354</v>
      </c>
      <c r="M454" s="8">
        <v>1</v>
      </c>
      <c r="N454" s="799"/>
      <c r="O454" s="431"/>
      <c r="P454" s="799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6376</v>
      </c>
      <c r="J455" s="136" t="s">
        <v>6534</v>
      </c>
      <c r="K455" s="136" t="s">
        <v>6438</v>
      </c>
      <c r="L455" s="277" t="s">
        <v>6439</v>
      </c>
      <c r="M455" s="822">
        <v>2</v>
      </c>
      <c r="N455" s="595"/>
      <c r="O455" s="430"/>
      <c r="P455" s="760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6441</v>
      </c>
      <c r="H456" s="453" t="s">
        <v>6465</v>
      </c>
      <c r="I456" s="68"/>
      <c r="J456" s="136" t="s">
        <v>6443</v>
      </c>
      <c r="K456" s="136" t="s">
        <v>6438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6376</v>
      </c>
      <c r="J457" s="136" t="s">
        <v>6440</v>
      </c>
      <c r="K457" s="136" t="s">
        <v>15</v>
      </c>
      <c r="L457" s="459">
        <v>9080</v>
      </c>
      <c r="M457" s="455">
        <v>2</v>
      </c>
      <c r="N457" s="826"/>
      <c r="O457" s="430"/>
      <c r="P457" s="825"/>
    </row>
    <row r="458" spans="1:16" s="17" customFormat="1" ht="33" customHeight="1">
      <c r="A458" s="604"/>
      <c r="B458" s="399">
        <v>46211</v>
      </c>
      <c r="C458" s="3" t="s">
        <v>6317</v>
      </c>
      <c r="D458" s="3" t="s">
        <v>6318</v>
      </c>
      <c r="E458" s="454" t="s">
        <v>6319</v>
      </c>
      <c r="F458" s="454" t="s">
        <v>6320</v>
      </c>
      <c r="G458" s="459" t="s">
        <v>6321</v>
      </c>
      <c r="H458" s="453" t="s">
        <v>6322</v>
      </c>
      <c r="I458" s="454" t="s">
        <v>6535</v>
      </c>
      <c r="J458" s="453" t="s">
        <v>3803</v>
      </c>
      <c r="K458" s="136" t="s">
        <v>6323</v>
      </c>
      <c r="L458" s="459">
        <v>9080</v>
      </c>
      <c r="M458" s="455">
        <v>2</v>
      </c>
      <c r="N458" s="804"/>
      <c r="O458" s="430"/>
      <c r="P458" s="799"/>
    </row>
    <row r="459" spans="1:16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6513</v>
      </c>
      <c r="F459" s="454" t="s">
        <v>6514</v>
      </c>
      <c r="G459" s="459" t="s">
        <v>6517</v>
      </c>
      <c r="H459" s="453" t="s">
        <v>6518</v>
      </c>
      <c r="I459" s="454"/>
      <c r="J459" s="453" t="s">
        <v>6515</v>
      </c>
      <c r="K459" s="136" t="s">
        <v>6402</v>
      </c>
      <c r="L459" s="459" t="s">
        <v>6516</v>
      </c>
      <c r="M459" s="455">
        <v>1</v>
      </c>
      <c r="N459" s="819"/>
      <c r="O459" s="430"/>
      <c r="P459" s="806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6513</v>
      </c>
      <c r="F460" s="454" t="s">
        <v>6514</v>
      </c>
      <c r="G460" s="459" t="s">
        <v>6452</v>
      </c>
      <c r="H460" s="453" t="s">
        <v>6296</v>
      </c>
      <c r="I460" s="454" t="s">
        <v>6528</v>
      </c>
      <c r="J460" s="453" t="s">
        <v>6515</v>
      </c>
      <c r="K460" s="136" t="s">
        <v>6402</v>
      </c>
      <c r="L460" s="459" t="s">
        <v>6516</v>
      </c>
      <c r="M460" s="455">
        <v>1</v>
      </c>
      <c r="N460" s="819"/>
      <c r="O460" s="430"/>
      <c r="P460" s="806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6559</v>
      </c>
      <c r="F461" s="454" t="s">
        <v>6451</v>
      </c>
      <c r="G461" s="459" t="s">
        <v>6452</v>
      </c>
      <c r="H461" s="453" t="s">
        <v>6453</v>
      </c>
      <c r="I461" s="454"/>
      <c r="J461" s="453" t="s">
        <v>6554</v>
      </c>
      <c r="K461" s="136" t="s">
        <v>6402</v>
      </c>
      <c r="L461" s="459" t="s">
        <v>5476</v>
      </c>
      <c r="M461" s="455">
        <v>3</v>
      </c>
      <c r="N461" s="819"/>
      <c r="O461" s="430"/>
      <c r="P461" s="806" t="s">
        <v>6304</v>
      </c>
    </row>
    <row r="462" spans="1:16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6219</v>
      </c>
      <c r="I462" s="68" t="s">
        <v>6437</v>
      </c>
      <c r="J462" s="136" t="s">
        <v>6440</v>
      </c>
      <c r="K462" s="136" t="s">
        <v>6438</v>
      </c>
      <c r="L462" s="277">
        <v>9080</v>
      </c>
      <c r="M462" s="822">
        <v>2</v>
      </c>
      <c r="N462" s="819"/>
      <c r="O462" s="430"/>
      <c r="P462" s="806"/>
    </row>
    <row r="463" spans="1:16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6557</v>
      </c>
      <c r="H463" s="453" t="s">
        <v>6558</v>
      </c>
      <c r="I463" s="68" t="s">
        <v>6437</v>
      </c>
      <c r="J463" s="136" t="s">
        <v>6440</v>
      </c>
      <c r="K463" s="136" t="s">
        <v>15</v>
      </c>
      <c r="L463" s="459">
        <v>9080</v>
      </c>
      <c r="M463" s="455">
        <v>2</v>
      </c>
      <c r="N463" s="819"/>
      <c r="O463" s="430"/>
      <c r="P463" s="806"/>
    </row>
    <row r="464" spans="1:16" s="17" customFormat="1" ht="33" customHeight="1">
      <c r="A464" s="604"/>
      <c r="B464" s="399">
        <v>46212</v>
      </c>
      <c r="C464" s="3" t="s">
        <v>21</v>
      </c>
      <c r="D464" s="3" t="s">
        <v>6368</v>
      </c>
      <c r="E464" s="454" t="s">
        <v>6530</v>
      </c>
      <c r="F464" s="454" t="s">
        <v>6536</v>
      </c>
      <c r="G464" s="459" t="s">
        <v>6537</v>
      </c>
      <c r="H464" s="820" t="s">
        <v>6538</v>
      </c>
      <c r="I464" s="454" t="s">
        <v>6555</v>
      </c>
      <c r="J464" s="453" t="s">
        <v>6556</v>
      </c>
      <c r="K464" s="136" t="s">
        <v>6378</v>
      </c>
      <c r="L464" s="459" t="s">
        <v>6386</v>
      </c>
      <c r="M464" s="455">
        <v>3</v>
      </c>
      <c r="N464" s="595"/>
      <c r="O464" s="431"/>
      <c r="P464" s="760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6559</v>
      </c>
      <c r="F465" s="454" t="s">
        <v>6451</v>
      </c>
      <c r="G465" s="459" t="s">
        <v>6452</v>
      </c>
      <c r="H465" s="453" t="s">
        <v>6453</v>
      </c>
      <c r="I465" s="454"/>
      <c r="J465" s="453" t="s">
        <v>6554</v>
      </c>
      <c r="K465" s="136" t="s">
        <v>6402</v>
      </c>
      <c r="L465" s="459" t="s">
        <v>5476</v>
      </c>
      <c r="M465" s="455">
        <v>3</v>
      </c>
      <c r="N465" s="819"/>
      <c r="O465" s="431"/>
      <c r="P465" s="806"/>
    </row>
    <row r="466" spans="1:17" s="17" customFormat="1" ht="33" customHeight="1">
      <c r="A466" s="604"/>
      <c r="B466" s="399">
        <v>46213</v>
      </c>
      <c r="C466" s="3" t="s">
        <v>6430</v>
      </c>
      <c r="D466" s="3" t="s">
        <v>6431</v>
      </c>
      <c r="E466" s="454" t="s">
        <v>6432</v>
      </c>
      <c r="F466" s="454">
        <v>7064</v>
      </c>
      <c r="G466" s="459" t="s">
        <v>6433</v>
      </c>
      <c r="H466" s="453" t="s">
        <v>6519</v>
      </c>
      <c r="I466" s="454" t="s">
        <v>6434</v>
      </c>
      <c r="J466" s="453" t="s">
        <v>6435</v>
      </c>
      <c r="K466" s="136" t="s">
        <v>6402</v>
      </c>
      <c r="L466" s="459" t="s">
        <v>6436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>
      <c r="A467" s="604"/>
      <c r="B467" s="399">
        <v>46213</v>
      </c>
      <c r="C467" s="3" t="s">
        <v>21</v>
      </c>
      <c r="D467" s="3" t="s">
        <v>14</v>
      </c>
      <c r="E467" s="454" t="s">
        <v>211</v>
      </c>
      <c r="F467" s="454" t="s">
        <v>6461</v>
      </c>
      <c r="G467" s="459" t="s">
        <v>3873</v>
      </c>
      <c r="H467" s="453" t="s">
        <v>6462</v>
      </c>
      <c r="I467" s="769" t="s">
        <v>6444</v>
      </c>
      <c r="J467" s="769" t="s">
        <v>6428</v>
      </c>
      <c r="K467" s="125" t="s">
        <v>6445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27" t="s">
        <v>6263</v>
      </c>
      <c r="I470" s="825" t="s">
        <v>6563</v>
      </c>
      <c r="J470" s="825" t="s">
        <v>6565</v>
      </c>
      <c r="K470" s="125" t="s">
        <v>911</v>
      </c>
      <c r="L470" s="16" t="s">
        <v>4550</v>
      </c>
      <c r="M470" s="8">
        <v>2</v>
      </c>
      <c r="N470" s="594"/>
      <c r="O470" s="431"/>
      <c r="P470" s="760"/>
      <c r="Q470" s="17" t="s">
        <v>6408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6549</v>
      </c>
      <c r="E471" s="806" t="s">
        <v>6550</v>
      </c>
      <c r="F471" s="806" t="s">
        <v>6550</v>
      </c>
      <c r="G471" s="16" t="s">
        <v>6551</v>
      </c>
      <c r="H471" s="820" t="s">
        <v>6548</v>
      </c>
      <c r="I471" s="806" t="s">
        <v>6553</v>
      </c>
      <c r="J471" s="806"/>
      <c r="K471" s="125" t="s">
        <v>6552</v>
      </c>
      <c r="L471" s="16" t="s">
        <v>4379</v>
      </c>
      <c r="M471" s="8">
        <v>2</v>
      </c>
      <c r="N471" s="806"/>
      <c r="O471" s="431"/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6567</v>
      </c>
      <c r="G472" s="459" t="s">
        <v>6566</v>
      </c>
      <c r="H472" s="827" t="s">
        <v>6568</v>
      </c>
      <c r="I472" s="825" t="s">
        <v>6570</v>
      </c>
      <c r="J472" s="825" t="s">
        <v>6571</v>
      </c>
      <c r="K472" s="125" t="s">
        <v>6564</v>
      </c>
      <c r="L472" s="16">
        <v>9080</v>
      </c>
      <c r="M472" s="8">
        <v>2</v>
      </c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6454</v>
      </c>
      <c r="F473" s="454" t="s">
        <v>6451</v>
      </c>
      <c r="G473" s="459" t="s">
        <v>6452</v>
      </c>
      <c r="H473" s="820" t="s">
        <v>6456</v>
      </c>
      <c r="I473" s="825" t="s">
        <v>6570</v>
      </c>
      <c r="J473" s="825" t="s">
        <v>6571</v>
      </c>
      <c r="K473" s="125" t="s">
        <v>911</v>
      </c>
      <c r="L473" s="16">
        <v>9080</v>
      </c>
      <c r="M473" s="8">
        <v>2</v>
      </c>
      <c r="N473" s="594"/>
      <c r="O473" s="431"/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6454</v>
      </c>
      <c r="F474" s="454" t="s">
        <v>6451</v>
      </c>
      <c r="G474" s="459" t="s">
        <v>6459</v>
      </c>
      <c r="H474" s="820" t="s">
        <v>6569</v>
      </c>
      <c r="I474" s="825" t="s">
        <v>6570</v>
      </c>
      <c r="J474" s="825" t="s">
        <v>6571</v>
      </c>
      <c r="K474" s="125" t="s">
        <v>6564</v>
      </c>
      <c r="L474" s="16">
        <v>9080</v>
      </c>
      <c r="M474" s="8">
        <v>2</v>
      </c>
      <c r="N474" s="806"/>
      <c r="O474" s="431"/>
      <c r="P474" s="806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799" t="s">
        <v>5728</v>
      </c>
      <c r="F475" s="799" t="s">
        <v>5488</v>
      </c>
      <c r="G475" s="16" t="s">
        <v>5428</v>
      </c>
      <c r="H475" s="805" t="s">
        <v>6339</v>
      </c>
      <c r="I475" s="825" t="s">
        <v>6563</v>
      </c>
      <c r="J475" s="825" t="s">
        <v>6565</v>
      </c>
      <c r="K475" s="125" t="s">
        <v>911</v>
      </c>
      <c r="L475" s="16" t="s">
        <v>4550</v>
      </c>
      <c r="M475" s="8">
        <v>2</v>
      </c>
      <c r="N475" s="799"/>
      <c r="O475" s="431"/>
      <c r="P475" s="799"/>
    </row>
    <row r="476" spans="1:17" s="17" customFormat="1" ht="33" customHeight="1">
      <c r="A476" s="604"/>
      <c r="B476" s="399">
        <v>46217</v>
      </c>
      <c r="C476" s="183" t="s">
        <v>21</v>
      </c>
      <c r="D476" s="183" t="s">
        <v>17</v>
      </c>
      <c r="E476" s="316" t="s">
        <v>78</v>
      </c>
      <c r="F476" s="316" t="s">
        <v>3580</v>
      </c>
      <c r="G476" s="1144" t="s">
        <v>23</v>
      </c>
      <c r="H476" s="238" t="s">
        <v>6322</v>
      </c>
      <c r="I476" s="316"/>
      <c r="J476" s="238" t="s">
        <v>3803</v>
      </c>
      <c r="K476" s="239" t="s">
        <v>15</v>
      </c>
      <c r="L476" s="1144">
        <v>9080</v>
      </c>
      <c r="M476" s="1145">
        <v>2</v>
      </c>
      <c r="N476" s="806"/>
      <c r="O476" s="431" t="s">
        <v>6572</v>
      </c>
      <c r="P476" s="806"/>
    </row>
    <row r="477" spans="1:17" s="17" customFormat="1" ht="33" customHeight="1">
      <c r="A477" s="604"/>
      <c r="B477" s="399">
        <v>46218</v>
      </c>
      <c r="C477" s="4" t="s">
        <v>6521</v>
      </c>
      <c r="D477" s="4" t="s">
        <v>6522</v>
      </c>
      <c r="E477" s="760" t="s">
        <v>6523</v>
      </c>
      <c r="F477" s="760" t="s">
        <v>6524</v>
      </c>
      <c r="G477" s="16" t="s">
        <v>6525</v>
      </c>
      <c r="H477" s="762" t="s">
        <v>6526</v>
      </c>
      <c r="I477" s="760"/>
      <c r="J477" s="760"/>
      <c r="K477" s="125" t="s">
        <v>6527</v>
      </c>
      <c r="L477" s="16" t="s">
        <v>6464</v>
      </c>
      <c r="M477" s="8">
        <v>2</v>
      </c>
      <c r="N477" s="595"/>
      <c r="O477" s="430"/>
      <c r="P477" s="760"/>
    </row>
    <row r="478" spans="1:17" s="17" customFormat="1" ht="33" customHeight="1">
      <c r="A478" s="604"/>
      <c r="B478" s="399">
        <v>46218</v>
      </c>
      <c r="C478" s="4" t="s">
        <v>6258</v>
      </c>
      <c r="D478" s="4" t="s">
        <v>6259</v>
      </c>
      <c r="E478" s="769" t="s">
        <v>6260</v>
      </c>
      <c r="F478" s="769" t="s">
        <v>6261</v>
      </c>
      <c r="G478" s="16" t="s">
        <v>6262</v>
      </c>
      <c r="H478" s="771" t="s">
        <v>6338</v>
      </c>
      <c r="I478" s="825" t="s">
        <v>6563</v>
      </c>
      <c r="J478" s="825" t="s">
        <v>6565</v>
      </c>
      <c r="K478" s="125" t="s">
        <v>911</v>
      </c>
      <c r="L478" s="16" t="s">
        <v>4550</v>
      </c>
      <c r="M478" s="8">
        <v>2</v>
      </c>
      <c r="N478" s="770"/>
      <c r="O478" s="430"/>
      <c r="P478" s="769"/>
    </row>
    <row r="479" spans="1:17" s="17" customFormat="1" ht="33" customHeight="1">
      <c r="A479" s="604"/>
      <c r="B479" s="399">
        <v>46218</v>
      </c>
      <c r="C479" s="4" t="s">
        <v>1255</v>
      </c>
      <c r="D479" s="4" t="s">
        <v>6368</v>
      </c>
      <c r="E479" s="825" t="s">
        <v>6530</v>
      </c>
      <c r="F479" s="825" t="s">
        <v>6531</v>
      </c>
      <c r="G479" s="16" t="s">
        <v>6560</v>
      </c>
      <c r="H479" s="827" t="s">
        <v>6561</v>
      </c>
      <c r="I479" s="825" t="s">
        <v>6562</v>
      </c>
      <c r="J479" s="825"/>
      <c r="K479" s="125"/>
      <c r="L479" s="16"/>
      <c r="M479" s="8"/>
      <c r="N479" s="826"/>
      <c r="O479" s="430"/>
      <c r="P479" s="825"/>
    </row>
    <row r="480" spans="1:17" s="17" customFormat="1" ht="33" customHeight="1">
      <c r="A480" s="604"/>
      <c r="B480" s="399">
        <v>46219</v>
      </c>
      <c r="C480" s="4" t="s">
        <v>6463</v>
      </c>
      <c r="D480" s="4" t="s">
        <v>6529</v>
      </c>
      <c r="E480" s="760" t="s">
        <v>6530</v>
      </c>
      <c r="F480" s="760" t="s">
        <v>6531</v>
      </c>
      <c r="G480" s="16" t="s">
        <v>6532</v>
      </c>
      <c r="H480" s="762" t="s">
        <v>6533</v>
      </c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>
      <c r="A481" s="604"/>
      <c r="B481" s="399">
        <v>46219</v>
      </c>
      <c r="C481" s="4" t="s">
        <v>6285</v>
      </c>
      <c r="D481" s="4" t="s">
        <v>14</v>
      </c>
      <c r="E481" s="769" t="s">
        <v>6286</v>
      </c>
      <c r="F481" s="769" t="s">
        <v>6288</v>
      </c>
      <c r="G481" s="16" t="s">
        <v>6287</v>
      </c>
      <c r="H481" s="771" t="s">
        <v>6289</v>
      </c>
      <c r="I481" s="769" t="s">
        <v>6274</v>
      </c>
      <c r="J481" s="771"/>
      <c r="K481" s="125" t="s">
        <v>6290</v>
      </c>
      <c r="L481" s="16" t="s">
        <v>6291</v>
      </c>
      <c r="M481" s="8">
        <v>1</v>
      </c>
      <c r="N481" s="770"/>
      <c r="O481" s="430"/>
      <c r="P481" s="769"/>
    </row>
    <row r="482" spans="1:16" s="17" customFormat="1" ht="33" customHeight="1">
      <c r="A482" s="604"/>
      <c r="B482" s="399">
        <v>46219</v>
      </c>
      <c r="C482" s="3"/>
      <c r="D482" s="3"/>
      <c r="E482" s="454"/>
      <c r="F482" s="454"/>
      <c r="G482" s="459"/>
      <c r="H482" s="453"/>
      <c r="I482" s="454"/>
      <c r="J482" s="453"/>
      <c r="K482" s="136"/>
      <c r="L482" s="459"/>
      <c r="M482" s="455"/>
      <c r="N482" s="804"/>
      <c r="O482" s="430"/>
      <c r="P482" s="799"/>
    </row>
    <row r="483" spans="1:16" s="17" customFormat="1" ht="33" customHeight="1">
      <c r="A483" s="604"/>
      <c r="B483" s="399">
        <v>46220</v>
      </c>
      <c r="C483" s="4"/>
      <c r="D483" s="4"/>
      <c r="E483" s="760"/>
      <c r="F483" s="760"/>
      <c r="G483" s="16"/>
      <c r="H483" s="762"/>
      <c r="I483" s="760"/>
      <c r="J483" s="760"/>
      <c r="K483" s="125"/>
      <c r="L483" s="16"/>
      <c r="M483" s="8"/>
      <c r="N483" s="595"/>
      <c r="O483" s="430"/>
      <c r="P483" s="760"/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6520</v>
      </c>
      <c r="I486" s="454" t="s">
        <v>6446</v>
      </c>
      <c r="J486" s="453" t="s">
        <v>6447</v>
      </c>
      <c r="K486" s="136" t="s">
        <v>6448</v>
      </c>
      <c r="L486" s="459">
        <v>9080</v>
      </c>
      <c r="M486" s="455">
        <v>2</v>
      </c>
      <c r="N486" s="594"/>
      <c r="O486" s="431"/>
      <c r="P486" s="760"/>
    </row>
    <row r="487" spans="1:16" s="17" customFormat="1" ht="33" customHeight="1">
      <c r="A487" s="604"/>
      <c r="B487" s="399">
        <v>46224</v>
      </c>
      <c r="C487" s="4" t="s">
        <v>1475</v>
      </c>
      <c r="D487" s="4" t="s">
        <v>6431</v>
      </c>
      <c r="E487" s="820" t="s">
        <v>6095</v>
      </c>
      <c r="F487" s="654" t="s">
        <v>6539</v>
      </c>
      <c r="G487" s="16" t="s">
        <v>6540</v>
      </c>
      <c r="H487" s="655" t="s">
        <v>6541</v>
      </c>
      <c r="I487" s="594"/>
      <c r="J487" s="594"/>
      <c r="K487" s="125"/>
      <c r="L487" s="16"/>
      <c r="M487" s="8"/>
      <c r="N487" s="594"/>
      <c r="O487" s="431" t="s">
        <v>6542</v>
      </c>
      <c r="P487" s="760"/>
    </row>
    <row r="488" spans="1:16" s="17" customFormat="1" ht="33" customHeight="1">
      <c r="A488" s="604"/>
      <c r="B488" s="399">
        <v>46224</v>
      </c>
      <c r="C488" s="4" t="s">
        <v>21</v>
      </c>
      <c r="D488" s="4" t="s">
        <v>14</v>
      </c>
      <c r="E488" s="769" t="s">
        <v>6264</v>
      </c>
      <c r="F488" s="769" t="s">
        <v>6265</v>
      </c>
      <c r="G488" s="16" t="s">
        <v>6266</v>
      </c>
      <c r="H488" s="771" t="s">
        <v>6267</v>
      </c>
      <c r="I488" s="769"/>
      <c r="J488" s="769"/>
      <c r="K488" s="125"/>
      <c r="L488" s="16"/>
      <c r="M488" s="8"/>
      <c r="N488" s="769"/>
      <c r="O488" s="431"/>
      <c r="P488" s="769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6543</v>
      </c>
      <c r="E489" s="820" t="s">
        <v>6544</v>
      </c>
      <c r="F489" s="806" t="s">
        <v>6545</v>
      </c>
      <c r="G489" s="16" t="s">
        <v>6546</v>
      </c>
      <c r="H489" s="820" t="s">
        <v>6547</v>
      </c>
      <c r="I489" s="806"/>
      <c r="J489" s="806"/>
      <c r="K489" s="125"/>
      <c r="L489" s="16"/>
      <c r="M489" s="8"/>
      <c r="N489" s="806"/>
      <c r="O489" s="431"/>
      <c r="P489" s="806"/>
    </row>
    <row r="490" spans="1:16" s="17" customFormat="1" ht="33" customHeight="1">
      <c r="A490" s="604"/>
      <c r="B490" s="399">
        <v>46225</v>
      </c>
      <c r="C490" s="4" t="s">
        <v>1475</v>
      </c>
      <c r="D490" s="4" t="s">
        <v>6431</v>
      </c>
      <c r="E490" s="820" t="s">
        <v>6095</v>
      </c>
      <c r="F490" s="806" t="s">
        <v>6539</v>
      </c>
      <c r="G490" s="16" t="s">
        <v>6540</v>
      </c>
      <c r="H490" s="820" t="s">
        <v>6541</v>
      </c>
      <c r="I490" s="806"/>
      <c r="J490" s="806"/>
      <c r="K490" s="125"/>
      <c r="L490" s="16"/>
      <c r="M490" s="8"/>
      <c r="N490" s="806"/>
      <c r="O490" s="431" t="s">
        <v>6542</v>
      </c>
      <c r="P490" s="760"/>
    </row>
    <row r="491" spans="1:16" s="17" customFormat="1" ht="33" customHeight="1">
      <c r="A491" s="604"/>
      <c r="B491" s="399">
        <v>46226</v>
      </c>
      <c r="C491" s="3" t="s">
        <v>1255</v>
      </c>
      <c r="D491" s="3" t="s">
        <v>883</v>
      </c>
      <c r="E491" s="454" t="s">
        <v>100</v>
      </c>
      <c r="F491" s="454" t="s">
        <v>1645</v>
      </c>
      <c r="G491" s="459" t="s">
        <v>964</v>
      </c>
      <c r="H491" s="453" t="s">
        <v>6324</v>
      </c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>
      <c r="A492" s="604"/>
      <c r="B492" s="399">
        <v>46227</v>
      </c>
      <c r="C492" s="4" t="s">
        <v>21</v>
      </c>
      <c r="D492" s="4" t="s">
        <v>14</v>
      </c>
      <c r="E492" s="825" t="s">
        <v>211</v>
      </c>
      <c r="F492" s="825" t="s">
        <v>6374</v>
      </c>
      <c r="G492" s="16" t="s">
        <v>6375</v>
      </c>
      <c r="H492" s="827" t="s">
        <v>6379</v>
      </c>
      <c r="I492" s="594"/>
      <c r="J492" s="598"/>
      <c r="K492" s="125"/>
      <c r="L492" s="16"/>
      <c r="M492" s="8"/>
      <c r="N492" s="595"/>
      <c r="O492" s="430"/>
      <c r="P492" s="760"/>
    </row>
    <row r="493" spans="1:16" s="17" customFormat="1" ht="33" customHeight="1">
      <c r="A493" s="605"/>
      <c r="B493" s="369">
        <v>46228</v>
      </c>
      <c r="C493" s="4"/>
      <c r="D493" s="4"/>
      <c r="E493" s="291"/>
      <c r="F493" s="594"/>
      <c r="G493" s="16"/>
      <c r="H493" s="598"/>
      <c r="I493" s="594"/>
      <c r="J493" s="594"/>
      <c r="K493" s="125"/>
      <c r="L493" s="16"/>
      <c r="M493" s="8"/>
      <c r="N493" s="594"/>
      <c r="O493" s="432"/>
      <c r="P493" s="760"/>
    </row>
    <row r="494" spans="1:16" s="17" customFormat="1" ht="33" customHeight="1">
      <c r="A494" s="322" t="s">
        <v>0</v>
      </c>
      <c r="B494" s="323" t="s">
        <v>1</v>
      </c>
      <c r="C494" s="322" t="s">
        <v>2</v>
      </c>
      <c r="D494" s="322" t="s">
        <v>3</v>
      </c>
      <c r="E494" s="322" t="s">
        <v>4</v>
      </c>
      <c r="F494" s="322" t="s">
        <v>5</v>
      </c>
      <c r="G494" s="322" t="s">
        <v>6</v>
      </c>
      <c r="H494" s="324" t="s">
        <v>7</v>
      </c>
      <c r="I494" s="322" t="s">
        <v>8</v>
      </c>
      <c r="J494" s="322" t="s">
        <v>9</v>
      </c>
      <c r="K494" s="325" t="s">
        <v>10</v>
      </c>
      <c r="L494" s="326" t="s">
        <v>11</v>
      </c>
      <c r="M494" s="322" t="s">
        <v>12</v>
      </c>
      <c r="N494" s="327" t="s">
        <v>13</v>
      </c>
      <c r="O494" s="427" t="s">
        <v>63</v>
      </c>
      <c r="P494" s="322" t="s">
        <v>123</v>
      </c>
    </row>
    <row r="495" spans="1:16" s="17" customFormat="1" ht="33" customHeight="1">
      <c r="A495" s="603" t="s">
        <v>5631</v>
      </c>
      <c r="B495" s="399">
        <v>46230</v>
      </c>
      <c r="C495" s="4"/>
      <c r="D495" s="4"/>
      <c r="E495" s="594" t="s">
        <v>6114</v>
      </c>
      <c r="F495" s="594"/>
      <c r="G495" s="16"/>
      <c r="H495" s="598"/>
      <c r="I495" s="594"/>
      <c r="J495" s="594"/>
      <c r="K495" s="125"/>
      <c r="L495" s="16"/>
      <c r="M495" s="8"/>
      <c r="N495" s="594"/>
      <c r="O495" s="431"/>
      <c r="P495" s="760"/>
    </row>
    <row r="496" spans="1:16" s="17" customFormat="1" ht="33" customHeight="1">
      <c r="A496" s="604"/>
      <c r="B496" s="399">
        <v>46231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1"/>
      <c r="P496" s="760"/>
    </row>
    <row r="497" spans="1:16" s="17" customFormat="1" ht="33" customHeight="1">
      <c r="A497" s="604"/>
      <c r="B497" s="399">
        <v>46232</v>
      </c>
      <c r="C497" s="4"/>
      <c r="D497" s="4"/>
      <c r="E497" s="594"/>
      <c r="F497" s="594"/>
      <c r="G497" s="16"/>
      <c r="H497" s="598"/>
      <c r="I497" s="594"/>
      <c r="J497" s="598"/>
      <c r="K497" s="125"/>
      <c r="L497" s="16"/>
      <c r="M497" s="8"/>
      <c r="N497" s="595"/>
      <c r="O497" s="430"/>
      <c r="P497" s="760"/>
    </row>
    <row r="498" spans="1:16" s="17" customFormat="1" ht="33" customHeight="1">
      <c r="A498" s="604"/>
      <c r="B498" s="399">
        <v>46233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>
      <c r="A499" s="604"/>
      <c r="B499" s="399">
        <v>46234</v>
      </c>
      <c r="C499" s="4"/>
      <c r="D499" s="4"/>
      <c r="E499" s="594"/>
      <c r="F499" s="594"/>
      <c r="G499" s="16"/>
      <c r="H499" s="598"/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>
      <c r="A500" s="605"/>
      <c r="B500" s="369">
        <v>46235</v>
      </c>
      <c r="C500" s="4"/>
      <c r="D500" s="4"/>
      <c r="E500" s="291"/>
      <c r="F500" s="594"/>
      <c r="G500" s="16"/>
      <c r="H500" s="598"/>
      <c r="I500" s="594"/>
      <c r="J500" s="594"/>
      <c r="K500" s="125"/>
      <c r="L500" s="16"/>
      <c r="M500" s="8"/>
      <c r="N500" s="594"/>
      <c r="O500" s="432"/>
      <c r="P500" s="760"/>
    </row>
    <row r="501" spans="1:16" s="17" customFormat="1" ht="33" customHeight="1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>
      <c r="A502" s="603" t="s">
        <v>6342</v>
      </c>
      <c r="B502" s="399">
        <v>46237</v>
      </c>
      <c r="C502" s="4"/>
      <c r="D502" s="4"/>
      <c r="E502" s="799"/>
      <c r="F502" s="799"/>
      <c r="G502" s="16"/>
      <c r="H502" s="805"/>
      <c r="I502" s="799"/>
      <c r="J502" s="799"/>
      <c r="K502" s="125"/>
      <c r="L502" s="16"/>
      <c r="M502" s="8"/>
      <c r="N502" s="799"/>
      <c r="O502" s="431"/>
      <c r="P502" s="799"/>
    </row>
    <row r="503" spans="1:16" s="17" customFormat="1" ht="33" customHeight="1">
      <c r="A503" s="604"/>
      <c r="B503" s="399">
        <v>46238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1"/>
      <c r="P503" s="799"/>
    </row>
    <row r="504" spans="1:16" s="17" customFormat="1" ht="33" customHeight="1">
      <c r="A504" s="604"/>
      <c r="B504" s="399">
        <v>46239</v>
      </c>
      <c r="C504" s="4"/>
      <c r="D504" s="4"/>
      <c r="E504" s="799"/>
      <c r="F504" s="799"/>
      <c r="G504" s="16"/>
      <c r="H504" s="805"/>
      <c r="I504" s="799"/>
      <c r="J504" s="805"/>
      <c r="K504" s="125"/>
      <c r="L504" s="16"/>
      <c r="M504" s="8"/>
      <c r="N504" s="804"/>
      <c r="O504" s="430"/>
      <c r="P504" s="799"/>
    </row>
    <row r="505" spans="1:16" s="17" customFormat="1" ht="33" customHeight="1">
      <c r="A505" s="604"/>
      <c r="B505" s="399">
        <v>46240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>
      <c r="A506" s="604"/>
      <c r="B506" s="399">
        <v>46241</v>
      </c>
      <c r="C506" s="4"/>
      <c r="D506" s="4"/>
      <c r="E506" s="799"/>
      <c r="F506" s="799"/>
      <c r="G506" s="16"/>
      <c r="H506" s="805"/>
      <c r="I506" s="799"/>
      <c r="J506" s="805"/>
      <c r="K506" s="125"/>
      <c r="L506" s="16"/>
      <c r="M506" s="8"/>
      <c r="N506" s="804"/>
      <c r="O506" s="430"/>
      <c r="P506" s="799"/>
    </row>
    <row r="507" spans="1:16" s="17" customFormat="1" ht="33" customHeight="1">
      <c r="A507" s="605"/>
      <c r="B507" s="399">
        <v>46242</v>
      </c>
      <c r="C507" s="4"/>
      <c r="D507" s="4"/>
      <c r="E507" s="291"/>
      <c r="F507" s="799"/>
      <c r="G507" s="16"/>
      <c r="H507" s="805"/>
      <c r="I507" s="799"/>
      <c r="J507" s="799"/>
      <c r="K507" s="125"/>
      <c r="L507" s="16"/>
      <c r="M507" s="8"/>
      <c r="N507" s="799"/>
      <c r="O507" s="432"/>
      <c r="P507" s="799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6343</v>
      </c>
      <c r="B509" s="399">
        <v>46244</v>
      </c>
      <c r="C509" s="4"/>
      <c r="D509" s="4"/>
      <c r="E509" s="799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46245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46246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46247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46248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5"/>
      <c r="B514" s="399">
        <v>46249</v>
      </c>
      <c r="C514" s="4"/>
      <c r="D514" s="4"/>
      <c r="E514" s="291"/>
      <c r="F514" s="799"/>
      <c r="G514" s="16"/>
      <c r="H514" s="805"/>
      <c r="I514" s="799"/>
      <c r="J514" s="799"/>
      <c r="K514" s="125"/>
      <c r="L514" s="16"/>
      <c r="M514" s="8"/>
      <c r="N514" s="799"/>
      <c r="O514" s="432"/>
      <c r="P514" s="799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 t="s">
        <v>6344</v>
      </c>
      <c r="B516" s="399">
        <v>46251</v>
      </c>
      <c r="C516" s="4" t="s">
        <v>6367</v>
      </c>
      <c r="D516" s="4" t="s">
        <v>6368</v>
      </c>
      <c r="E516" s="799" t="s">
        <v>6369</v>
      </c>
      <c r="F516" s="799" t="s">
        <v>6370</v>
      </c>
      <c r="G516" s="16" t="s">
        <v>6371</v>
      </c>
      <c r="H516" s="805" t="s">
        <v>6372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46252</v>
      </c>
      <c r="C517" s="4" t="s">
        <v>113</v>
      </c>
      <c r="D517" s="4" t="s">
        <v>14</v>
      </c>
      <c r="E517" s="799" t="s">
        <v>427</v>
      </c>
      <c r="F517" s="799" t="s">
        <v>1968</v>
      </c>
      <c r="G517" s="16" t="s">
        <v>376</v>
      </c>
      <c r="H517" s="805" t="s">
        <v>900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46252</v>
      </c>
      <c r="C518" s="4" t="s">
        <v>6358</v>
      </c>
      <c r="D518" s="4" t="s">
        <v>6359</v>
      </c>
      <c r="E518" s="799" t="s">
        <v>6360</v>
      </c>
      <c r="F518" s="799" t="s">
        <v>6361</v>
      </c>
      <c r="G518" s="16" t="s">
        <v>6362</v>
      </c>
      <c r="H518" s="805" t="s">
        <v>6363</v>
      </c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46253</v>
      </c>
      <c r="C519" s="4" t="s">
        <v>113</v>
      </c>
      <c r="D519" s="4" t="s">
        <v>14</v>
      </c>
      <c r="E519" s="799" t="s">
        <v>427</v>
      </c>
      <c r="F519" s="799" t="s">
        <v>1968</v>
      </c>
      <c r="G519" s="16" t="s">
        <v>553</v>
      </c>
      <c r="H519" s="805" t="s">
        <v>900</v>
      </c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46254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46255</v>
      </c>
      <c r="C521" s="4" t="s">
        <v>6367</v>
      </c>
      <c r="D521" s="4" t="s">
        <v>6368</v>
      </c>
      <c r="E521" s="806" t="s">
        <v>6369</v>
      </c>
      <c r="F521" s="806" t="s">
        <v>6370</v>
      </c>
      <c r="G521" s="16" t="s">
        <v>6371</v>
      </c>
      <c r="H521" s="820" t="s">
        <v>6373</v>
      </c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5"/>
      <c r="B522" s="399">
        <v>46256</v>
      </c>
      <c r="C522" s="4"/>
      <c r="D522" s="4"/>
      <c r="E522" s="291"/>
      <c r="F522" s="799"/>
      <c r="G522" s="16"/>
      <c r="H522" s="805"/>
      <c r="I522" s="799"/>
      <c r="J522" s="799"/>
      <c r="K522" s="125"/>
      <c r="L522" s="16"/>
      <c r="M522" s="8"/>
      <c r="N522" s="799"/>
      <c r="O522" s="432"/>
      <c r="P522" s="799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6345</v>
      </c>
      <c r="B524" s="399">
        <v>46258</v>
      </c>
      <c r="C524" s="4"/>
      <c r="D524" s="4"/>
      <c r="E524" s="799"/>
      <c r="F524" s="799"/>
      <c r="G524" s="16"/>
      <c r="H524" s="805"/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46259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46260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46261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46262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5"/>
      <c r="B529" s="399">
        <v>46263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6346</v>
      </c>
      <c r="B531" s="399">
        <v>46265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46266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46267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46268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46269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5"/>
      <c r="B536" s="399">
        <v>46270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/>
      <c r="B538" s="399"/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/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/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5"/>
      <c r="B543" s="399"/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/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2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3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3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4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3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4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3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>
      <c r="A182" s="55">
        <v>36</v>
      </c>
      <c r="B182" s="893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>
      <c r="A183" s="55">
        <v>36</v>
      </c>
      <c r="B183" s="893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3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4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2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3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3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3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3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4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2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3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3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4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2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3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2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3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>
      <c r="A226" s="55">
        <v>44</v>
      </c>
      <c r="B226" s="8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>
      <c r="A227" s="55">
        <v>44</v>
      </c>
      <c r="B227" s="8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>
      <c r="A228" s="55">
        <v>44</v>
      </c>
      <c r="B228" s="8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3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>
      <c r="A250" s="55">
        <v>48</v>
      </c>
      <c r="B250" s="894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>
      <c r="A251" s="55">
        <v>48</v>
      </c>
      <c r="B251" s="8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3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>
      <c r="A257" s="55">
        <v>49</v>
      </c>
      <c r="B257" s="894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>
      <c r="A258" s="55">
        <v>49</v>
      </c>
      <c r="B258" s="8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8" t="s">
        <v>1103</v>
      </c>
    </row>
    <row r="262" spans="1:14" ht="25.5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9"/>
    </row>
    <row r="263" spans="1:14" ht="16.5" customHeight="1">
      <c r="A263" s="55">
        <v>50</v>
      </c>
      <c r="B263" s="892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3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3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3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4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0" t="s">
        <v>658</v>
      </c>
      <c r="C268" s="8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2"/>
      <c r="C270" s="8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2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3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3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3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3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>
      <c r="A279" s="55">
        <v>1</v>
      </c>
      <c r="B279" s="892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4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2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3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3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3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0" t="s">
        <v>123</v>
      </c>
      <c r="C287" s="8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1"/>
      <c r="C288" s="8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0" t="s">
        <v>64</v>
      </c>
      <c r="C289" s="8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8" t="s">
        <v>638</v>
      </c>
      <c r="K291" s="949" t="s">
        <v>671</v>
      </c>
      <c r="L291" s="148" t="s">
        <v>309</v>
      </c>
      <c r="M291" s="898" t="s">
        <v>672</v>
      </c>
      <c r="N291" s="148" t="s">
        <v>723</v>
      </c>
    </row>
    <row r="292" spans="1:15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9"/>
      <c r="K292" s="950"/>
      <c r="L292" s="148" t="s">
        <v>309</v>
      </c>
      <c r="M292" s="899"/>
      <c r="N292" s="148" t="s">
        <v>723</v>
      </c>
    </row>
    <row r="293" spans="1:15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1"/>
      <c r="C294" s="8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2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3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4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2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3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3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3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4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2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4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0" t="s">
        <v>307</v>
      </c>
      <c r="C313" s="8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2"/>
      <c r="C314" s="8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2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3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4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2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4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2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3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4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2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3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3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4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2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3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3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4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0" t="s">
        <v>307</v>
      </c>
      <c r="C375" s="128" t="s">
        <v>1531</v>
      </c>
      <c r="D375" s="888" t="s">
        <v>306</v>
      </c>
      <c r="E375" s="888" t="s">
        <v>322</v>
      </c>
      <c r="F375" s="888" t="s">
        <v>307</v>
      </c>
      <c r="G375" s="890">
        <v>4266</v>
      </c>
      <c r="H375" s="888" t="s">
        <v>640</v>
      </c>
      <c r="I375" s="890" t="s">
        <v>1533</v>
      </c>
      <c r="J375" s="888" t="s">
        <v>1534</v>
      </c>
      <c r="K375" s="1022" t="s">
        <v>692</v>
      </c>
      <c r="L375" s="888" t="s">
        <v>324</v>
      </c>
      <c r="M375" s="898" t="s">
        <v>1535</v>
      </c>
      <c r="N375" s="888" t="s">
        <v>425</v>
      </c>
    </row>
    <row r="376" spans="1:19">
      <c r="A376" s="199" t="s">
        <v>1539</v>
      </c>
      <c r="B376" s="1011"/>
      <c r="C376" s="129" t="s">
        <v>1532</v>
      </c>
      <c r="D376" s="889"/>
      <c r="E376" s="889"/>
      <c r="F376" s="889"/>
      <c r="G376" s="891"/>
      <c r="H376" s="889"/>
      <c r="I376" s="891"/>
      <c r="J376" s="889"/>
      <c r="K376" s="1023"/>
      <c r="L376" s="889"/>
      <c r="M376" s="899"/>
      <c r="N376" s="889"/>
    </row>
    <row r="377" spans="1:19">
      <c r="A377" s="199" t="s">
        <v>1539</v>
      </c>
      <c r="B377" s="1011"/>
      <c r="C377" s="128" t="s">
        <v>1536</v>
      </c>
      <c r="D377" s="888" t="s">
        <v>306</v>
      </c>
      <c r="E377" s="888" t="s">
        <v>322</v>
      </c>
      <c r="F377" s="888" t="s">
        <v>307</v>
      </c>
      <c r="G377" s="890">
        <v>3306</v>
      </c>
      <c r="H377" s="888" t="s">
        <v>1153</v>
      </c>
      <c r="I377" s="890" t="s">
        <v>1538</v>
      </c>
      <c r="J377" s="888" t="s">
        <v>1534</v>
      </c>
      <c r="K377" s="1022" t="s">
        <v>692</v>
      </c>
      <c r="L377" s="888" t="s">
        <v>324</v>
      </c>
      <c r="M377" s="898" t="s">
        <v>1535</v>
      </c>
      <c r="N377" s="888" t="s">
        <v>425</v>
      </c>
    </row>
    <row r="378" spans="1:19">
      <c r="A378" s="199" t="s">
        <v>1539</v>
      </c>
      <c r="B378" s="1012"/>
      <c r="C378" s="129" t="s">
        <v>1537</v>
      </c>
      <c r="D378" s="889"/>
      <c r="E378" s="889"/>
      <c r="F378" s="889"/>
      <c r="G378" s="891"/>
      <c r="H378" s="889"/>
      <c r="I378" s="891"/>
      <c r="J378" s="889"/>
      <c r="K378" s="1023"/>
      <c r="L378" s="889"/>
      <c r="M378" s="899"/>
      <c r="N378" s="889"/>
    </row>
    <row r="379" spans="1:19" ht="27" customHeight="1">
      <c r="A379" s="123">
        <v>15</v>
      </c>
      <c r="B379" s="8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2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>
      <c r="A404" s="123">
        <v>18</v>
      </c>
      <c r="B404" s="883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>
      <c r="A405" s="123">
        <v>18</v>
      </c>
      <c r="B405" s="88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3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>
      <c r="A407" s="123">
        <v>18</v>
      </c>
      <c r="B407" s="883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>
      <c r="A408" s="123">
        <v>18</v>
      </c>
      <c r="B408" s="883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>
      <c r="A409" s="123">
        <v>18</v>
      </c>
      <c r="B409" s="884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>
      <c r="A410" s="123">
        <v>18</v>
      </c>
      <c r="B410" s="882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>
      <c r="A411" s="123">
        <v>18</v>
      </c>
      <c r="B411" s="883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>
      <c r="A412" s="123">
        <v>18</v>
      </c>
      <c r="B412" s="88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3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>
      <c r="A414" s="123">
        <v>18</v>
      </c>
      <c r="B414" s="884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>
      <c r="A415" s="123">
        <v>19</v>
      </c>
      <c r="B415" s="882" t="s">
        <v>20</v>
      </c>
      <c r="C415" s="148" t="s">
        <v>1794</v>
      </c>
      <c r="D415" s="888" t="s">
        <v>306</v>
      </c>
      <c r="E415" s="888" t="s">
        <v>322</v>
      </c>
      <c r="F415" s="888" t="s">
        <v>307</v>
      </c>
      <c r="G415" s="890" t="s">
        <v>1796</v>
      </c>
      <c r="H415" s="888" t="s">
        <v>1797</v>
      </c>
      <c r="I415" s="890" t="s">
        <v>1792</v>
      </c>
      <c r="J415" s="888" t="s">
        <v>664</v>
      </c>
      <c r="K415" s="148" t="s">
        <v>1520</v>
      </c>
      <c r="L415" s="888" t="s">
        <v>324</v>
      </c>
      <c r="M415" s="898" t="s">
        <v>1799</v>
      </c>
      <c r="N415" s="888" t="s">
        <v>665</v>
      </c>
    </row>
    <row r="416" spans="1:14">
      <c r="A416" s="123">
        <v>19</v>
      </c>
      <c r="B416" s="883"/>
      <c r="C416" s="148" t="s">
        <v>1795</v>
      </c>
      <c r="D416" s="889"/>
      <c r="E416" s="889"/>
      <c r="F416" s="889"/>
      <c r="G416" s="891"/>
      <c r="H416" s="889"/>
      <c r="I416" s="891"/>
      <c r="J416" s="889"/>
      <c r="K416" s="148" t="s">
        <v>1798</v>
      </c>
      <c r="L416" s="889"/>
      <c r="M416" s="899"/>
      <c r="N416" s="889"/>
    </row>
    <row r="417" spans="1:14">
      <c r="A417" s="123">
        <v>19</v>
      </c>
      <c r="B417" s="883"/>
      <c r="C417" s="148" t="s">
        <v>1800</v>
      </c>
      <c r="D417" s="888" t="s">
        <v>306</v>
      </c>
      <c r="E417" s="888" t="s">
        <v>322</v>
      </c>
      <c r="F417" s="888" t="s">
        <v>307</v>
      </c>
      <c r="G417" s="890" t="s">
        <v>1801</v>
      </c>
      <c r="H417" s="888" t="s">
        <v>1802</v>
      </c>
      <c r="I417" s="890" t="s">
        <v>1803</v>
      </c>
      <c r="J417" s="888" t="s">
        <v>664</v>
      </c>
      <c r="K417" s="949" t="s">
        <v>1155</v>
      </c>
      <c r="L417" s="888" t="s">
        <v>324</v>
      </c>
      <c r="M417" s="898" t="s">
        <v>1804</v>
      </c>
      <c r="N417" s="888" t="s">
        <v>665</v>
      </c>
    </row>
    <row r="418" spans="1:14">
      <c r="A418" s="123">
        <v>19</v>
      </c>
      <c r="B418" s="884"/>
      <c r="C418" s="148" t="s">
        <v>1795</v>
      </c>
      <c r="D418" s="889"/>
      <c r="E418" s="889"/>
      <c r="F418" s="889"/>
      <c r="G418" s="891"/>
      <c r="H418" s="889"/>
      <c r="I418" s="891"/>
      <c r="J418" s="889"/>
      <c r="K418" s="950"/>
      <c r="L418" s="889"/>
      <c r="M418" s="899"/>
      <c r="N418" s="889"/>
    </row>
    <row r="419" spans="1:14" ht="16.5" customHeight="1">
      <c r="A419" s="123">
        <v>19</v>
      </c>
      <c r="B419" s="882" t="s">
        <v>21</v>
      </c>
      <c r="C419" s="939" t="s">
        <v>1805</v>
      </c>
      <c r="D419" s="939" t="s">
        <v>700</v>
      </c>
      <c r="E419" s="888" t="s">
        <v>675</v>
      </c>
      <c r="F419" s="939" t="s">
        <v>1806</v>
      </c>
      <c r="G419" s="939" t="s">
        <v>1807</v>
      </c>
      <c r="H419" s="939" t="s">
        <v>662</v>
      </c>
      <c r="I419" s="890" t="s">
        <v>1808</v>
      </c>
      <c r="J419" s="888"/>
      <c r="K419" s="941" t="s">
        <v>1809</v>
      </c>
      <c r="L419" s="888" t="s">
        <v>309</v>
      </c>
      <c r="M419" s="898" t="s">
        <v>1810</v>
      </c>
      <c r="N419" s="149" t="s">
        <v>1811</v>
      </c>
    </row>
    <row r="420" spans="1:14">
      <c r="A420" s="123">
        <v>19</v>
      </c>
      <c r="B420" s="883"/>
      <c r="C420" s="940"/>
      <c r="D420" s="940"/>
      <c r="E420" s="889"/>
      <c r="F420" s="940"/>
      <c r="G420" s="940"/>
      <c r="H420" s="940"/>
      <c r="I420" s="891"/>
      <c r="J420" s="889"/>
      <c r="K420" s="942"/>
      <c r="L420" s="889"/>
      <c r="M420" s="899"/>
      <c r="N420" s="149" t="s">
        <v>1812</v>
      </c>
    </row>
    <row r="421" spans="1:14">
      <c r="A421" s="123">
        <v>19</v>
      </c>
      <c r="B421" s="883"/>
      <c r="C421" s="943" t="s">
        <v>1813</v>
      </c>
      <c r="D421" s="939" t="s">
        <v>700</v>
      </c>
      <c r="E421" s="888" t="s">
        <v>320</v>
      </c>
      <c r="F421" s="888" t="s">
        <v>337</v>
      </c>
      <c r="G421" s="939" t="s">
        <v>353</v>
      </c>
      <c r="H421" s="939" t="s">
        <v>1814</v>
      </c>
      <c r="I421" s="890" t="s">
        <v>1815</v>
      </c>
      <c r="J421" s="888" t="s">
        <v>638</v>
      </c>
      <c r="K421" s="945" t="s">
        <v>692</v>
      </c>
      <c r="L421" s="888" t="s">
        <v>309</v>
      </c>
      <c r="M421" s="898" t="s">
        <v>1816</v>
      </c>
      <c r="N421" s="148" t="s">
        <v>1817</v>
      </c>
    </row>
    <row r="422" spans="1:14">
      <c r="A422" s="123">
        <v>19</v>
      </c>
      <c r="B422" s="883"/>
      <c r="C422" s="944"/>
      <c r="D422" s="940"/>
      <c r="E422" s="889"/>
      <c r="F422" s="889"/>
      <c r="G422" s="940"/>
      <c r="H422" s="940"/>
      <c r="I422" s="891"/>
      <c r="J422" s="889"/>
      <c r="K422" s="946"/>
      <c r="L422" s="889"/>
      <c r="M422" s="899"/>
      <c r="N422" s="148" t="s">
        <v>1818</v>
      </c>
    </row>
    <row r="423" spans="1:14">
      <c r="A423" s="123">
        <v>19</v>
      </c>
      <c r="B423" s="88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3"/>
      <c r="C424" s="939" t="s">
        <v>1820</v>
      </c>
      <c r="D424" s="939" t="s">
        <v>700</v>
      </c>
      <c r="E424" s="888" t="s">
        <v>320</v>
      </c>
      <c r="F424" s="888" t="s">
        <v>709</v>
      </c>
      <c r="G424" s="888" t="s">
        <v>1768</v>
      </c>
      <c r="H424" s="939" t="s">
        <v>1821</v>
      </c>
      <c r="I424" s="149" t="s">
        <v>1822</v>
      </c>
      <c r="J424" s="888" t="s">
        <v>638</v>
      </c>
      <c r="K424" s="888" t="s">
        <v>692</v>
      </c>
      <c r="L424" s="888" t="s">
        <v>309</v>
      </c>
      <c r="M424" s="898" t="s">
        <v>1535</v>
      </c>
      <c r="N424" s="890" t="s">
        <v>1824</v>
      </c>
    </row>
    <row r="425" spans="1:14">
      <c r="A425" s="123">
        <v>19</v>
      </c>
      <c r="B425" s="883"/>
      <c r="C425" s="940"/>
      <c r="D425" s="940"/>
      <c r="E425" s="889"/>
      <c r="F425" s="889"/>
      <c r="G425" s="889"/>
      <c r="H425" s="940"/>
      <c r="I425" s="149" t="s">
        <v>1823</v>
      </c>
      <c r="J425" s="889"/>
      <c r="K425" s="889"/>
      <c r="L425" s="889"/>
      <c r="M425" s="899"/>
      <c r="N425" s="891"/>
    </row>
    <row r="426" spans="1:14">
      <c r="A426" s="123">
        <v>19</v>
      </c>
      <c r="B426" s="88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2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>
      <c r="A453" s="123">
        <v>23</v>
      </c>
      <c r="B453" s="883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>
      <c r="A454" s="123">
        <v>23</v>
      </c>
      <c r="B454" s="883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>
      <c r="A455" s="123">
        <v>23</v>
      </c>
      <c r="B455" s="883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>
      <c r="A456" s="123">
        <v>23</v>
      </c>
      <c r="B456" s="88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3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>
      <c r="A458" s="123">
        <v>23</v>
      </c>
      <c r="B458" s="883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>
      <c r="A459" s="123">
        <v>23</v>
      </c>
      <c r="B459" s="883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>
      <c r="A460" s="123">
        <v>23</v>
      </c>
      <c r="B460" s="884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>
      <c r="A461" s="123">
        <v>23</v>
      </c>
      <c r="B461" s="88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3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>
      <c r="A463" s="123">
        <v>23</v>
      </c>
      <c r="B463" s="883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>
      <c r="A464" s="123">
        <v>23</v>
      </c>
      <c r="B464" s="88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3"/>
      <c r="C687" s="148" t="s">
        <v>2726</v>
      </c>
      <c r="D687" s="888" t="s">
        <v>306</v>
      </c>
      <c r="E687" s="888" t="s">
        <v>322</v>
      </c>
      <c r="F687" s="888" t="s">
        <v>307</v>
      </c>
      <c r="G687" s="890" t="s">
        <v>2719</v>
      </c>
      <c r="H687" s="888" t="s">
        <v>1047</v>
      </c>
      <c r="I687" s="890" t="s">
        <v>704</v>
      </c>
      <c r="J687" s="888" t="s">
        <v>664</v>
      </c>
      <c r="K687" s="927" t="s">
        <v>1763</v>
      </c>
      <c r="L687" s="888"/>
      <c r="M687" s="898" t="s">
        <v>458</v>
      </c>
      <c r="N687" s="888" t="s">
        <v>665</v>
      </c>
    </row>
    <row r="688" spans="1:14">
      <c r="A688" s="123">
        <v>8</v>
      </c>
      <c r="B688" s="883"/>
      <c r="C688" s="148" t="s">
        <v>2727</v>
      </c>
      <c r="D688" s="889"/>
      <c r="E688" s="889"/>
      <c r="F688" s="889"/>
      <c r="G688" s="891"/>
      <c r="H688" s="889"/>
      <c r="I688" s="891"/>
      <c r="J688" s="889"/>
      <c r="K688" s="928"/>
      <c r="L688" s="889"/>
      <c r="M688" s="899"/>
      <c r="N688" s="889"/>
    </row>
    <row r="689" spans="1:14">
      <c r="A689" s="123">
        <v>8</v>
      </c>
      <c r="B689" s="88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3"/>
      <c r="C690" s="148" t="s">
        <v>2730</v>
      </c>
      <c r="D690" s="888" t="s">
        <v>306</v>
      </c>
      <c r="E690" s="888" t="s">
        <v>322</v>
      </c>
      <c r="F690" s="888" t="s">
        <v>307</v>
      </c>
      <c r="G690" s="890" t="s">
        <v>2731</v>
      </c>
      <c r="H690" s="888" t="s">
        <v>640</v>
      </c>
      <c r="I690" s="890" t="s">
        <v>668</v>
      </c>
      <c r="J690" s="888" t="s">
        <v>349</v>
      </c>
      <c r="K690" s="929" t="s">
        <v>2732</v>
      </c>
      <c r="L690" s="888"/>
      <c r="M690" s="898" t="s">
        <v>2769</v>
      </c>
      <c r="N690" s="888" t="s">
        <v>425</v>
      </c>
    </row>
    <row r="691" spans="1:14">
      <c r="A691" s="123">
        <v>8</v>
      </c>
      <c r="B691" s="884"/>
      <c r="C691" s="148" t="s">
        <v>2723</v>
      </c>
      <c r="D691" s="889"/>
      <c r="E691" s="889"/>
      <c r="F691" s="889"/>
      <c r="G691" s="891"/>
      <c r="H691" s="889"/>
      <c r="I691" s="891"/>
      <c r="J691" s="889"/>
      <c r="K691" s="930"/>
      <c r="L691" s="889"/>
      <c r="M691" s="899"/>
      <c r="N691" s="889"/>
    </row>
    <row r="692" spans="1:14">
      <c r="A692" s="123">
        <v>8</v>
      </c>
      <c r="B692" s="88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3"/>
      <c r="C693" s="888" t="s">
        <v>2768</v>
      </c>
      <c r="D693" s="888" t="s">
        <v>311</v>
      </c>
      <c r="E693" s="888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8" t="s">
        <v>309</v>
      </c>
      <c r="M693" s="898" t="s">
        <v>672</v>
      </c>
      <c r="N693" s="888" t="s">
        <v>2740</v>
      </c>
    </row>
    <row r="694" spans="1:14">
      <c r="A694" s="123">
        <v>8</v>
      </c>
      <c r="B694" s="884"/>
      <c r="C694" s="889"/>
      <c r="D694" s="889"/>
      <c r="E694" s="889"/>
      <c r="F694" s="149" t="s">
        <v>2738</v>
      </c>
      <c r="G694" s="891"/>
      <c r="H694" s="891"/>
      <c r="I694" s="891"/>
      <c r="J694" s="891"/>
      <c r="K694" s="891"/>
      <c r="L694" s="889"/>
      <c r="M694" s="899"/>
      <c r="N694" s="905"/>
    </row>
    <row r="695" spans="1:14">
      <c r="A695" s="123">
        <v>9</v>
      </c>
      <c r="B695" s="88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3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>
      <c r="A698" s="123">
        <v>9</v>
      </c>
      <c r="B698" s="883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>
      <c r="A699" s="123">
        <v>9</v>
      </c>
      <c r="B699" s="883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>
      <c r="A700" s="123">
        <v>9</v>
      </c>
      <c r="B700" s="883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>
      <c r="A701" s="123">
        <v>9</v>
      </c>
      <c r="B701" s="88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>
      <c r="A734" s="123">
        <v>15</v>
      </c>
      <c r="B734" s="88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>
      <c r="A735" s="123">
        <v>15</v>
      </c>
      <c r="B735" s="88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2" t="s">
        <v>3097</v>
      </c>
      <c r="C835" s="148" t="s">
        <v>3079</v>
      </c>
      <c r="D835" s="888" t="s">
        <v>306</v>
      </c>
      <c r="E835" s="888" t="s">
        <v>322</v>
      </c>
      <c r="F835" s="888" t="s">
        <v>307</v>
      </c>
      <c r="G835" s="890" t="s">
        <v>3051</v>
      </c>
      <c r="H835" s="888" t="s">
        <v>1993</v>
      </c>
      <c r="I835" s="890" t="s">
        <v>3052</v>
      </c>
      <c r="J835" s="888" t="s">
        <v>664</v>
      </c>
      <c r="K835" s="148" t="s">
        <v>3081</v>
      </c>
      <c r="L835" s="888"/>
      <c r="M835" s="907" t="s">
        <v>3082</v>
      </c>
      <c r="N835" s="148" t="s">
        <v>3083</v>
      </c>
    </row>
    <row r="836" spans="1:14">
      <c r="A836" s="123">
        <v>29</v>
      </c>
      <c r="B836" s="883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>
      <c r="A837" s="123">
        <v>29</v>
      </c>
      <c r="B837" s="883"/>
      <c r="C837" s="148"/>
      <c r="D837" s="889"/>
      <c r="E837" s="889"/>
      <c r="F837" s="889"/>
      <c r="G837" s="891"/>
      <c r="H837" s="889"/>
      <c r="I837" s="891"/>
      <c r="J837" s="889"/>
      <c r="K837" s="148"/>
      <c r="L837" s="889"/>
      <c r="M837" s="909"/>
      <c r="N837" s="148" t="s">
        <v>3084</v>
      </c>
    </row>
    <row r="838" spans="1:14">
      <c r="A838" s="123">
        <v>29</v>
      </c>
      <c r="B838" s="88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2" t="s">
        <v>21</v>
      </c>
      <c r="C840" s="111" t="s">
        <v>3087</v>
      </c>
      <c r="D840" s="888" t="s">
        <v>311</v>
      </c>
      <c r="E840" s="888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8" t="s">
        <v>309</v>
      </c>
      <c r="M840" s="907" t="s">
        <v>1816</v>
      </c>
      <c r="N840" s="888" t="s">
        <v>3088</v>
      </c>
    </row>
    <row r="841" spans="1:14">
      <c r="A841" s="123">
        <v>29</v>
      </c>
      <c r="B841" s="883"/>
      <c r="C841" s="111" t="s">
        <v>3065</v>
      </c>
      <c r="D841" s="889"/>
      <c r="E841" s="889"/>
      <c r="F841" s="891"/>
      <c r="G841" s="891"/>
      <c r="H841" s="891"/>
      <c r="I841" s="891"/>
      <c r="J841" s="891"/>
      <c r="K841" s="891"/>
      <c r="L841" s="889"/>
      <c r="M841" s="909"/>
      <c r="N841" s="889"/>
    </row>
    <row r="842" spans="1:14">
      <c r="A842" s="123">
        <v>29</v>
      </c>
      <c r="B842" s="88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3"/>
      <c r="C844" s="111" t="s">
        <v>3079</v>
      </c>
      <c r="D844" s="888" t="s">
        <v>311</v>
      </c>
      <c r="E844" s="888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8" t="s">
        <v>309</v>
      </c>
      <c r="M844" s="913" t="s">
        <v>3092</v>
      </c>
      <c r="N844" s="888" t="s">
        <v>1206</v>
      </c>
    </row>
    <row r="845" spans="1:14">
      <c r="A845" s="123">
        <v>29</v>
      </c>
      <c r="B845" s="883"/>
      <c r="C845" s="111" t="s">
        <v>3089</v>
      </c>
      <c r="D845" s="889"/>
      <c r="E845" s="889"/>
      <c r="F845" s="891"/>
      <c r="G845" s="891"/>
      <c r="H845" s="891"/>
      <c r="I845" s="149" t="s">
        <v>3091</v>
      </c>
      <c r="J845" s="891"/>
      <c r="K845" s="891"/>
      <c r="L845" s="889"/>
      <c r="M845" s="914"/>
      <c r="N845" s="889"/>
    </row>
    <row r="846" spans="1:14">
      <c r="A846" s="123">
        <v>29</v>
      </c>
      <c r="B846" s="883"/>
      <c r="C846" s="111" t="s">
        <v>3079</v>
      </c>
      <c r="D846" s="888" t="s">
        <v>311</v>
      </c>
      <c r="E846" s="888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8" t="s">
        <v>309</v>
      </c>
      <c r="M846" s="907" t="s">
        <v>3094</v>
      </c>
      <c r="N846" s="888" t="s">
        <v>3095</v>
      </c>
    </row>
    <row r="847" spans="1:14">
      <c r="A847" s="123">
        <v>29</v>
      </c>
      <c r="B847" s="883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>
      <c r="A848" s="123">
        <v>29</v>
      </c>
      <c r="B848" s="883"/>
      <c r="C848" s="111" t="s">
        <v>3093</v>
      </c>
      <c r="D848" s="889"/>
      <c r="E848" s="889"/>
      <c r="F848" s="891"/>
      <c r="G848" s="891"/>
      <c r="H848" s="891"/>
      <c r="I848" s="891"/>
      <c r="J848" s="891"/>
      <c r="K848" s="891"/>
      <c r="L848" s="889"/>
      <c r="M848" s="909"/>
      <c r="N848" s="889"/>
    </row>
    <row r="849" spans="1:14">
      <c r="A849" s="123">
        <v>29</v>
      </c>
      <c r="B849" s="883"/>
      <c r="C849" s="111" t="s">
        <v>3096</v>
      </c>
      <c r="D849" s="888" t="s">
        <v>311</v>
      </c>
      <c r="E849" s="888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8" t="s">
        <v>309</v>
      </c>
      <c r="M849" s="907" t="s">
        <v>1816</v>
      </c>
      <c r="N849" s="888" t="s">
        <v>3095</v>
      </c>
    </row>
    <row r="850" spans="1:14">
      <c r="A850" s="123">
        <v>29</v>
      </c>
      <c r="B850" s="884"/>
      <c r="C850" s="111" t="s">
        <v>3089</v>
      </c>
      <c r="D850" s="889"/>
      <c r="E850" s="889"/>
      <c r="F850" s="891"/>
      <c r="G850" s="891"/>
      <c r="H850" s="891"/>
      <c r="I850" s="891"/>
      <c r="J850" s="891"/>
      <c r="K850" s="891"/>
      <c r="L850" s="889"/>
      <c r="M850" s="909"/>
      <c r="N850" s="889"/>
    </row>
    <row r="851" spans="1:14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1"/>
      <c r="C853" s="148" t="s">
        <v>3106</v>
      </c>
      <c r="D853" s="888" t="s">
        <v>306</v>
      </c>
      <c r="E853" s="888" t="s">
        <v>322</v>
      </c>
      <c r="F853" s="888" t="s">
        <v>307</v>
      </c>
      <c r="G853" s="890" t="s">
        <v>3051</v>
      </c>
      <c r="H853" s="888" t="s">
        <v>1993</v>
      </c>
      <c r="I853" s="890" t="s">
        <v>3108</v>
      </c>
      <c r="J853" s="888" t="s">
        <v>664</v>
      </c>
      <c r="K853" s="148" t="s">
        <v>3109</v>
      </c>
      <c r="L853" s="888"/>
      <c r="M853" s="898" t="s">
        <v>3110</v>
      </c>
      <c r="N853" s="888" t="s">
        <v>665</v>
      </c>
    </row>
    <row r="854" spans="1:14">
      <c r="A854" s="123">
        <v>30</v>
      </c>
      <c r="B854" s="901"/>
      <c r="C854" s="148" t="s">
        <v>3107</v>
      </c>
      <c r="D854" s="889"/>
      <c r="E854" s="889"/>
      <c r="F854" s="889"/>
      <c r="G854" s="891"/>
      <c r="H854" s="889"/>
      <c r="I854" s="891"/>
      <c r="J854" s="889"/>
      <c r="K854" s="148" t="s">
        <v>655</v>
      </c>
      <c r="L854" s="889"/>
      <c r="M854" s="899"/>
      <c r="N854" s="889"/>
    </row>
    <row r="855" spans="1:14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2" t="s">
        <v>3116</v>
      </c>
      <c r="C856" s="903" t="s">
        <v>3117</v>
      </c>
      <c r="D856" s="888" t="s">
        <v>311</v>
      </c>
      <c r="E856" s="888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8" t="s">
        <v>309</v>
      </c>
      <c r="M856" s="898" t="s">
        <v>1810</v>
      </c>
      <c r="N856" s="148" t="s">
        <v>3119</v>
      </c>
    </row>
    <row r="857" spans="1:14">
      <c r="A857" s="123">
        <v>30</v>
      </c>
      <c r="B857" s="883"/>
      <c r="C857" s="904"/>
      <c r="D857" s="889"/>
      <c r="E857" s="889"/>
      <c r="F857" s="891"/>
      <c r="G857" s="891"/>
      <c r="H857" s="891"/>
      <c r="I857" s="891"/>
      <c r="J857" s="891"/>
      <c r="K857" s="891"/>
      <c r="L857" s="889"/>
      <c r="M857" s="899"/>
      <c r="N857" s="148" t="s">
        <v>3120</v>
      </c>
    </row>
    <row r="858" spans="1:14" ht="16.5" customHeight="1">
      <c r="A858" s="123">
        <v>30</v>
      </c>
      <c r="B858" s="883"/>
      <c r="C858" s="903" t="s">
        <v>3117</v>
      </c>
      <c r="D858" s="888" t="s">
        <v>311</v>
      </c>
      <c r="E858" s="888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8" t="s">
        <v>309</v>
      </c>
      <c r="M858" s="898" t="s">
        <v>1535</v>
      </c>
      <c r="N858" s="888" t="s">
        <v>1772</v>
      </c>
    </row>
    <row r="859" spans="1:14">
      <c r="A859" s="123">
        <v>30</v>
      </c>
      <c r="B859" s="883"/>
      <c r="C859" s="904"/>
      <c r="D859" s="889"/>
      <c r="E859" s="889"/>
      <c r="F859" s="891"/>
      <c r="G859" s="149">
        <v>2651</v>
      </c>
      <c r="H859" s="891"/>
      <c r="I859" s="891"/>
      <c r="J859" s="891"/>
      <c r="K859" s="891"/>
      <c r="L859" s="889"/>
      <c r="M859" s="899"/>
      <c r="N859" s="889"/>
    </row>
    <row r="860" spans="1:14">
      <c r="A860" s="123">
        <v>30</v>
      </c>
      <c r="B860" s="883"/>
      <c r="C860" s="903" t="s">
        <v>3123</v>
      </c>
      <c r="D860" s="888" t="s">
        <v>311</v>
      </c>
      <c r="E860" s="888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8" t="s">
        <v>309</v>
      </c>
      <c r="M860" s="898" t="s">
        <v>1933</v>
      </c>
      <c r="N860" s="888" t="s">
        <v>1206</v>
      </c>
    </row>
    <row r="861" spans="1:14">
      <c r="A861" s="123">
        <v>30</v>
      </c>
      <c r="B861" s="883"/>
      <c r="C861" s="904"/>
      <c r="D861" s="889"/>
      <c r="E861" s="889"/>
      <c r="F861" s="891"/>
      <c r="G861" s="891"/>
      <c r="H861" s="891"/>
      <c r="I861" s="149" t="s">
        <v>3125</v>
      </c>
      <c r="J861" s="891"/>
      <c r="K861" s="891"/>
      <c r="L861" s="889"/>
      <c r="M861" s="899"/>
      <c r="N861" s="889"/>
    </row>
    <row r="862" spans="1:14">
      <c r="A862" s="123">
        <v>30</v>
      </c>
      <c r="B862" s="883"/>
      <c r="C862" s="111" t="s">
        <v>3127</v>
      </c>
      <c r="D862" s="888" t="s">
        <v>311</v>
      </c>
      <c r="E862" s="888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8" t="s">
        <v>309</v>
      </c>
      <c r="M862" s="898" t="s">
        <v>1535</v>
      </c>
      <c r="N862" s="888" t="s">
        <v>1206</v>
      </c>
    </row>
    <row r="863" spans="1:14">
      <c r="A863" s="123">
        <v>30</v>
      </c>
      <c r="B863" s="883"/>
      <c r="C863" s="111" t="s">
        <v>3128</v>
      </c>
      <c r="D863" s="889"/>
      <c r="E863" s="889"/>
      <c r="F863" s="891"/>
      <c r="G863" s="891"/>
      <c r="H863" s="891"/>
      <c r="I863" s="891"/>
      <c r="J863" s="891"/>
      <c r="K863" s="891"/>
      <c r="L863" s="889"/>
      <c r="M863" s="899"/>
      <c r="N863" s="889"/>
    </row>
    <row r="864" spans="1:14">
      <c r="A864" s="123">
        <v>30</v>
      </c>
      <c r="B864" s="883"/>
      <c r="C864" s="111" t="s">
        <v>3130</v>
      </c>
      <c r="D864" s="888" t="s">
        <v>311</v>
      </c>
      <c r="E864" s="888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8" t="s">
        <v>309</v>
      </c>
      <c r="M864" s="898" t="s">
        <v>1810</v>
      </c>
      <c r="N864" s="888" t="s">
        <v>1206</v>
      </c>
    </row>
    <row r="865" spans="1:14">
      <c r="A865" s="123">
        <v>30</v>
      </c>
      <c r="B865" s="883"/>
      <c r="C865" s="111" t="s">
        <v>3107</v>
      </c>
      <c r="D865" s="889"/>
      <c r="E865" s="889"/>
      <c r="F865" s="891"/>
      <c r="G865" s="891"/>
      <c r="H865" s="891"/>
      <c r="I865" s="891"/>
      <c r="J865" s="891"/>
      <c r="K865" s="891"/>
      <c r="L865" s="889"/>
      <c r="M865" s="899"/>
      <c r="N865" s="889"/>
    </row>
    <row r="866" spans="1:14" ht="25.5">
      <c r="A866" s="123">
        <v>30</v>
      </c>
      <c r="B866" s="88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3"/>
      <c r="C867" s="903" t="s">
        <v>3111</v>
      </c>
      <c r="D867" s="888" t="s">
        <v>311</v>
      </c>
      <c r="E867" s="888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8" t="s">
        <v>309</v>
      </c>
      <c r="M867" s="898" t="s">
        <v>1828</v>
      </c>
      <c r="N867" s="888" t="s">
        <v>3136</v>
      </c>
    </row>
    <row r="868" spans="1:14">
      <c r="A868" s="123">
        <v>30</v>
      </c>
      <c r="B868" s="884"/>
      <c r="C868" s="904"/>
      <c r="D868" s="889"/>
      <c r="E868" s="889"/>
      <c r="F868" s="891"/>
      <c r="G868" s="891"/>
      <c r="H868" s="891"/>
      <c r="I868" s="149" t="s">
        <v>3135</v>
      </c>
      <c r="J868" s="891"/>
      <c r="K868" s="891"/>
      <c r="L868" s="889"/>
      <c r="M868" s="899"/>
      <c r="N868" s="889"/>
    </row>
    <row r="869" spans="1:14">
      <c r="A869" s="123">
        <v>31</v>
      </c>
      <c r="B869" s="88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3"/>
      <c r="C870" s="148" t="s">
        <v>3140</v>
      </c>
      <c r="D870" s="888" t="s">
        <v>306</v>
      </c>
      <c r="E870" s="888" t="s">
        <v>322</v>
      </c>
      <c r="F870" s="888" t="s">
        <v>307</v>
      </c>
      <c r="G870" s="890">
        <v>1566</v>
      </c>
      <c r="H870" s="888" t="s">
        <v>1911</v>
      </c>
      <c r="I870" s="890" t="s">
        <v>3142</v>
      </c>
      <c r="J870" s="888" t="s">
        <v>664</v>
      </c>
      <c r="K870" s="888" t="s">
        <v>3143</v>
      </c>
      <c r="L870" s="888"/>
      <c r="M870" s="898" t="s">
        <v>3144</v>
      </c>
      <c r="N870" s="888" t="s">
        <v>665</v>
      </c>
    </row>
    <row r="871" spans="1:14">
      <c r="A871" s="123">
        <v>31</v>
      </c>
      <c r="B871" s="883"/>
      <c r="C871" s="148" t="s">
        <v>3141</v>
      </c>
      <c r="D871" s="889"/>
      <c r="E871" s="889"/>
      <c r="F871" s="889"/>
      <c r="G871" s="891"/>
      <c r="H871" s="889"/>
      <c r="I871" s="891"/>
      <c r="J871" s="889"/>
      <c r="K871" s="889"/>
      <c r="L871" s="889"/>
      <c r="M871" s="899"/>
      <c r="N871" s="889"/>
    </row>
    <row r="872" spans="1:14">
      <c r="A872" s="123">
        <v>31</v>
      </c>
      <c r="B872" s="88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3"/>
      <c r="C873" s="388" t="s">
        <v>3140</v>
      </c>
      <c r="D873" s="888" t="s">
        <v>306</v>
      </c>
      <c r="E873" s="888" t="s">
        <v>322</v>
      </c>
      <c r="F873" s="888" t="s">
        <v>307</v>
      </c>
      <c r="G873" s="890" t="s">
        <v>3147</v>
      </c>
      <c r="H873" s="888" t="s">
        <v>3148</v>
      </c>
      <c r="I873" s="890" t="s">
        <v>332</v>
      </c>
      <c r="J873" s="888" t="s">
        <v>1534</v>
      </c>
      <c r="K873" s="888" t="s">
        <v>1157</v>
      </c>
      <c r="L873" s="888"/>
      <c r="M873" s="898" t="s">
        <v>3149</v>
      </c>
      <c r="N873" s="888" t="s">
        <v>425</v>
      </c>
    </row>
    <row r="874" spans="1:14">
      <c r="A874" s="123">
        <v>31</v>
      </c>
      <c r="B874" s="884"/>
      <c r="C874" s="388" t="s">
        <v>3146</v>
      </c>
      <c r="D874" s="889"/>
      <c r="E874" s="889"/>
      <c r="F874" s="889"/>
      <c r="G874" s="891"/>
      <c r="H874" s="889"/>
      <c r="I874" s="891"/>
      <c r="J874" s="889"/>
      <c r="K874" s="889"/>
      <c r="L874" s="889"/>
      <c r="M874" s="899"/>
      <c r="N874" s="889"/>
    </row>
    <row r="875" spans="1:14">
      <c r="A875" s="123">
        <v>31</v>
      </c>
      <c r="B875" s="88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3"/>
      <c r="C876" s="888" t="s">
        <v>3128</v>
      </c>
      <c r="D876" s="888" t="s">
        <v>311</v>
      </c>
      <c r="E876" s="888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8" t="s">
        <v>309</v>
      </c>
      <c r="M876" s="898" t="s">
        <v>3139</v>
      </c>
      <c r="N876" s="888" t="s">
        <v>3152</v>
      </c>
    </row>
    <row r="877" spans="1:14">
      <c r="A877" s="123">
        <v>31</v>
      </c>
      <c r="B877" s="883"/>
      <c r="C877" s="889"/>
      <c r="D877" s="889"/>
      <c r="E877" s="889"/>
      <c r="F877" s="891"/>
      <c r="G877" s="891"/>
      <c r="H877" s="891"/>
      <c r="I877" s="149" t="s">
        <v>3135</v>
      </c>
      <c r="J877" s="891"/>
      <c r="K877" s="891"/>
      <c r="L877" s="889"/>
      <c r="M877" s="899"/>
      <c r="N877" s="889"/>
    </row>
    <row r="878" spans="1:14" ht="16.5" customHeight="1">
      <c r="A878" s="123">
        <v>31</v>
      </c>
      <c r="B878" s="883"/>
      <c r="C878" s="148" t="s">
        <v>3153</v>
      </c>
      <c r="D878" s="888" t="s">
        <v>311</v>
      </c>
      <c r="E878" s="888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8" t="s">
        <v>309</v>
      </c>
      <c r="M878" s="898" t="s">
        <v>3156</v>
      </c>
      <c r="N878" s="888" t="s">
        <v>3151</v>
      </c>
    </row>
    <row r="879" spans="1:14">
      <c r="A879" s="123">
        <v>31</v>
      </c>
      <c r="B879" s="883"/>
      <c r="C879" s="148" t="s">
        <v>3111</v>
      </c>
      <c r="D879" s="889"/>
      <c r="E879" s="889"/>
      <c r="F879" s="891"/>
      <c r="G879" s="891"/>
      <c r="H879" s="891"/>
      <c r="I879" s="891"/>
      <c r="J879" s="891"/>
      <c r="K879" s="891"/>
      <c r="L879" s="889"/>
      <c r="M879" s="899"/>
      <c r="N879" s="889"/>
    </row>
    <row r="880" spans="1:14">
      <c r="A880" s="123">
        <v>31</v>
      </c>
      <c r="B880" s="88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3"/>
      <c r="C883" s="111" t="s">
        <v>3166</v>
      </c>
      <c r="D883" s="888" t="s">
        <v>311</v>
      </c>
      <c r="E883" s="888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8" t="s">
        <v>309</v>
      </c>
      <c r="M883" s="898" t="s">
        <v>3173</v>
      </c>
      <c r="N883" s="888" t="s">
        <v>3136</v>
      </c>
    </row>
    <row r="884" spans="1:14">
      <c r="A884" s="123">
        <v>31</v>
      </c>
      <c r="B884" s="884"/>
      <c r="C884" s="111" t="s">
        <v>3167</v>
      </c>
      <c r="D884" s="889"/>
      <c r="E884" s="889"/>
      <c r="F884" s="891"/>
      <c r="G884" s="891"/>
      <c r="H884" s="891"/>
      <c r="I884" s="891"/>
      <c r="J884" s="891"/>
      <c r="K884" s="891"/>
      <c r="L884" s="889"/>
      <c r="M884" s="899"/>
      <c r="N884" s="889"/>
    </row>
    <row r="885" spans="1:14" ht="27">
      <c r="A885" s="123">
        <v>32</v>
      </c>
      <c r="B885" s="89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5"/>
      <c r="C1208" s="1030" t="s">
        <v>5007</v>
      </c>
      <c r="D1208" s="1028" t="s">
        <v>311</v>
      </c>
      <c r="E1208" s="1028" t="s">
        <v>675</v>
      </c>
      <c r="F1208" s="1030" t="s">
        <v>337</v>
      </c>
      <c r="G1208" s="1030" t="s">
        <v>353</v>
      </c>
      <c r="H1208" s="1030" t="s">
        <v>5008</v>
      </c>
      <c r="I1208" s="476" t="s">
        <v>5009</v>
      </c>
      <c r="J1208" s="1030" t="s">
        <v>638</v>
      </c>
      <c r="K1208" s="1030" t="s">
        <v>713</v>
      </c>
      <c r="L1208" s="1028" t="s">
        <v>309</v>
      </c>
      <c r="M1208" s="1029">
        <v>250000</v>
      </c>
      <c r="N1208" s="1028" t="s">
        <v>4990</v>
      </c>
    </row>
    <row r="1209" spans="1:14">
      <c r="A1209" s="123">
        <v>2</v>
      </c>
      <c r="B1209" s="885"/>
      <c r="C1209" s="1030"/>
      <c r="D1209" s="1028"/>
      <c r="E1209" s="1028"/>
      <c r="F1209" s="1030"/>
      <c r="G1209" s="1030"/>
      <c r="H1209" s="1030"/>
      <c r="I1209" s="476" t="s">
        <v>5010</v>
      </c>
      <c r="J1209" s="1030"/>
      <c r="K1209" s="1030"/>
      <c r="L1209" s="1028"/>
      <c r="M1209" s="1029"/>
      <c r="N1209" s="1028"/>
    </row>
    <row r="1210" spans="1:14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5"/>
      <c r="C1222" s="1030" t="s">
        <v>5033</v>
      </c>
      <c r="D1222" s="1028" t="s">
        <v>311</v>
      </c>
      <c r="E1222" s="1028" t="s">
        <v>675</v>
      </c>
      <c r="F1222" s="149" t="s">
        <v>5034</v>
      </c>
      <c r="G1222" s="149" t="s">
        <v>5036</v>
      </c>
      <c r="H1222" s="1030" t="s">
        <v>347</v>
      </c>
      <c r="I1222" s="149" t="s">
        <v>5038</v>
      </c>
      <c r="J1222" s="1030"/>
      <c r="K1222" s="1030" t="s">
        <v>705</v>
      </c>
      <c r="L1222" s="1028" t="s">
        <v>309</v>
      </c>
      <c r="M1222" s="1029">
        <v>500000</v>
      </c>
      <c r="N1222" s="1028" t="s">
        <v>5032</v>
      </c>
    </row>
    <row r="1223" spans="1:14">
      <c r="A1223" s="123">
        <v>3</v>
      </c>
      <c r="B1223" s="885"/>
      <c r="C1223" s="1030"/>
      <c r="D1223" s="1028"/>
      <c r="E1223" s="1028"/>
      <c r="F1223" s="149" t="s">
        <v>5035</v>
      </c>
      <c r="G1223" s="149" t="s">
        <v>5037</v>
      </c>
      <c r="H1223" s="1030"/>
      <c r="I1223" s="149" t="s">
        <v>5039</v>
      </c>
      <c r="J1223" s="1030"/>
      <c r="K1223" s="1030"/>
      <c r="L1223" s="1028"/>
      <c r="M1223" s="1029"/>
      <c r="N1223" s="1028"/>
    </row>
    <row r="1224" spans="1:14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5"/>
      <c r="C1250" s="1030" t="s">
        <v>5098</v>
      </c>
      <c r="D1250" s="1028" t="s">
        <v>311</v>
      </c>
      <c r="E1250" s="1028" t="s">
        <v>675</v>
      </c>
      <c r="F1250" s="1028" t="s">
        <v>4986</v>
      </c>
      <c r="G1250" s="1028">
        <v>1017</v>
      </c>
      <c r="H1250" s="1028" t="s">
        <v>347</v>
      </c>
      <c r="I1250" s="149" t="s">
        <v>5099</v>
      </c>
      <c r="J1250" s="1030"/>
      <c r="K1250" s="1030" t="s">
        <v>692</v>
      </c>
      <c r="L1250" s="1028" t="s">
        <v>309</v>
      </c>
      <c r="M1250" s="1029">
        <v>500000</v>
      </c>
      <c r="N1250" s="1028" t="s">
        <v>5032</v>
      </c>
    </row>
    <row r="1251" spans="1:14">
      <c r="A1251" s="123">
        <v>5</v>
      </c>
      <c r="B1251" s="885"/>
      <c r="C1251" s="1030"/>
      <c r="D1251" s="1028"/>
      <c r="E1251" s="1028"/>
      <c r="F1251" s="1028"/>
      <c r="G1251" s="1028"/>
      <c r="H1251" s="1028"/>
      <c r="I1251" s="149" t="s">
        <v>5100</v>
      </c>
      <c r="J1251" s="1030"/>
      <c r="K1251" s="1030"/>
      <c r="L1251" s="1028"/>
      <c r="M1251" s="1029"/>
      <c r="N1251" s="1028"/>
    </row>
    <row r="1252" spans="1:14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5"/>
      <c r="C1254" s="1030" t="s">
        <v>5103</v>
      </c>
      <c r="D1254" s="1028" t="s">
        <v>311</v>
      </c>
      <c r="E1254" s="1028" t="s">
        <v>675</v>
      </c>
      <c r="F1254" s="1030" t="s">
        <v>5070</v>
      </c>
      <c r="G1254" s="1030">
        <v>3006</v>
      </c>
      <c r="H1254" s="1030" t="s">
        <v>347</v>
      </c>
      <c r="I1254" s="476" t="s">
        <v>5104</v>
      </c>
      <c r="J1254" s="1030"/>
      <c r="K1254" s="1030" t="s">
        <v>705</v>
      </c>
      <c r="L1254" s="1028" t="s">
        <v>309</v>
      </c>
      <c r="M1254" s="1029">
        <v>500000</v>
      </c>
      <c r="N1254" s="1028" t="s">
        <v>5032</v>
      </c>
    </row>
    <row r="1255" spans="1:14">
      <c r="A1255" s="123">
        <v>5</v>
      </c>
      <c r="B1255" s="885"/>
      <c r="C1255" s="1030"/>
      <c r="D1255" s="1028"/>
      <c r="E1255" s="1028"/>
      <c r="F1255" s="1030"/>
      <c r="G1255" s="1030"/>
      <c r="H1255" s="1030"/>
      <c r="I1255" s="476" t="s">
        <v>5105</v>
      </c>
      <c r="J1255" s="1030"/>
      <c r="K1255" s="1030"/>
      <c r="L1255" s="1028"/>
      <c r="M1255" s="1029"/>
      <c r="N1255" s="1028"/>
    </row>
    <row r="1256" spans="1:14">
      <c r="A1256" s="123">
        <v>5</v>
      </c>
      <c r="B1256" s="885"/>
      <c r="C1256" s="1030" t="s">
        <v>5103</v>
      </c>
      <c r="D1256" s="1028" t="s">
        <v>311</v>
      </c>
      <c r="E1256" s="1028" t="s">
        <v>675</v>
      </c>
      <c r="F1256" s="1030" t="s">
        <v>5070</v>
      </c>
      <c r="G1256" s="1030">
        <v>3006</v>
      </c>
      <c r="H1256" s="1030" t="s">
        <v>347</v>
      </c>
      <c r="I1256" s="476" t="s">
        <v>5104</v>
      </c>
      <c r="J1256" s="1030"/>
      <c r="K1256" s="1030" t="s">
        <v>4936</v>
      </c>
      <c r="L1256" s="1028" t="s">
        <v>309</v>
      </c>
      <c r="M1256" s="1029">
        <v>600000</v>
      </c>
      <c r="N1256" s="1028" t="s">
        <v>5032</v>
      </c>
    </row>
    <row r="1257" spans="1:14">
      <c r="A1257" s="123">
        <v>5</v>
      </c>
      <c r="B1257" s="885"/>
      <c r="C1257" s="1030"/>
      <c r="D1257" s="1028"/>
      <c r="E1257" s="1028"/>
      <c r="F1257" s="1030"/>
      <c r="G1257" s="1030"/>
      <c r="H1257" s="1030"/>
      <c r="I1257" s="476" t="s">
        <v>5105</v>
      </c>
      <c r="J1257" s="1030"/>
      <c r="K1257" s="1030"/>
      <c r="L1257" s="1028"/>
      <c r="M1257" s="1029"/>
      <c r="N1257" s="1028"/>
    </row>
    <row r="1258" spans="1:14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5"/>
      <c r="C1268" s="1030" t="s">
        <v>5122</v>
      </c>
      <c r="D1268" s="1028" t="s">
        <v>311</v>
      </c>
      <c r="E1268" s="1028" t="s">
        <v>675</v>
      </c>
      <c r="F1268" s="149" t="s">
        <v>5123</v>
      </c>
      <c r="G1268" s="475" t="s">
        <v>5125</v>
      </c>
      <c r="H1268" s="389" t="s">
        <v>347</v>
      </c>
      <c r="I1268" s="1030" t="s">
        <v>5128</v>
      </c>
      <c r="J1268" s="1030" t="s">
        <v>638</v>
      </c>
      <c r="K1268" s="1030" t="s">
        <v>692</v>
      </c>
      <c r="L1268" s="1028" t="s">
        <v>309</v>
      </c>
      <c r="M1268" s="1029">
        <v>500000</v>
      </c>
      <c r="N1268" s="1028" t="s">
        <v>1772</v>
      </c>
    </row>
    <row r="1269" spans="1:14">
      <c r="A1269" s="123">
        <v>6</v>
      </c>
      <c r="B1269" s="885"/>
      <c r="C1269" s="1030"/>
      <c r="D1269" s="1028"/>
      <c r="E1269" s="1028"/>
      <c r="F1269" s="149" t="s">
        <v>5124</v>
      </c>
      <c r="G1269" s="475" t="s">
        <v>5126</v>
      </c>
      <c r="H1269" s="389" t="s">
        <v>5127</v>
      </c>
      <c r="I1269" s="1030"/>
      <c r="J1269" s="1030"/>
      <c r="K1269" s="1030"/>
      <c r="L1269" s="1028"/>
      <c r="M1269" s="1029"/>
      <c r="N1269" s="1028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5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1028" t="s">
        <v>5032</v>
      </c>
    </row>
    <row r="1290" spans="1:14" ht="19.5">
      <c r="A1290" s="123">
        <v>8</v>
      </c>
      <c r="B1290" s="885"/>
      <c r="C1290" s="1030"/>
      <c r="D1290" s="1028"/>
      <c r="E1290" s="1028"/>
      <c r="F1290" s="149" t="s">
        <v>5124</v>
      </c>
      <c r="G1290" s="475" t="s">
        <v>5126</v>
      </c>
      <c r="H1290" s="477" t="s">
        <v>5127</v>
      </c>
      <c r="I1290" s="1030"/>
      <c r="J1290" s="1030"/>
      <c r="K1290" s="1030"/>
      <c r="L1290" s="1028"/>
      <c r="M1290" s="1029"/>
      <c r="N1290" s="1028"/>
    </row>
    <row r="1291" spans="1:14">
      <c r="A1291" s="123">
        <v>8</v>
      </c>
      <c r="B1291" s="885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1028" t="s">
        <v>5032</v>
      </c>
    </row>
    <row r="1292" spans="1:14">
      <c r="A1292" s="123">
        <v>8</v>
      </c>
      <c r="B1292" s="885"/>
      <c r="C1292" s="1030"/>
      <c r="D1292" s="1028"/>
      <c r="E1292" s="1028"/>
      <c r="F1292" s="1035"/>
      <c r="G1292" s="1030"/>
      <c r="H1292" s="1030"/>
      <c r="I1292" s="149" t="s">
        <v>5160</v>
      </c>
      <c r="J1292" s="1030"/>
      <c r="K1292" s="1030"/>
      <c r="L1292" s="1028"/>
      <c r="M1292" s="1029"/>
      <c r="N1292" s="1028"/>
    </row>
    <row r="1293" spans="1:14">
      <c r="A1293" s="123">
        <v>8</v>
      </c>
      <c r="B1293" s="885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1028" t="s">
        <v>1206</v>
      </c>
    </row>
    <row r="1294" spans="1:14">
      <c r="A1294" s="123">
        <v>8</v>
      </c>
      <c r="B1294" s="885"/>
      <c r="C1294" s="1030"/>
      <c r="D1294" s="1028"/>
      <c r="E1294" s="1028"/>
      <c r="F1294" s="1030"/>
      <c r="G1294" s="1030"/>
      <c r="H1294" s="1030"/>
      <c r="I1294" s="149" t="s">
        <v>5162</v>
      </c>
      <c r="J1294" s="1030"/>
      <c r="K1294" s="1030"/>
      <c r="L1294" s="1028"/>
      <c r="M1294" s="1029"/>
      <c r="N1294" s="1028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5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1028" t="s">
        <v>5032</v>
      </c>
    </row>
    <row r="1305" spans="1:14">
      <c r="A1305" s="123">
        <v>9</v>
      </c>
      <c r="B1305" s="885"/>
      <c r="C1305" s="1030"/>
      <c r="D1305" s="1028"/>
      <c r="E1305" s="1028"/>
      <c r="F1305" s="1030"/>
      <c r="G1305" s="1030"/>
      <c r="H1305" s="1030"/>
      <c r="I1305" s="476" t="s">
        <v>5177</v>
      </c>
      <c r="J1305" s="1030"/>
      <c r="K1305" s="1030"/>
      <c r="L1305" s="1028"/>
      <c r="M1305" s="1029"/>
      <c r="N1305" s="1028"/>
    </row>
    <row r="1306" spans="1:14">
      <c r="A1306" s="123">
        <v>9</v>
      </c>
      <c r="B1306" s="885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1028" t="s">
        <v>5032</v>
      </c>
    </row>
    <row r="1307" spans="1:14">
      <c r="A1307" s="123">
        <v>9</v>
      </c>
      <c r="B1307" s="885"/>
      <c r="C1307" s="1030"/>
      <c r="D1307" s="1028"/>
      <c r="E1307" s="1028"/>
      <c r="F1307" s="1030"/>
      <c r="G1307" s="149" t="s">
        <v>5179</v>
      </c>
      <c r="H1307" s="1030"/>
      <c r="I1307" s="149" t="s">
        <v>5181</v>
      </c>
      <c r="J1307" s="1030"/>
      <c r="K1307" s="1030"/>
      <c r="L1307" s="1028"/>
      <c r="M1307" s="1029"/>
      <c r="N1307" s="1028"/>
    </row>
    <row r="1308" spans="1:14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5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1028" t="s">
        <v>5032</v>
      </c>
    </row>
    <row r="1310" spans="1:14">
      <c r="A1310" s="123">
        <v>9</v>
      </c>
      <c r="B1310" s="885"/>
      <c r="C1310" s="1030"/>
      <c r="D1310" s="1028"/>
      <c r="E1310" s="1028"/>
      <c r="F1310" s="1030"/>
      <c r="G1310" s="149" t="s">
        <v>5184</v>
      </c>
      <c r="H1310" s="1030"/>
      <c r="I1310" s="1030"/>
      <c r="J1310" s="1030"/>
      <c r="K1310" s="1030"/>
      <c r="L1310" s="1028"/>
      <c r="M1310" s="1029"/>
      <c r="N1310" s="1028"/>
    </row>
    <row r="1311" spans="1:14" ht="24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5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1028" t="s">
        <v>1925</v>
      </c>
    </row>
    <row r="1313" spans="1:14">
      <c r="A1313" s="123">
        <v>9</v>
      </c>
      <c r="B1313" s="885"/>
      <c r="C1313" s="1030"/>
      <c r="D1313" s="1028"/>
      <c r="E1313" s="1028"/>
      <c r="F1313" s="1030"/>
      <c r="G1313" s="475" t="s">
        <v>5189</v>
      </c>
      <c r="H1313" s="1030"/>
      <c r="I1313" s="1030"/>
      <c r="J1313" s="1030"/>
      <c r="K1313" s="1030"/>
      <c r="L1313" s="1028"/>
      <c r="M1313" s="1037"/>
      <c r="N1313" s="1028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5"/>
      <c r="C1321" s="1030" t="s">
        <v>5201</v>
      </c>
      <c r="D1321" s="1028" t="s">
        <v>311</v>
      </c>
      <c r="E1321" s="1028" t="s">
        <v>320</v>
      </c>
      <c r="F1321" s="1030" t="s">
        <v>337</v>
      </c>
      <c r="G1321" s="1030" t="s">
        <v>3168</v>
      </c>
      <c r="H1321" s="1030" t="s">
        <v>3057</v>
      </c>
      <c r="I1321" s="476" t="s">
        <v>5176</v>
      </c>
      <c r="J1321" s="1030" t="s">
        <v>638</v>
      </c>
      <c r="K1321" s="1030" t="s">
        <v>705</v>
      </c>
      <c r="L1321" s="1028" t="s">
        <v>309</v>
      </c>
      <c r="M1321" s="1029">
        <v>500000</v>
      </c>
      <c r="N1321" s="1028" t="s">
        <v>1206</v>
      </c>
    </row>
    <row r="1322" spans="1:14">
      <c r="A1322" s="123">
        <v>10</v>
      </c>
      <c r="B1322" s="885"/>
      <c r="C1322" s="1030"/>
      <c r="D1322" s="1028"/>
      <c r="E1322" s="1028"/>
      <c r="F1322" s="1030"/>
      <c r="G1322" s="1030"/>
      <c r="H1322" s="1030"/>
      <c r="I1322" s="476" t="s">
        <v>5177</v>
      </c>
      <c r="J1322" s="1030"/>
      <c r="K1322" s="1030"/>
      <c r="L1322" s="1028"/>
      <c r="M1322" s="1029"/>
      <c r="N1322" s="1028"/>
    </row>
    <row r="1323" spans="1:14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5"/>
      <c r="C1326" s="1030" t="s">
        <v>5202</v>
      </c>
      <c r="D1326" s="1028" t="s">
        <v>311</v>
      </c>
      <c r="E1326" s="1028" t="s">
        <v>320</v>
      </c>
      <c r="F1326" s="1030" t="s">
        <v>337</v>
      </c>
      <c r="G1326" s="1030" t="s">
        <v>3168</v>
      </c>
      <c r="H1326" s="1030" t="s">
        <v>3057</v>
      </c>
      <c r="I1326" s="476" t="s">
        <v>5176</v>
      </c>
      <c r="J1326" s="1030"/>
      <c r="K1326" s="1030" t="s">
        <v>705</v>
      </c>
      <c r="L1326" s="1028" t="s">
        <v>309</v>
      </c>
      <c r="M1326" s="1029">
        <v>500000</v>
      </c>
      <c r="N1326" s="1028" t="s">
        <v>1206</v>
      </c>
    </row>
    <row r="1327" spans="1:14">
      <c r="A1327" s="123">
        <v>10</v>
      </c>
      <c r="B1327" s="885"/>
      <c r="C1327" s="1030"/>
      <c r="D1327" s="1028"/>
      <c r="E1327" s="1028"/>
      <c r="F1327" s="1030"/>
      <c r="G1327" s="1030"/>
      <c r="H1327" s="1030"/>
      <c r="I1327" s="476" t="s">
        <v>5177</v>
      </c>
      <c r="J1327" s="1030"/>
      <c r="K1327" s="1030"/>
      <c r="L1327" s="1028"/>
      <c r="M1327" s="1029"/>
      <c r="N1327" s="1028"/>
    </row>
    <row r="1328" spans="1:14" ht="25.5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5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1028" t="s">
        <v>5032</v>
      </c>
    </row>
    <row r="1330" spans="1:14">
      <c r="A1330" s="123">
        <v>10</v>
      </c>
      <c r="B1330" s="885"/>
      <c r="C1330" s="1030"/>
      <c r="D1330" s="1028"/>
      <c r="E1330" s="1028"/>
      <c r="F1330" s="149" t="s">
        <v>5211</v>
      </c>
      <c r="G1330" s="1030"/>
      <c r="H1330" s="1030"/>
      <c r="I1330" s="1030"/>
      <c r="J1330" s="1030"/>
      <c r="K1330" s="1030"/>
      <c r="L1330" s="1028"/>
      <c r="M1330" s="1029"/>
      <c r="N1330" s="1028"/>
    </row>
    <row r="1331" spans="1:14">
      <c r="A1331" s="123">
        <v>10</v>
      </c>
      <c r="B1331" s="885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1028" t="s">
        <v>5032</v>
      </c>
    </row>
    <row r="1332" spans="1:14">
      <c r="A1332" s="123">
        <v>10</v>
      </c>
      <c r="B1332" s="885"/>
      <c r="C1332" s="1030"/>
      <c r="D1332" s="1028"/>
      <c r="E1332" s="1028"/>
      <c r="F1332" s="1030"/>
      <c r="G1332" s="475" t="s">
        <v>5215</v>
      </c>
      <c r="H1332" s="1043"/>
      <c r="I1332" s="149" t="s">
        <v>5217</v>
      </c>
      <c r="J1332" s="1030"/>
      <c r="K1332" s="1030"/>
      <c r="L1332" s="1028"/>
      <c r="M1332" s="1029"/>
      <c r="N1332" s="1028"/>
    </row>
    <row r="1333" spans="1:14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5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>
      <c r="A1340" s="123">
        <v>11</v>
      </c>
      <c r="B1340" s="885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0" t="s">
        <v>5443</v>
      </c>
    </row>
    <row r="1370" spans="1:14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0"/>
    </row>
    <row r="1371" spans="1:14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3"/>
      <c r="C1439" s="866" t="s">
        <v>5860</v>
      </c>
      <c r="D1439" s="867" t="s">
        <v>311</v>
      </c>
      <c r="E1439" s="867" t="s">
        <v>320</v>
      </c>
      <c r="F1439" s="868" t="s">
        <v>5188</v>
      </c>
      <c r="G1439" s="678" t="s">
        <v>1919</v>
      </c>
      <c r="H1439" s="868" t="s">
        <v>347</v>
      </c>
      <c r="I1439" s="868" t="s">
        <v>5870</v>
      </c>
      <c r="J1439" s="868"/>
      <c r="K1439" s="868" t="s">
        <v>692</v>
      </c>
      <c r="L1439" s="867" t="s">
        <v>309</v>
      </c>
      <c r="M1439" s="869">
        <v>500000</v>
      </c>
      <c r="N1439" s="870"/>
    </row>
    <row r="1440" spans="1:14">
      <c r="A1440" s="728">
        <v>20</v>
      </c>
      <c r="B1440" s="883"/>
      <c r="C1440" s="866"/>
      <c r="D1440" s="867"/>
      <c r="E1440" s="867"/>
      <c r="F1440" s="868"/>
      <c r="G1440" s="678" t="s">
        <v>5189</v>
      </c>
      <c r="H1440" s="868"/>
      <c r="I1440" s="868"/>
      <c r="J1440" s="868"/>
      <c r="K1440" s="868"/>
      <c r="L1440" s="867"/>
      <c r="M1440" s="869"/>
      <c r="N1440" s="870"/>
    </row>
    <row r="1441" spans="1:14" ht="24">
      <c r="A1441" s="728">
        <v>20</v>
      </c>
      <c r="B1441" s="88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3" t="s">
        <v>5942</v>
      </c>
    </row>
    <row r="1454" spans="1:14">
      <c r="A1454" s="740">
        <v>22</v>
      </c>
      <c r="B1454" s="87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4"/>
    </row>
    <row r="1455" spans="1:14">
      <c r="A1455" s="740">
        <v>22</v>
      </c>
      <c r="B1455" s="87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6" t="s">
        <v>3274</v>
      </c>
      <c r="K1459" s="876" t="s">
        <v>3454</v>
      </c>
      <c r="L1459" s="664" t="s">
        <v>3265</v>
      </c>
      <c r="M1459" s="878">
        <v>250000</v>
      </c>
      <c r="N1459" s="725" t="s">
        <v>5964</v>
      </c>
    </row>
    <row r="1460" spans="1:14">
      <c r="A1460" s="740">
        <v>22</v>
      </c>
      <c r="B1460" s="87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7"/>
      <c r="K1460" s="877"/>
      <c r="L1460" s="664" t="s">
        <v>3265</v>
      </c>
      <c r="M1460" s="879"/>
      <c r="N1460" s="725" t="s">
        <v>5965</v>
      </c>
    </row>
    <row r="1461" spans="1:14">
      <c r="A1461" s="740">
        <v>22</v>
      </c>
      <c r="B1461" s="87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0" t="s">
        <v>5920</v>
      </c>
      <c r="L1464" s="664" t="s">
        <v>15</v>
      </c>
      <c r="M1464" s="878">
        <v>500000</v>
      </c>
      <c r="N1464" s="725" t="s">
        <v>5969</v>
      </c>
    </row>
    <row r="1465" spans="1:14">
      <c r="A1465" s="740">
        <v>22</v>
      </c>
      <c r="B1465" s="87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1"/>
      <c r="L1465" s="664" t="s">
        <v>15</v>
      </c>
      <c r="M1465" s="879"/>
      <c r="N1465" s="725" t="s">
        <v>5970</v>
      </c>
    </row>
    <row r="1466" spans="1:14">
      <c r="A1466" s="765">
        <v>23</v>
      </c>
      <c r="B1466" s="863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3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3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3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3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3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64"/>
    </row>
    <row r="1475" spans="1:14" ht="27">
      <c r="A1475" s="765">
        <v>23</v>
      </c>
      <c r="B1475" s="863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4"/>
      <c r="K1475" s="864"/>
      <c r="L1475" s="136" t="s">
        <v>15</v>
      </c>
      <c r="M1475" s="865"/>
      <c r="N1475" s="664"/>
    </row>
    <row r="1476" spans="1:14">
      <c r="A1476" s="765">
        <v>23</v>
      </c>
      <c r="B1476" s="86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3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3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3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3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3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3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3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1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6396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3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3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3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3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9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6326</v>
      </c>
      <c r="H1527" s="650" t="s">
        <v>18</v>
      </c>
      <c r="I1527" s="818" t="s">
        <v>6327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6325</v>
      </c>
    </row>
    <row r="1528" spans="1:14" ht="24">
      <c r="A1528" s="765">
        <v>26</v>
      </c>
      <c r="B1528" s="862"/>
      <c r="C1528" s="658" t="s">
        <v>6329</v>
      </c>
      <c r="D1528" s="791" t="s">
        <v>19</v>
      </c>
      <c r="E1528" s="646" t="s">
        <v>25</v>
      </c>
      <c r="F1528" s="647" t="s">
        <v>5838</v>
      </c>
      <c r="G1528" s="647" t="s">
        <v>6326</v>
      </c>
      <c r="H1528" s="650" t="s">
        <v>18</v>
      </c>
      <c r="I1528" s="818" t="s">
        <v>6327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2"/>
      <c r="C1529" s="658" t="s">
        <v>6329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6335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2"/>
      <c r="C1530" s="658" t="s">
        <v>6331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6332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2"/>
      <c r="C1531" s="658" t="s">
        <v>6331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6330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2"/>
      <c r="C1532" s="675" t="s">
        <v>6333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6334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6328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6325</v>
      </c>
    </row>
    <row r="1534" spans="1:14">
      <c r="A1534" s="765">
        <v>26</v>
      </c>
      <c r="B1534" s="86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7" t="s">
        <v>4857</v>
      </c>
      <c r="D10" s="1047"/>
    </row>
    <row r="11" spans="1:4">
      <c r="A11" s="589" t="s">
        <v>4858</v>
      </c>
      <c r="B11" s="589">
        <v>5</v>
      </c>
      <c r="C11" s="1048">
        <f>'사전품의양식 (12)'!L10</f>
        <v>3500000</v>
      </c>
      <c r="D11" s="1048"/>
    </row>
    <row r="12" spans="1:4">
      <c r="A12" s="589" t="s">
        <v>4859</v>
      </c>
      <c r="B12" s="589">
        <v>10</v>
      </c>
      <c r="C12" s="1048">
        <f>'사전품의양식 (12)'!L21</f>
        <v>2650000</v>
      </c>
      <c r="D12" s="1048"/>
    </row>
    <row r="13" spans="1:4">
      <c r="A13" s="591" t="s">
        <v>53</v>
      </c>
      <c r="B13" s="591">
        <f>SUM(B11:B12)</f>
        <v>15</v>
      </c>
      <c r="C13" s="1049">
        <f>SUM(C11:C12)</f>
        <v>6150000</v>
      </c>
      <c r="D13" s="104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9" t="s">
        <v>6512</v>
      </c>
      <c r="B2" s="1061" t="s">
        <v>1</v>
      </c>
      <c r="C2" s="1061" t="s">
        <v>2</v>
      </c>
      <c r="D2" s="1061" t="s">
        <v>3</v>
      </c>
      <c r="E2" s="720" t="s">
        <v>2623</v>
      </c>
      <c r="F2" s="1061" t="s">
        <v>5</v>
      </c>
      <c r="G2" s="1061" t="s">
        <v>6</v>
      </c>
      <c r="H2" s="1061" t="s">
        <v>2624</v>
      </c>
      <c r="I2" s="1061" t="s">
        <v>55</v>
      </c>
      <c r="J2" s="1061" t="s">
        <v>9</v>
      </c>
      <c r="K2" s="1063" t="s">
        <v>56</v>
      </c>
      <c r="L2" s="1061" t="s">
        <v>57</v>
      </c>
      <c r="M2" s="1057" t="s">
        <v>58</v>
      </c>
    </row>
    <row r="3" spans="1:13">
      <c r="A3" s="1060"/>
      <c r="B3" s="1062"/>
      <c r="C3" s="1062"/>
      <c r="D3" s="1062"/>
      <c r="E3" s="721" t="s">
        <v>1724</v>
      </c>
      <c r="F3" s="1062"/>
      <c r="G3" s="1062"/>
      <c r="H3" s="1062"/>
      <c r="I3" s="1062"/>
      <c r="J3" s="1062"/>
      <c r="K3" s="1064"/>
      <c r="L3" s="1062"/>
      <c r="M3" s="1058"/>
    </row>
    <row r="4" spans="1:13" s="715" customFormat="1" ht="17.100000000000001" customHeight="1">
      <c r="A4" s="1052" t="s">
        <v>20</v>
      </c>
      <c r="B4" s="658">
        <v>46207</v>
      </c>
      <c r="C4" s="791" t="s">
        <v>6467</v>
      </c>
      <c r="D4" s="646" t="s">
        <v>6468</v>
      </c>
      <c r="E4" s="647" t="s">
        <v>6469</v>
      </c>
      <c r="F4" s="647" t="s">
        <v>6470</v>
      </c>
      <c r="G4" s="650" t="s">
        <v>6471</v>
      </c>
      <c r="H4" s="818" t="s">
        <v>6511</v>
      </c>
      <c r="I4" s="647" t="s">
        <v>6472</v>
      </c>
      <c r="J4" s="818" t="s">
        <v>6473</v>
      </c>
      <c r="K4" s="764" t="s">
        <v>6474</v>
      </c>
      <c r="L4" s="810">
        <v>250000</v>
      </c>
      <c r="M4" s="725" t="s">
        <v>6466</v>
      </c>
    </row>
    <row r="5" spans="1:13" s="715" customFormat="1" ht="17.100000000000001" customHeight="1">
      <c r="A5" s="1053"/>
      <c r="B5" s="658" t="s">
        <v>6490</v>
      </c>
      <c r="C5" s="791" t="s">
        <v>6467</v>
      </c>
      <c r="D5" s="646" t="s">
        <v>6468</v>
      </c>
      <c r="E5" s="647" t="s">
        <v>6469</v>
      </c>
      <c r="F5" s="647" t="s">
        <v>6487</v>
      </c>
      <c r="G5" s="650" t="s">
        <v>6488</v>
      </c>
      <c r="H5" s="818" t="s">
        <v>6508</v>
      </c>
      <c r="I5" s="647" t="s">
        <v>6489</v>
      </c>
      <c r="J5" s="818" t="s">
        <v>6491</v>
      </c>
      <c r="K5" s="764" t="s">
        <v>6474</v>
      </c>
      <c r="L5" s="810">
        <f>250000*2</f>
        <v>500000</v>
      </c>
      <c r="M5" s="725"/>
    </row>
    <row r="6" spans="1:13" s="715" customFormat="1" ht="17.100000000000001" customHeight="1">
      <c r="A6" s="1053"/>
      <c r="B6" s="658" t="s">
        <v>6500</v>
      </c>
      <c r="C6" s="791" t="s">
        <v>6467</v>
      </c>
      <c r="D6" s="646" t="s">
        <v>6468</v>
      </c>
      <c r="E6" s="647" t="s">
        <v>6469</v>
      </c>
      <c r="F6" s="647">
        <v>7065</v>
      </c>
      <c r="G6" s="650" t="s">
        <v>6492</v>
      </c>
      <c r="H6" s="818" t="s">
        <v>6493</v>
      </c>
      <c r="I6" s="647"/>
      <c r="J6" s="818" t="s">
        <v>6494</v>
      </c>
      <c r="K6" s="764" t="s">
        <v>6474</v>
      </c>
      <c r="L6" s="810">
        <f>250000*3</f>
        <v>750000</v>
      </c>
      <c r="M6" s="725"/>
    </row>
    <row r="7" spans="1:13" s="715" customFormat="1" ht="17.100000000000001" customHeight="1">
      <c r="A7" s="1053"/>
      <c r="B7" s="658" t="s">
        <v>6499</v>
      </c>
      <c r="C7" s="791" t="s">
        <v>6467</v>
      </c>
      <c r="D7" s="646" t="s">
        <v>6468</v>
      </c>
      <c r="E7" s="647" t="s">
        <v>6469</v>
      </c>
      <c r="F7" s="647" t="s">
        <v>6495</v>
      </c>
      <c r="G7" s="650" t="s">
        <v>6496</v>
      </c>
      <c r="H7" s="818" t="s">
        <v>6497</v>
      </c>
      <c r="I7" s="647"/>
      <c r="J7" s="818" t="s">
        <v>6498</v>
      </c>
      <c r="K7" s="764" t="s">
        <v>6474</v>
      </c>
      <c r="L7" s="810">
        <f>250000*3</f>
        <v>750000</v>
      </c>
      <c r="M7" s="725"/>
    </row>
    <row r="8" spans="1:13" s="715" customFormat="1" ht="17.100000000000001" customHeight="1">
      <c r="A8" s="1053"/>
      <c r="B8" s="658" t="s">
        <v>6505</v>
      </c>
      <c r="C8" s="791" t="s">
        <v>6467</v>
      </c>
      <c r="D8" s="646" t="s">
        <v>6468</v>
      </c>
      <c r="E8" s="647" t="s">
        <v>6469</v>
      </c>
      <c r="F8" s="647" t="s">
        <v>6470</v>
      </c>
      <c r="G8" s="650" t="s">
        <v>6501</v>
      </c>
      <c r="H8" s="818" t="s">
        <v>6502</v>
      </c>
      <c r="I8" s="647" t="s">
        <v>6503</v>
      </c>
      <c r="J8" s="818" t="s">
        <v>6504</v>
      </c>
      <c r="K8" s="764" t="s">
        <v>6474</v>
      </c>
      <c r="L8" s="810">
        <f>250000*2</f>
        <v>500000</v>
      </c>
      <c r="M8" s="725"/>
    </row>
    <row r="9" spans="1:13" s="715" customFormat="1" ht="17.100000000000001" customHeight="1">
      <c r="A9" s="1053"/>
      <c r="B9" s="675" t="s">
        <v>6506</v>
      </c>
      <c r="C9" s="791" t="s">
        <v>6467</v>
      </c>
      <c r="D9" s="646" t="s">
        <v>6468</v>
      </c>
      <c r="E9" s="647" t="s">
        <v>6469</v>
      </c>
      <c r="F9" s="700" t="s">
        <v>6487</v>
      </c>
      <c r="G9" s="700" t="s">
        <v>6507</v>
      </c>
      <c r="H9" s="701" t="s">
        <v>6509</v>
      </c>
      <c r="I9" s="647" t="s">
        <v>6503</v>
      </c>
      <c r="J9" s="818" t="s">
        <v>6510</v>
      </c>
      <c r="K9" s="764" t="s">
        <v>6474</v>
      </c>
      <c r="L9" s="810">
        <f>250000*3</f>
        <v>750000</v>
      </c>
      <c r="M9" s="723"/>
    </row>
    <row r="10" spans="1:13" ht="17.100000000000001" customHeight="1">
      <c r="A10" s="1054"/>
      <c r="B10" s="863" t="s">
        <v>1136</v>
      </c>
      <c r="C10" s="863"/>
      <c r="D10" s="863"/>
      <c r="E10" s="863"/>
      <c r="F10" s="863"/>
      <c r="G10" s="863"/>
      <c r="H10" s="863"/>
      <c r="I10" s="863"/>
      <c r="J10" s="863"/>
      <c r="K10" s="863"/>
      <c r="L10" s="794">
        <f>SUM(L4:L9)</f>
        <v>3500000</v>
      </c>
      <c r="M10" s="725"/>
    </row>
    <row r="11" spans="1:13" ht="18" customHeight="1">
      <c r="A11" s="1052" t="s">
        <v>21</v>
      </c>
      <c r="B11" s="658">
        <v>46168</v>
      </c>
      <c r="C11" s="646" t="s">
        <v>6476</v>
      </c>
      <c r="D11" s="646" t="s">
        <v>14</v>
      </c>
      <c r="E11" s="647" t="s">
        <v>427</v>
      </c>
      <c r="F11" s="647" t="s">
        <v>3386</v>
      </c>
      <c r="G11" s="650" t="s">
        <v>6417</v>
      </c>
      <c r="H11" s="667" t="s">
        <v>6478</v>
      </c>
      <c r="I11" s="667"/>
      <c r="J11" s="666" t="s">
        <v>6477</v>
      </c>
      <c r="K11" s="664" t="s">
        <v>6424</v>
      </c>
      <c r="L11" s="815">
        <v>300000</v>
      </c>
      <c r="M11" s="725" t="s">
        <v>6479</v>
      </c>
    </row>
    <row r="12" spans="1:13" ht="17.100000000000001" customHeight="1">
      <c r="A12" s="1053"/>
      <c r="B12" s="658">
        <v>46207</v>
      </c>
      <c r="C12" s="646" t="s">
        <v>6416</v>
      </c>
      <c r="D12" s="646" t="s">
        <v>14</v>
      </c>
      <c r="E12" s="647" t="s">
        <v>427</v>
      </c>
      <c r="F12" s="647" t="s">
        <v>3386</v>
      </c>
      <c r="G12" s="650" t="s">
        <v>6417</v>
      </c>
      <c r="H12" s="667" t="s">
        <v>6421</v>
      </c>
      <c r="I12" s="667" t="s">
        <v>6427</v>
      </c>
      <c r="J12" s="666" t="s">
        <v>6423</v>
      </c>
      <c r="K12" s="664" t="s">
        <v>6424</v>
      </c>
      <c r="L12" s="815">
        <v>250000</v>
      </c>
      <c r="M12" s="725" t="s">
        <v>6466</v>
      </c>
    </row>
    <row r="13" spans="1:13" ht="17.100000000000001" customHeight="1">
      <c r="A13" s="1053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6426</v>
      </c>
      <c r="I13" s="666" t="s">
        <v>6427</v>
      </c>
      <c r="J13" s="666" t="s">
        <v>6428</v>
      </c>
      <c r="K13" s="664" t="s">
        <v>6402</v>
      </c>
      <c r="L13" s="815">
        <v>250000</v>
      </c>
      <c r="M13" s="725" t="s">
        <v>6481</v>
      </c>
    </row>
    <row r="14" spans="1:13" ht="17.100000000000001" customHeight="1">
      <c r="A14" s="1053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4" t="s">
        <v>6437</v>
      </c>
      <c r="J14" s="646" t="s">
        <v>6440</v>
      </c>
      <c r="K14" s="646" t="s">
        <v>6438</v>
      </c>
      <c r="L14" s="846">
        <v>250000</v>
      </c>
      <c r="M14" s="725" t="s">
        <v>6481</v>
      </c>
    </row>
    <row r="15" spans="1:13" ht="17.100000000000001" customHeight="1">
      <c r="A15" s="1053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6441</v>
      </c>
      <c r="H15" s="818" t="s">
        <v>6465</v>
      </c>
      <c r="I15" s="844"/>
      <c r="J15" s="646" t="s">
        <v>6443</v>
      </c>
      <c r="K15" s="646" t="s">
        <v>6438</v>
      </c>
      <c r="L15" s="846">
        <v>500000</v>
      </c>
      <c r="M15" s="725" t="s">
        <v>6481</v>
      </c>
    </row>
    <row r="16" spans="1:13" ht="17.100000000000001" customHeight="1">
      <c r="A16" s="1053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6482</v>
      </c>
    </row>
    <row r="17" spans="1:13" ht="17.100000000000001" customHeight="1">
      <c r="A17" s="1053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4" t="s">
        <v>6437</v>
      </c>
      <c r="J17" s="1055" t="s">
        <v>6440</v>
      </c>
      <c r="K17" s="646" t="s">
        <v>6438</v>
      </c>
      <c r="L17" s="878">
        <v>250000</v>
      </c>
      <c r="M17" s="725" t="s">
        <v>6483</v>
      </c>
    </row>
    <row r="18" spans="1:13" ht="17.100000000000001" customHeight="1">
      <c r="A18" s="1053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4" t="s">
        <v>6437</v>
      </c>
      <c r="J18" s="1056"/>
      <c r="K18" s="646" t="s">
        <v>15</v>
      </c>
      <c r="L18" s="879"/>
      <c r="M18" s="725" t="s">
        <v>6482</v>
      </c>
    </row>
    <row r="19" spans="1:13" ht="17.100000000000001" customHeight="1">
      <c r="A19" s="1053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6485</v>
      </c>
      <c r="I19" s="647" t="s">
        <v>6446</v>
      </c>
      <c r="J19" s="818" t="s">
        <v>6447</v>
      </c>
      <c r="K19" s="646" t="s">
        <v>6448</v>
      </c>
      <c r="L19" s="807">
        <v>250000</v>
      </c>
      <c r="M19" s="725" t="s">
        <v>6484</v>
      </c>
    </row>
    <row r="20" spans="1:13" ht="17.100000000000001" customHeight="1">
      <c r="A20" s="1053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6461</v>
      </c>
      <c r="G20" s="650" t="s">
        <v>3873</v>
      </c>
      <c r="H20" s="818" t="s">
        <v>6462</v>
      </c>
      <c r="I20" s="666" t="s">
        <v>6444</v>
      </c>
      <c r="J20" s="666" t="s">
        <v>6428</v>
      </c>
      <c r="K20" s="664" t="s">
        <v>6445</v>
      </c>
      <c r="L20" s="807">
        <v>300000</v>
      </c>
      <c r="M20" s="725" t="s">
        <v>6480</v>
      </c>
    </row>
    <row r="21" spans="1:13" ht="17.100000000000001" customHeight="1">
      <c r="A21" s="1054"/>
      <c r="B21" s="863" t="s">
        <v>4879</v>
      </c>
      <c r="C21" s="863"/>
      <c r="D21" s="863"/>
      <c r="E21" s="863"/>
      <c r="F21" s="863"/>
      <c r="G21" s="863"/>
      <c r="H21" s="863"/>
      <c r="I21" s="863"/>
      <c r="J21" s="863"/>
      <c r="K21" s="863"/>
      <c r="L21" s="794">
        <f>SUM(L11:L20)</f>
        <v>2650000</v>
      </c>
      <c r="M21" s="725"/>
    </row>
    <row r="22" spans="1:13" ht="25.5" customHeight="1" thickBot="1">
      <c r="A22" s="1050" t="s">
        <v>62</v>
      </c>
      <c r="B22" s="1051"/>
      <c r="C22" s="1051"/>
      <c r="D22" s="1051"/>
      <c r="E22" s="1051"/>
      <c r="F22" s="1051"/>
      <c r="G22" s="1051"/>
      <c r="H22" s="1051"/>
      <c r="I22" s="1051"/>
      <c r="J22" s="1051"/>
      <c r="K22" s="1051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6463</v>
      </c>
      <c r="D35" s="646" t="s">
        <v>14</v>
      </c>
      <c r="E35" s="647" t="s">
        <v>427</v>
      </c>
      <c r="F35" s="647" t="s">
        <v>3386</v>
      </c>
      <c r="G35" s="650" t="s">
        <v>6417</v>
      </c>
      <c r="H35" s="667" t="s">
        <v>6475</v>
      </c>
      <c r="I35" s="666" t="s">
        <v>6437</v>
      </c>
      <c r="J35" s="666"/>
      <c r="K35" s="664"/>
      <c r="L35" s="847">
        <v>2</v>
      </c>
      <c r="M35" s="847"/>
      <c r="N35" s="666"/>
      <c r="O35" s="848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6426</v>
      </c>
      <c r="I36" s="666" t="s">
        <v>6427</v>
      </c>
      <c r="J36" s="666" t="s">
        <v>6428</v>
      </c>
      <c r="K36" s="664" t="s">
        <v>6402</v>
      </c>
      <c r="L36" s="849">
        <v>2</v>
      </c>
      <c r="M36" s="849"/>
      <c r="N36" s="666"/>
      <c r="O36" s="848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6441</v>
      </c>
      <c r="H37" s="818" t="s">
        <v>6442</v>
      </c>
      <c r="I37" s="844"/>
      <c r="J37" s="646" t="s">
        <v>6443</v>
      </c>
      <c r="K37" s="646" t="s">
        <v>6438</v>
      </c>
      <c r="L37" s="850">
        <v>2</v>
      </c>
      <c r="M37" s="850"/>
      <c r="N37" s="666"/>
      <c r="O37" s="848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6426</v>
      </c>
      <c r="I38" s="666" t="s">
        <v>6429</v>
      </c>
      <c r="J38" s="666"/>
      <c r="K38" s="664" t="s">
        <v>6402</v>
      </c>
      <c r="L38" s="849">
        <v>2</v>
      </c>
      <c r="M38" s="849"/>
      <c r="N38" s="666"/>
      <c r="O38" s="848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6350</v>
      </c>
      <c r="G39" s="650" t="s">
        <v>6024</v>
      </c>
      <c r="H39" s="667" t="s">
        <v>6348</v>
      </c>
      <c r="I39" s="666" t="s">
        <v>3787</v>
      </c>
      <c r="J39" s="666"/>
      <c r="K39" s="664" t="s">
        <v>15</v>
      </c>
      <c r="L39" s="849">
        <v>1</v>
      </c>
      <c r="M39" s="849"/>
      <c r="N39" s="666"/>
      <c r="O39" s="848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4" t="s">
        <v>6437</v>
      </c>
      <c r="J40" s="646" t="s">
        <v>6440</v>
      </c>
      <c r="K40" s="646" t="s">
        <v>6438</v>
      </c>
      <c r="L40" s="850">
        <v>2</v>
      </c>
      <c r="M40" s="850"/>
      <c r="N40" s="817"/>
      <c r="O40" s="851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6441</v>
      </c>
      <c r="H41" s="818" t="s">
        <v>6465</v>
      </c>
      <c r="I41" s="844"/>
      <c r="J41" s="646" t="s">
        <v>6443</v>
      </c>
      <c r="K41" s="646" t="s">
        <v>6438</v>
      </c>
      <c r="L41" s="850">
        <v>2</v>
      </c>
      <c r="M41" s="850"/>
      <c r="N41" s="817"/>
      <c r="O41" s="851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2">
        <v>2</v>
      </c>
      <c r="M42" s="852"/>
      <c r="N42" s="817"/>
      <c r="O42" s="851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6458</v>
      </c>
      <c r="F43" s="647" t="s">
        <v>6451</v>
      </c>
      <c r="G43" s="650" t="s">
        <v>6452</v>
      </c>
      <c r="H43" s="818" t="s">
        <v>6453</v>
      </c>
      <c r="I43" s="647"/>
      <c r="J43" s="818" t="s">
        <v>6455</v>
      </c>
      <c r="K43" s="646" t="s">
        <v>6402</v>
      </c>
      <c r="L43" s="852">
        <v>2</v>
      </c>
      <c r="M43" s="852"/>
      <c r="N43" s="817"/>
      <c r="O43" s="851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4" t="s">
        <v>6437</v>
      </c>
      <c r="J44" s="646" t="s">
        <v>6440</v>
      </c>
      <c r="K44" s="646" t="s">
        <v>6438</v>
      </c>
      <c r="L44" s="850">
        <v>2</v>
      </c>
      <c r="M44" s="850"/>
      <c r="N44" s="817"/>
      <c r="O44" s="851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4" t="s">
        <v>6437</v>
      </c>
      <c r="J45" s="646" t="s">
        <v>6440</v>
      </c>
      <c r="K45" s="646" t="s">
        <v>15</v>
      </c>
      <c r="L45" s="852">
        <v>1</v>
      </c>
      <c r="M45" s="852"/>
      <c r="N45" s="817"/>
      <c r="O45" s="851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6486</v>
      </c>
      <c r="I46" s="647" t="s">
        <v>6446</v>
      </c>
      <c r="J46" s="818" t="s">
        <v>6447</v>
      </c>
      <c r="K46" s="646" t="s">
        <v>6448</v>
      </c>
      <c r="L46" s="852">
        <v>2</v>
      </c>
      <c r="M46" s="852"/>
      <c r="N46" s="817"/>
      <c r="O46" s="848" t="s">
        <v>6460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6457</v>
      </c>
      <c r="F47" s="647" t="s">
        <v>6451</v>
      </c>
      <c r="G47" s="650" t="s">
        <v>6452</v>
      </c>
      <c r="H47" s="818" t="s">
        <v>6453</v>
      </c>
      <c r="I47" s="647"/>
      <c r="J47" s="818" t="s">
        <v>6455</v>
      </c>
      <c r="K47" s="646" t="s">
        <v>6402</v>
      </c>
      <c r="L47" s="852">
        <v>2</v>
      </c>
      <c r="M47" s="852"/>
      <c r="N47" s="817"/>
      <c r="O47" s="848"/>
      <c r="P47" s="666"/>
    </row>
    <row r="48" spans="1:16" ht="33" customHeight="1">
      <c r="A48" s="813"/>
      <c r="B48" s="675">
        <v>46213</v>
      </c>
      <c r="C48" s="646" t="s">
        <v>6430</v>
      </c>
      <c r="D48" s="646" t="s">
        <v>6431</v>
      </c>
      <c r="E48" s="647" t="s">
        <v>6432</v>
      </c>
      <c r="F48" s="647">
        <v>7064</v>
      </c>
      <c r="G48" s="650" t="s">
        <v>6433</v>
      </c>
      <c r="H48" s="818" t="s">
        <v>6449</v>
      </c>
      <c r="I48" s="647" t="s">
        <v>6434</v>
      </c>
      <c r="J48" s="818" t="s">
        <v>6435</v>
      </c>
      <c r="K48" s="646" t="s">
        <v>6402</v>
      </c>
      <c r="L48" s="852">
        <v>4</v>
      </c>
      <c r="M48" s="852"/>
      <c r="N48" s="817"/>
      <c r="O48" s="851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6461</v>
      </c>
      <c r="G49" s="650" t="s">
        <v>3873</v>
      </c>
      <c r="H49" s="818" t="s">
        <v>6462</v>
      </c>
      <c r="I49" s="666" t="s">
        <v>6444</v>
      </c>
      <c r="J49" s="666" t="s">
        <v>6428</v>
      </c>
      <c r="K49" s="664" t="s">
        <v>6445</v>
      </c>
      <c r="L49" s="849">
        <v>2</v>
      </c>
      <c r="M49" s="849"/>
      <c r="N49" s="817"/>
      <c r="O49" s="851"/>
      <c r="P49" s="666"/>
    </row>
    <row r="50" spans="1:16" ht="33" customHeight="1">
      <c r="A50" s="814"/>
      <c r="B50" s="658">
        <v>46214</v>
      </c>
      <c r="C50" s="646" t="s">
        <v>6430</v>
      </c>
      <c r="D50" s="646" t="s">
        <v>6431</v>
      </c>
      <c r="E50" s="647" t="s">
        <v>6432</v>
      </c>
      <c r="F50" s="647">
        <v>7064</v>
      </c>
      <c r="G50" s="650" t="s">
        <v>6433</v>
      </c>
      <c r="H50" s="818" t="s">
        <v>6450</v>
      </c>
      <c r="I50" s="647" t="s">
        <v>6434</v>
      </c>
      <c r="J50" s="818"/>
      <c r="K50" s="646" t="s">
        <v>6402</v>
      </c>
      <c r="L50" s="852">
        <v>2</v>
      </c>
      <c r="M50" s="852"/>
      <c r="N50" s="666"/>
      <c r="O50" s="853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5" t="s">
        <v>53</v>
      </c>
      <c r="B26" s="1096"/>
      <c r="C26" s="1096"/>
      <c r="D26" s="1096"/>
      <c r="E26" s="1096"/>
      <c r="F26" s="1096"/>
      <c r="G26" s="1096"/>
      <c r="H26" s="1096"/>
      <c r="I26" s="109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5" t="s">
        <v>53</v>
      </c>
      <c r="B35" s="1096"/>
      <c r="C35" s="1096"/>
      <c r="D35" s="1096"/>
      <c r="E35" s="1096"/>
      <c r="F35" s="1096"/>
      <c r="G35" s="1096"/>
      <c r="H35" s="1096"/>
      <c r="I35" s="109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5" t="s">
        <v>53</v>
      </c>
      <c r="B42" s="1096"/>
      <c r="C42" s="1096"/>
      <c r="D42" s="1096"/>
      <c r="E42" s="1096"/>
      <c r="F42" s="1096"/>
      <c r="G42" s="1096"/>
      <c r="H42" s="1096"/>
      <c r="I42" s="109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5" t="s">
        <v>53</v>
      </c>
      <c r="B48" s="1096"/>
      <c r="C48" s="1096"/>
      <c r="D48" s="1096"/>
      <c r="E48" s="1096"/>
      <c r="F48" s="1096"/>
      <c r="G48" s="1096"/>
      <c r="H48" s="1096"/>
      <c r="I48" s="109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5" t="s">
        <v>53</v>
      </c>
      <c r="B54" s="1096"/>
      <c r="C54" s="1096"/>
      <c r="D54" s="1096"/>
      <c r="E54" s="1096"/>
      <c r="F54" s="1096"/>
      <c r="G54" s="1096"/>
      <c r="H54" s="1096"/>
      <c r="I54" s="109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3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3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3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5" t="s">
        <v>53</v>
      </c>
      <c r="B64" s="1096"/>
      <c r="C64" s="1096"/>
      <c r="D64" s="1096"/>
      <c r="E64" s="1096"/>
      <c r="F64" s="1096"/>
      <c r="G64" s="1096"/>
      <c r="H64" s="1096"/>
      <c r="I64" s="109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5" t="s">
        <v>53</v>
      </c>
      <c r="B70" s="1096"/>
      <c r="C70" s="1096"/>
      <c r="D70" s="1096"/>
      <c r="E70" s="1096"/>
      <c r="F70" s="1096"/>
      <c r="G70" s="1096"/>
      <c r="H70" s="1096"/>
      <c r="I70" s="109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5" t="s">
        <v>53</v>
      </c>
      <c r="B86" s="1096"/>
      <c r="C86" s="1096"/>
      <c r="D86" s="1096"/>
      <c r="E86" s="1096"/>
      <c r="F86" s="1096"/>
      <c r="G86" s="1096"/>
      <c r="H86" s="1096"/>
      <c r="I86" s="109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5" t="s">
        <v>53</v>
      </c>
      <c r="B92" s="1096"/>
      <c r="C92" s="1096"/>
      <c r="D92" s="1096"/>
      <c r="E92" s="1096"/>
      <c r="F92" s="1096"/>
      <c r="G92" s="1096"/>
      <c r="H92" s="1096"/>
      <c r="I92" s="109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5" t="s">
        <v>53</v>
      </c>
      <c r="B101" s="1096"/>
      <c r="C101" s="1096"/>
      <c r="D101" s="1096"/>
      <c r="E101" s="1096"/>
      <c r="F101" s="1096"/>
      <c r="G101" s="1096"/>
      <c r="H101" s="1096"/>
      <c r="I101" s="109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3"/>
      <c r="B107" s="112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3"/>
      <c r="B108" s="112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2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3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3"/>
      <c r="B129" s="113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3">
        <v>2</v>
      </c>
      <c r="K129" s="25" t="s">
        <v>52</v>
      </c>
      <c r="L129" s="25" t="s">
        <v>51</v>
      </c>
    </row>
    <row r="130" spans="1:12">
      <c r="A130" s="883"/>
      <c r="B130" s="113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14"/>
      <c r="K130" s="25" t="s">
        <v>52</v>
      </c>
      <c r="L130" s="25" t="s">
        <v>51</v>
      </c>
    </row>
    <row r="131" spans="1:12">
      <c r="A131" s="8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3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13">
        <v>1</v>
      </c>
      <c r="K133" s="25" t="s">
        <v>52</v>
      </c>
      <c r="L133" s="25" t="s">
        <v>51</v>
      </c>
    </row>
    <row r="134" spans="1:12">
      <c r="A134" s="883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9"/>
      <c r="J134" s="1114"/>
      <c r="K134" s="25" t="s">
        <v>52</v>
      </c>
      <c r="L134" s="25" t="s">
        <v>51</v>
      </c>
    </row>
    <row r="135" spans="1:12">
      <c r="A135" s="8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3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3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0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0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5" t="s">
        <v>53</v>
      </c>
      <c r="B244" s="1096"/>
      <c r="C244" s="1096"/>
      <c r="D244" s="1096"/>
      <c r="E244" s="1096"/>
      <c r="F244" s="1096"/>
      <c r="G244" s="1096"/>
      <c r="H244" s="1096"/>
      <c r="I244" s="109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5" t="s">
        <v>53</v>
      </c>
      <c r="B250" s="1096"/>
      <c r="C250" s="1096"/>
      <c r="D250" s="1096"/>
      <c r="E250" s="1096"/>
      <c r="F250" s="1096"/>
      <c r="G250" s="1096"/>
      <c r="H250" s="1096"/>
      <c r="I250" s="109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5" t="s">
        <v>53</v>
      </c>
      <c r="B257" s="1096"/>
      <c r="C257" s="1096"/>
      <c r="D257" s="1096"/>
      <c r="E257" s="1096"/>
      <c r="F257" s="1096"/>
      <c r="G257" s="1096"/>
      <c r="H257" s="1096"/>
      <c r="I257" s="109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5" t="s">
        <v>53</v>
      </c>
      <c r="B262" s="1096"/>
      <c r="C262" s="1096"/>
      <c r="D262" s="1096"/>
      <c r="E262" s="1096"/>
      <c r="F262" s="1096"/>
      <c r="G262" s="1096"/>
      <c r="H262" s="1096"/>
      <c r="I262" s="109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5" t="s">
        <v>53</v>
      </c>
      <c r="B271" s="1096"/>
      <c r="C271" s="1096"/>
      <c r="D271" s="1096"/>
      <c r="E271" s="1096"/>
      <c r="F271" s="1096"/>
      <c r="G271" s="1096"/>
      <c r="H271" s="1096"/>
      <c r="I271" s="109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5" t="s">
        <v>53</v>
      </c>
      <c r="B275" s="1096"/>
      <c r="C275" s="1096"/>
      <c r="D275" s="1096"/>
      <c r="E275" s="1096"/>
      <c r="F275" s="1096"/>
      <c r="G275" s="1096"/>
      <c r="H275" s="1096"/>
      <c r="I275" s="109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5" t="s">
        <v>1646</v>
      </c>
      <c r="B296" s="1096"/>
      <c r="C296" s="1096"/>
      <c r="D296" s="1096"/>
      <c r="E296" s="1096"/>
      <c r="F296" s="1096"/>
      <c r="G296" s="1096"/>
      <c r="H296" s="1096"/>
      <c r="I296" s="109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5" t="s">
        <v>1521</v>
      </c>
      <c r="B343" s="128" t="s">
        <v>1531</v>
      </c>
      <c r="C343" s="1014" t="s">
        <v>306</v>
      </c>
      <c r="D343" s="1014" t="s">
        <v>322</v>
      </c>
      <c r="E343" s="888" t="s">
        <v>307</v>
      </c>
      <c r="F343" s="1138">
        <v>4266</v>
      </c>
      <c r="G343" s="1014" t="s">
        <v>640</v>
      </c>
      <c r="H343" s="1138" t="s">
        <v>1533</v>
      </c>
      <c r="I343" s="1014" t="s">
        <v>1534</v>
      </c>
      <c r="J343" s="888">
        <v>2</v>
      </c>
      <c r="K343" s="1092" t="s">
        <v>50</v>
      </c>
      <c r="L343" s="1092" t="s">
        <v>51</v>
      </c>
    </row>
    <row r="344" spans="1:13">
      <c r="A344" s="1136"/>
      <c r="B344" s="129" t="s">
        <v>1532</v>
      </c>
      <c r="C344" s="889"/>
      <c r="D344" s="889"/>
      <c r="E344" s="889"/>
      <c r="F344" s="891"/>
      <c r="G344" s="889"/>
      <c r="H344" s="891"/>
      <c r="I344" s="889"/>
      <c r="J344" s="889"/>
      <c r="K344" s="1094"/>
      <c r="L344" s="1094"/>
    </row>
    <row r="345" spans="1:13">
      <c r="A345" s="1136"/>
      <c r="B345" s="128" t="s">
        <v>1536</v>
      </c>
      <c r="C345" s="888" t="s">
        <v>306</v>
      </c>
      <c r="D345" s="888" t="s">
        <v>322</v>
      </c>
      <c r="E345" s="888" t="s">
        <v>307</v>
      </c>
      <c r="F345" s="890">
        <v>3306</v>
      </c>
      <c r="G345" s="888" t="s">
        <v>1153</v>
      </c>
      <c r="H345" s="890" t="s">
        <v>1538</v>
      </c>
      <c r="I345" s="888" t="s">
        <v>1534</v>
      </c>
      <c r="J345" s="888">
        <v>2</v>
      </c>
      <c r="K345" s="1092" t="s">
        <v>50</v>
      </c>
      <c r="L345" s="1092" t="s">
        <v>51</v>
      </c>
    </row>
    <row r="346" spans="1:13">
      <c r="A346" s="1137"/>
      <c r="B346" s="129" t="s">
        <v>1537</v>
      </c>
      <c r="C346" s="889"/>
      <c r="D346" s="889"/>
      <c r="E346" s="889"/>
      <c r="F346" s="891"/>
      <c r="G346" s="889"/>
      <c r="H346" s="891"/>
      <c r="I346" s="889"/>
      <c r="J346" s="889"/>
      <c r="K346" s="1094"/>
      <c r="L346" s="1094"/>
    </row>
    <row r="347" spans="1:13">
      <c r="A347" s="1095" t="s">
        <v>53</v>
      </c>
      <c r="B347" s="1096"/>
      <c r="C347" s="1096"/>
      <c r="D347" s="1096"/>
      <c r="E347" s="1096"/>
      <c r="F347" s="1096"/>
      <c r="G347" s="1096"/>
      <c r="H347" s="1096"/>
      <c r="I347" s="109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18" t="s">
        <v>1</v>
      </c>
      <c r="C381" s="1118" t="s">
        <v>2</v>
      </c>
      <c r="D381" s="1118" t="s">
        <v>3</v>
      </c>
      <c r="E381" s="36" t="s">
        <v>54</v>
      </c>
      <c r="F381" s="1118" t="s">
        <v>5</v>
      </c>
      <c r="G381" s="1118" t="s">
        <v>6</v>
      </c>
      <c r="H381" s="1118" t="s">
        <v>7</v>
      </c>
      <c r="I381" s="1118" t="s">
        <v>55</v>
      </c>
      <c r="J381" s="1118" t="s">
        <v>9</v>
      </c>
      <c r="K381" s="1120" t="s">
        <v>56</v>
      </c>
      <c r="L381" s="1118" t="s">
        <v>57</v>
      </c>
    </row>
    <row r="382" spans="1:12">
      <c r="B382" s="1119"/>
      <c r="C382" s="1119"/>
      <c r="D382" s="1119"/>
      <c r="E382" s="37" t="s">
        <v>59</v>
      </c>
      <c r="F382" s="1119"/>
      <c r="G382" s="1119"/>
      <c r="H382" s="1119"/>
      <c r="I382" s="1119"/>
      <c r="J382" s="1119"/>
      <c r="K382" s="1121"/>
      <c r="L382" s="11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03" t="s">
        <v>1805</v>
      </c>
      <c r="C405" s="1103" t="s">
        <v>700</v>
      </c>
      <c r="D405" s="1099" t="s">
        <v>675</v>
      </c>
      <c r="E405" s="1103" t="s">
        <v>1806</v>
      </c>
      <c r="F405" s="1103" t="s">
        <v>1807</v>
      </c>
      <c r="G405" s="1103" t="s">
        <v>662</v>
      </c>
      <c r="H405" s="1104" t="s">
        <v>1808</v>
      </c>
      <c r="I405" s="1099"/>
      <c r="J405" s="1104">
        <v>1</v>
      </c>
      <c r="K405" s="1092" t="s">
        <v>631</v>
      </c>
      <c r="L405" s="895" t="s">
        <v>51</v>
      </c>
    </row>
    <row r="406" spans="1:12" ht="13.5" customHeight="1">
      <c r="A406" s="1110"/>
      <c r="B406" s="1103"/>
      <c r="C406" s="1103"/>
      <c r="D406" s="1099"/>
      <c r="E406" s="1103"/>
      <c r="F406" s="1103"/>
      <c r="G406" s="1103"/>
      <c r="H406" s="1104"/>
      <c r="I406" s="1099"/>
      <c r="J406" s="1104"/>
      <c r="K406" s="1094"/>
      <c r="L406" s="89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15" t="s">
        <v>2009</v>
      </c>
      <c r="C412" s="1092" t="s">
        <v>21</v>
      </c>
      <c r="D412" s="971" t="s">
        <v>14</v>
      </c>
      <c r="E412" s="1092" t="s">
        <v>78</v>
      </c>
      <c r="F412" s="1103" t="s">
        <v>2010</v>
      </c>
      <c r="G412" s="1103" t="s">
        <v>40</v>
      </c>
      <c r="H412" s="1104" t="s">
        <v>614</v>
      </c>
      <c r="I412" s="1099"/>
      <c r="J412" s="1104">
        <v>1</v>
      </c>
      <c r="K412" s="1092" t="s">
        <v>2011</v>
      </c>
      <c r="L412" s="895" t="s">
        <v>1997</v>
      </c>
    </row>
    <row r="413" spans="1:12" ht="20.100000000000001" customHeight="1">
      <c r="A413" s="1110"/>
      <c r="B413" s="1103"/>
      <c r="C413" s="1094"/>
      <c r="D413" s="973"/>
      <c r="E413" s="1094"/>
      <c r="F413" s="1103"/>
      <c r="G413" s="1103"/>
      <c r="H413" s="1104"/>
      <c r="I413" s="1099"/>
      <c r="J413" s="1104"/>
      <c r="K413" s="1094"/>
      <c r="L413" s="89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6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4">
        <v>3306</v>
      </c>
      <c r="G418" s="1099" t="s">
        <v>1153</v>
      </c>
      <c r="H418" s="1104" t="s">
        <v>1749</v>
      </c>
      <c r="I418" s="1099" t="s">
        <v>664</v>
      </c>
      <c r="J418" s="1099">
        <v>4</v>
      </c>
      <c r="K418" s="1092" t="s">
        <v>631</v>
      </c>
      <c r="L418" s="895" t="s">
        <v>51</v>
      </c>
    </row>
    <row r="419" spans="1:12" ht="13.5" customHeight="1">
      <c r="A419" s="896"/>
      <c r="B419" s="79" t="s">
        <v>1751</v>
      </c>
      <c r="C419" s="1099"/>
      <c r="D419" s="1099"/>
      <c r="E419" s="1099"/>
      <c r="F419" s="1104"/>
      <c r="G419" s="1099"/>
      <c r="H419" s="1104"/>
      <c r="I419" s="1099"/>
      <c r="J419" s="1099"/>
      <c r="K419" s="1094"/>
      <c r="L419" s="897"/>
    </row>
    <row r="420" spans="1:12" ht="13.5" customHeight="1">
      <c r="A420" s="896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4" t="s">
        <v>1801</v>
      </c>
      <c r="G420" s="1099" t="s">
        <v>1802</v>
      </c>
      <c r="H420" s="1104" t="s">
        <v>1803</v>
      </c>
      <c r="I420" s="1099" t="s">
        <v>664</v>
      </c>
      <c r="J420" s="1099">
        <v>5</v>
      </c>
      <c r="K420" s="1092" t="s">
        <v>631</v>
      </c>
      <c r="L420" s="895" t="s">
        <v>51</v>
      </c>
    </row>
    <row r="421" spans="1:12" ht="13.5" customHeight="1">
      <c r="A421" s="896"/>
      <c r="B421" s="79" t="s">
        <v>1795</v>
      </c>
      <c r="C421" s="1099"/>
      <c r="D421" s="1099"/>
      <c r="E421" s="1099"/>
      <c r="F421" s="1104"/>
      <c r="G421" s="1099"/>
      <c r="H421" s="1104"/>
      <c r="I421" s="1099"/>
      <c r="J421" s="1099"/>
      <c r="K421" s="1094"/>
      <c r="L421" s="897"/>
    </row>
    <row r="422" spans="1:12" ht="27" customHeight="1">
      <c r="A422" s="89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11" t="s">
        <v>1761</v>
      </c>
      <c r="G438" s="976" t="s">
        <v>329</v>
      </c>
      <c r="H438" s="1113" t="s">
        <v>1762</v>
      </c>
      <c r="I438" s="959" t="s">
        <v>664</v>
      </c>
      <c r="J438" s="1108">
        <v>2</v>
      </c>
      <c r="K438" s="1092" t="s">
        <v>1996</v>
      </c>
      <c r="L438" s="1092" t="s">
        <v>51</v>
      </c>
    </row>
    <row r="439" spans="1:12" ht="13.5" customHeight="1">
      <c r="A439" s="911"/>
      <c r="B439" s="253" t="s">
        <v>2028</v>
      </c>
      <c r="C439" s="977"/>
      <c r="D439" s="977"/>
      <c r="E439" s="977"/>
      <c r="F439" s="1112"/>
      <c r="G439" s="977"/>
      <c r="H439" s="1114"/>
      <c r="I439" s="960"/>
      <c r="J439" s="1109"/>
      <c r="K439" s="1094"/>
      <c r="L439" s="1094"/>
    </row>
    <row r="440" spans="1:12" ht="13.5" customHeight="1">
      <c r="A440" s="911"/>
      <c r="B440" s="254" t="s">
        <v>1794</v>
      </c>
      <c r="C440" s="1028" t="s">
        <v>306</v>
      </c>
      <c r="D440" s="1028" t="s">
        <v>322</v>
      </c>
      <c r="E440" s="1028" t="s">
        <v>307</v>
      </c>
      <c r="F440" s="1030" t="s">
        <v>1796</v>
      </c>
      <c r="G440" s="1028" t="s">
        <v>1797</v>
      </c>
      <c r="H440" s="1030" t="s">
        <v>1792</v>
      </c>
      <c r="I440" s="1028" t="s">
        <v>664</v>
      </c>
      <c r="J440" s="888">
        <v>4</v>
      </c>
      <c r="K440" s="1092" t="s">
        <v>631</v>
      </c>
      <c r="L440" s="1092" t="s">
        <v>1997</v>
      </c>
    </row>
    <row r="441" spans="1:12" ht="13.5" customHeight="1">
      <c r="A441" s="911"/>
      <c r="B441" s="255" t="s">
        <v>1795</v>
      </c>
      <c r="C441" s="1028"/>
      <c r="D441" s="1028"/>
      <c r="E441" s="1028"/>
      <c r="F441" s="1030"/>
      <c r="G441" s="1028"/>
      <c r="H441" s="1030"/>
      <c r="I441" s="1028"/>
      <c r="J441" s="889"/>
      <c r="K441" s="1094"/>
      <c r="L441" s="1094"/>
    </row>
    <row r="442" spans="1:12" ht="20.100000000000001" customHeight="1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5" t="s">
        <v>1646</v>
      </c>
      <c r="B450" s="1096"/>
      <c r="C450" s="1096"/>
      <c r="D450" s="1096"/>
      <c r="E450" s="1096"/>
      <c r="F450" s="1096"/>
      <c r="G450" s="1096"/>
      <c r="H450" s="1096"/>
      <c r="I450" s="109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6"/>
      <c r="B463" s="1100" t="s">
        <v>1767</v>
      </c>
      <c r="C463" s="1101" t="s">
        <v>311</v>
      </c>
      <c r="D463" s="1101" t="s">
        <v>320</v>
      </c>
      <c r="E463" s="1101" t="s">
        <v>709</v>
      </c>
      <c r="F463" s="1101" t="s">
        <v>1768</v>
      </c>
      <c r="G463" s="1100" t="s">
        <v>1769</v>
      </c>
      <c r="H463" s="258" t="s">
        <v>1770</v>
      </c>
      <c r="I463" s="1101"/>
      <c r="J463" s="1101">
        <v>1</v>
      </c>
      <c r="K463" s="971" t="s">
        <v>631</v>
      </c>
      <c r="L463" s="1003" t="s">
        <v>51</v>
      </c>
    </row>
    <row r="464" spans="1:12" ht="13.5" customHeight="1">
      <c r="A464" s="1106"/>
      <c r="B464" s="1100"/>
      <c r="C464" s="1101"/>
      <c r="D464" s="1101"/>
      <c r="E464" s="1101"/>
      <c r="F464" s="1101"/>
      <c r="G464" s="1100"/>
      <c r="H464" s="259" t="s">
        <v>1773</v>
      </c>
      <c r="I464" s="1101"/>
      <c r="J464" s="1101"/>
      <c r="K464" s="973"/>
      <c r="L464" s="1004"/>
    </row>
    <row r="465" spans="1:12" ht="13.5" customHeight="1">
      <c r="A465" s="1106"/>
      <c r="B465" s="1102" t="s">
        <v>1813</v>
      </c>
      <c r="C465" s="1103" t="s">
        <v>700</v>
      </c>
      <c r="D465" s="1099" t="s">
        <v>320</v>
      </c>
      <c r="E465" s="1099" t="s">
        <v>337</v>
      </c>
      <c r="F465" s="1103" t="s">
        <v>353</v>
      </c>
      <c r="G465" s="1103" t="s">
        <v>1814</v>
      </c>
      <c r="H465" s="1104" t="s">
        <v>1815</v>
      </c>
      <c r="I465" s="1099" t="s">
        <v>638</v>
      </c>
      <c r="J465" s="1104">
        <v>2</v>
      </c>
      <c r="K465" s="1092" t="s">
        <v>631</v>
      </c>
      <c r="L465" s="1092" t="s">
        <v>51</v>
      </c>
    </row>
    <row r="466" spans="1:12" ht="13.5" customHeight="1">
      <c r="A466" s="1106"/>
      <c r="B466" s="1102"/>
      <c r="C466" s="1103"/>
      <c r="D466" s="1099"/>
      <c r="E466" s="1099"/>
      <c r="F466" s="1103"/>
      <c r="G466" s="1103"/>
      <c r="H466" s="1104"/>
      <c r="I466" s="1099"/>
      <c r="J466" s="1104"/>
      <c r="K466" s="1094"/>
      <c r="L466" s="1094"/>
    </row>
    <row r="467" spans="1:12" ht="27" customHeight="1">
      <c r="A467" s="110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6"/>
      <c r="B468" s="1103" t="s">
        <v>1820</v>
      </c>
      <c r="C468" s="1103" t="s">
        <v>700</v>
      </c>
      <c r="D468" s="1099" t="s">
        <v>320</v>
      </c>
      <c r="E468" s="1099" t="s">
        <v>709</v>
      </c>
      <c r="F468" s="1099" t="s">
        <v>1768</v>
      </c>
      <c r="G468" s="1103" t="s">
        <v>1821</v>
      </c>
      <c r="H468" s="261" t="s">
        <v>1822</v>
      </c>
      <c r="I468" s="1099" t="s">
        <v>638</v>
      </c>
      <c r="J468" s="1099">
        <v>2</v>
      </c>
      <c r="K468" s="1092" t="s">
        <v>631</v>
      </c>
      <c r="L468" s="1092" t="s">
        <v>51</v>
      </c>
    </row>
    <row r="469" spans="1:12" ht="13.5" customHeight="1">
      <c r="A469" s="1106"/>
      <c r="B469" s="1103"/>
      <c r="C469" s="1103"/>
      <c r="D469" s="1099"/>
      <c r="E469" s="1099"/>
      <c r="F469" s="1099"/>
      <c r="G469" s="1103"/>
      <c r="H469" s="262" t="s">
        <v>1823</v>
      </c>
      <c r="I469" s="1099"/>
      <c r="J469" s="1099"/>
      <c r="K469" s="1094"/>
      <c r="L469" s="1094"/>
    </row>
    <row r="470" spans="1:12" ht="27" customHeight="1">
      <c r="A470" s="110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4" t="s">
        <v>228</v>
      </c>
      <c r="B476" s="1100" t="s">
        <v>1767</v>
      </c>
      <c r="C476" s="1101" t="s">
        <v>311</v>
      </c>
      <c r="D476" s="1101" t="s">
        <v>320</v>
      </c>
      <c r="E476" s="1101" t="s">
        <v>709</v>
      </c>
      <c r="F476" s="1101" t="s">
        <v>1768</v>
      </c>
      <c r="G476" s="1100" t="s">
        <v>1769</v>
      </c>
      <c r="H476" s="258" t="s">
        <v>1770</v>
      </c>
      <c r="I476" s="1101"/>
      <c r="J476" s="1101">
        <v>1</v>
      </c>
      <c r="K476" s="971" t="s">
        <v>631</v>
      </c>
      <c r="L476" s="1003" t="s">
        <v>51</v>
      </c>
    </row>
    <row r="477" spans="1:12" ht="13.5" customHeight="1">
      <c r="A477" s="864"/>
      <c r="B477" s="1100"/>
      <c r="C477" s="1101"/>
      <c r="D477" s="1101"/>
      <c r="E477" s="1101"/>
      <c r="F477" s="1101"/>
      <c r="G477" s="1100"/>
      <c r="H477" s="259" t="s">
        <v>1773</v>
      </c>
      <c r="I477" s="1101"/>
      <c r="J477" s="1101"/>
      <c r="K477" s="973"/>
      <c r="L477" s="1004"/>
    </row>
    <row r="478" spans="1:12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5" t="s">
        <v>53</v>
      </c>
      <c r="B487" s="1096"/>
      <c r="C487" s="1096"/>
      <c r="D487" s="1096"/>
      <c r="E487" s="1096"/>
      <c r="F487" s="1096"/>
      <c r="G487" s="1096"/>
      <c r="H487" s="1096"/>
      <c r="I487" s="109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1"/>
      <c r="B494" s="1089" t="s">
        <v>2182</v>
      </c>
      <c r="C494" s="1089" t="s">
        <v>306</v>
      </c>
      <c r="D494" s="1089" t="s">
        <v>322</v>
      </c>
      <c r="E494" s="1089" t="s">
        <v>307</v>
      </c>
      <c r="F494" s="1098" t="s">
        <v>1919</v>
      </c>
      <c r="G494" s="1089" t="s">
        <v>662</v>
      </c>
      <c r="H494" s="1098" t="s">
        <v>1920</v>
      </c>
      <c r="I494" s="1089" t="s">
        <v>349</v>
      </c>
      <c r="J494" s="1089">
        <v>2</v>
      </c>
      <c r="K494" s="1103" t="s">
        <v>50</v>
      </c>
      <c r="L494" s="222">
        <v>23</v>
      </c>
    </row>
    <row r="495" spans="1:12" ht="12.6" customHeight="1">
      <c r="A495" s="1091"/>
      <c r="B495" s="1089"/>
      <c r="C495" s="1089"/>
      <c r="D495" s="1089"/>
      <c r="E495" s="1089"/>
      <c r="F495" s="1098"/>
      <c r="G495" s="1089"/>
      <c r="H495" s="1098"/>
      <c r="I495" s="1089"/>
      <c r="J495" s="1089"/>
      <c r="K495" s="1103"/>
    </row>
    <row r="496" spans="1:12" ht="24.95" customHeight="1">
      <c r="A496" s="10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5" t="s">
        <v>2238</v>
      </c>
      <c r="B540" s="1096"/>
      <c r="C540" s="1096"/>
      <c r="D540" s="1096"/>
      <c r="E540" s="1096"/>
      <c r="F540" s="1096"/>
      <c r="G540" s="1096"/>
      <c r="H540" s="1096"/>
      <c r="I540" s="109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41" t="s">
        <v>2291</v>
      </c>
    </row>
    <row r="570" spans="1:12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4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8" t="s">
        <v>1646</v>
      </c>
      <c r="B655" s="1088"/>
      <c r="C655" s="1088"/>
      <c r="D655" s="1088"/>
      <c r="E655" s="1088"/>
      <c r="F655" s="1088"/>
      <c r="G655" s="1088"/>
      <c r="H655" s="1088"/>
      <c r="I655" s="10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8" t="s">
        <v>1646</v>
      </c>
      <c r="B674" s="1088"/>
      <c r="C674" s="1088"/>
      <c r="D674" s="1088"/>
      <c r="E674" s="1088"/>
      <c r="F674" s="1088"/>
      <c r="G674" s="1088"/>
      <c r="H674" s="1088"/>
      <c r="I674" s="10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8" t="s">
        <v>1646</v>
      </c>
      <c r="B681" s="1088"/>
      <c r="C681" s="1088"/>
      <c r="D681" s="1088"/>
      <c r="E681" s="1088"/>
      <c r="F681" s="1088"/>
      <c r="G681" s="1088"/>
      <c r="H681" s="1088"/>
      <c r="I681" s="10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3" t="s">
        <v>1646</v>
      </c>
      <c r="B688" s="1083"/>
      <c r="C688" s="1083"/>
      <c r="D688" s="1083"/>
      <c r="E688" s="1083"/>
      <c r="F688" s="1083"/>
      <c r="G688" s="1083"/>
      <c r="H688" s="1083"/>
      <c r="I688" s="10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3" t="s">
        <v>1646</v>
      </c>
      <c r="B699" s="1083"/>
      <c r="C699" s="1083"/>
      <c r="D699" s="1083"/>
      <c r="E699" s="1083"/>
      <c r="F699" s="1083"/>
      <c r="G699" s="1083"/>
      <c r="H699" s="1083"/>
      <c r="I699" s="1083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7" t="s">
        <v>1646</v>
      </c>
      <c r="B717" s="1077"/>
      <c r="C717" s="1077"/>
      <c r="D717" s="1077"/>
      <c r="E717" s="1077"/>
      <c r="F717" s="1077"/>
      <c r="G717" s="1077"/>
      <c r="H717" s="1077"/>
      <c r="I717" s="1077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7" t="s">
        <v>1646</v>
      </c>
      <c r="B731" s="1077"/>
      <c r="C731" s="1077"/>
      <c r="D731" s="1077"/>
      <c r="E731" s="1077"/>
      <c r="F731" s="1077"/>
      <c r="G731" s="1077"/>
      <c r="H731" s="1077"/>
      <c r="I731" s="1077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7" t="s">
        <v>1646</v>
      </c>
      <c r="B749" s="1077"/>
      <c r="C749" s="1077"/>
      <c r="D749" s="1077"/>
      <c r="E749" s="1077"/>
      <c r="F749" s="1077"/>
      <c r="G749" s="1077"/>
      <c r="H749" s="1077"/>
      <c r="I749" s="1077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7" t="s">
        <v>1646</v>
      </c>
      <c r="B762" s="1067"/>
      <c r="C762" s="1067"/>
      <c r="D762" s="1067"/>
      <c r="E762" s="1067"/>
      <c r="F762" s="1067"/>
      <c r="G762" s="1067"/>
      <c r="H762" s="1067"/>
      <c r="I762" s="106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7" t="s">
        <v>1646</v>
      </c>
      <c r="B770" s="1067"/>
      <c r="C770" s="1067"/>
      <c r="D770" s="1067"/>
      <c r="E770" s="1067"/>
      <c r="F770" s="1067"/>
      <c r="G770" s="1067"/>
      <c r="H770" s="1067"/>
      <c r="I770" s="106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7" t="s">
        <v>1646</v>
      </c>
      <c r="B778" s="1067"/>
      <c r="C778" s="1067"/>
      <c r="D778" s="1067"/>
      <c r="E778" s="1067"/>
      <c r="F778" s="1067"/>
      <c r="G778" s="1067"/>
      <c r="H778" s="1067"/>
      <c r="I778" s="106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7" t="s">
        <v>1646</v>
      </c>
      <c r="B790" s="1067"/>
      <c r="C790" s="1067"/>
      <c r="D790" s="1067"/>
      <c r="E790" s="1067"/>
      <c r="F790" s="1067"/>
      <c r="G790" s="1067"/>
      <c r="H790" s="1067"/>
      <c r="I790" s="106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7" t="s">
        <v>1646</v>
      </c>
      <c r="B802" s="1067"/>
      <c r="C802" s="1067"/>
      <c r="D802" s="1067"/>
      <c r="E802" s="1067"/>
      <c r="F802" s="1067"/>
      <c r="G802" s="1067"/>
      <c r="H802" s="1067"/>
      <c r="I802" s="106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7" t="s">
        <v>1646</v>
      </c>
      <c r="B812" s="1067"/>
      <c r="C812" s="1067"/>
      <c r="D812" s="1067"/>
      <c r="E812" s="1067"/>
      <c r="F812" s="1067"/>
      <c r="G812" s="1067"/>
      <c r="H812" s="1067"/>
      <c r="I812" s="106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5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7" t="s">
        <v>1646</v>
      </c>
      <c r="B819" s="1067"/>
      <c r="C819" s="1067"/>
      <c r="D819" s="1067"/>
      <c r="E819" s="1067"/>
      <c r="F819" s="1067"/>
      <c r="G819" s="1067"/>
      <c r="H819" s="1067"/>
      <c r="I819" s="106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7" t="s">
        <v>1646</v>
      </c>
      <c r="B834" s="1067"/>
      <c r="C834" s="1067"/>
      <c r="D834" s="1067"/>
      <c r="E834" s="1067"/>
      <c r="F834" s="1067"/>
      <c r="G834" s="1067"/>
      <c r="H834" s="1067"/>
      <c r="I834" s="106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7" t="s">
        <v>1646</v>
      </c>
      <c r="B841" s="1067"/>
      <c r="C841" s="1067"/>
      <c r="D841" s="1067"/>
      <c r="E841" s="1067"/>
      <c r="F841" s="1067"/>
      <c r="G841" s="1067"/>
      <c r="H841" s="1067"/>
      <c r="I841" s="1067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2" t="s">
        <v>5678</v>
      </c>
      <c r="B845" s="832" t="s">
        <v>5950</v>
      </c>
      <c r="C845" s="632" t="s">
        <v>19</v>
      </c>
      <c r="D845" s="632" t="s">
        <v>25</v>
      </c>
      <c r="E845" s="671" t="s">
        <v>5838</v>
      </c>
      <c r="F845" s="833" t="s">
        <v>5754</v>
      </c>
      <c r="G845" s="833" t="s">
        <v>18</v>
      </c>
      <c r="H845" s="834" t="s">
        <v>5953</v>
      </c>
      <c r="I845" s="745" t="s">
        <v>4168</v>
      </c>
      <c r="J845" s="835">
        <v>4</v>
      </c>
      <c r="K845" s="632" t="s">
        <v>50</v>
      </c>
    </row>
    <row r="846" spans="1:12">
      <c r="A846" s="107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3"/>
      <c r="B851" s="832" t="s">
        <v>6249</v>
      </c>
      <c r="C851" s="836" t="s">
        <v>19</v>
      </c>
      <c r="D851" s="632" t="s">
        <v>25</v>
      </c>
      <c r="E851" s="671" t="s">
        <v>5254</v>
      </c>
      <c r="F851" s="837" t="s">
        <v>6250</v>
      </c>
      <c r="G851" s="838" t="s">
        <v>34</v>
      </c>
      <c r="H851" s="839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3"/>
      <c r="B852" s="677">
        <v>46203</v>
      </c>
      <c r="C852" s="836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6332</v>
      </c>
      <c r="I852" s="671" t="s">
        <v>3429</v>
      </c>
      <c r="J852" s="816">
        <v>1</v>
      </c>
      <c r="K852" s="632" t="s">
        <v>50</v>
      </c>
    </row>
    <row r="853" spans="1:11">
      <c r="A853" s="1067" t="s">
        <v>1646</v>
      </c>
      <c r="B853" s="1067"/>
      <c r="C853" s="1067"/>
      <c r="D853" s="1067"/>
      <c r="E853" s="1067"/>
      <c r="F853" s="1067"/>
      <c r="G853" s="1067"/>
      <c r="H853" s="1067"/>
      <c r="I853" s="1067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8" t="s">
        <v>6404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7" t="s">
        <v>1646</v>
      </c>
      <c r="B876" s="1067"/>
      <c r="C876" s="1067"/>
      <c r="D876" s="1067"/>
      <c r="E876" s="1067"/>
      <c r="F876" s="1067"/>
      <c r="G876" s="1067"/>
      <c r="H876" s="1067"/>
      <c r="I876" s="1067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9" t="s">
        <v>6405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6406</v>
      </c>
      <c r="I880" s="671" t="s">
        <v>6407</v>
      </c>
      <c r="J880" s="671">
        <v>1</v>
      </c>
      <c r="K880" s="632" t="s">
        <v>50</v>
      </c>
    </row>
    <row r="881" spans="1:15">
      <c r="A881" s="1069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9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9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0"/>
    </row>
    <row r="885" spans="1:15">
      <c r="A885" s="1069"/>
      <c r="B885" s="842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3">
        <v>2</v>
      </c>
      <c r="K885" s="632" t="s">
        <v>50</v>
      </c>
      <c r="M885" s="841"/>
    </row>
    <row r="886" spans="1:15">
      <c r="A886" s="1069"/>
      <c r="B886" s="842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7" t="s">
        <v>1646</v>
      </c>
      <c r="B887" s="1067"/>
      <c r="C887" s="1067"/>
      <c r="D887" s="1067"/>
      <c r="E887" s="1067"/>
      <c r="F887" s="1067"/>
      <c r="G887" s="1067"/>
      <c r="H887" s="1067"/>
      <c r="I887" s="1067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5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6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6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3">
        <v>1</v>
      </c>
      <c r="K896" s="632" t="s">
        <v>50</v>
      </c>
    </row>
    <row r="897" spans="1:11">
      <c r="A897" s="10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3">
        <v>1</v>
      </c>
      <c r="K897" s="632" t="s">
        <v>50</v>
      </c>
    </row>
    <row r="898" spans="1:11">
      <c r="A898" s="1066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6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6">
        <v>1</v>
      </c>
      <c r="K899" s="632" t="s">
        <v>50</v>
      </c>
    </row>
    <row r="900" spans="1:11">
      <c r="A900" s="10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6"/>
      <c r="B901" s="832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6"/>
      <c r="B902" s="832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6"/>
      <c r="B903" s="832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6412</v>
      </c>
      <c r="I903" s="671" t="s">
        <v>3429</v>
      </c>
      <c r="J903" s="843">
        <v>1</v>
      </c>
      <c r="K903" s="632" t="s">
        <v>6413</v>
      </c>
    </row>
    <row r="904" spans="1:11">
      <c r="A904" s="1067" t="s">
        <v>1646</v>
      </c>
      <c r="B904" s="1067"/>
      <c r="C904" s="1067"/>
      <c r="D904" s="1067"/>
      <c r="E904" s="1067"/>
      <c r="F904" s="1067"/>
      <c r="G904" s="1067"/>
      <c r="H904" s="1067"/>
      <c r="I904" s="1067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5" t="s">
        <v>6414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5">
        <v>2</v>
      </c>
      <c r="K908" s="632" t="s">
        <v>50</v>
      </c>
    </row>
    <row r="909" spans="1:11">
      <c r="A909" s="1066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3">
        <v>1</v>
      </c>
      <c r="K909" s="632" t="s">
        <v>50</v>
      </c>
    </row>
    <row r="910" spans="1:11">
      <c r="A910" s="1066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3">
        <v>1</v>
      </c>
      <c r="K910" s="632" t="s">
        <v>50</v>
      </c>
    </row>
    <row r="911" spans="1:11">
      <c r="A911" s="10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6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6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6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6413</v>
      </c>
    </row>
    <row r="917" spans="1:11" ht="22.5">
      <c r="A917" s="1066"/>
      <c r="B917" s="842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6413</v>
      </c>
    </row>
    <row r="918" spans="1:11" ht="22.5">
      <c r="A918" s="1066"/>
      <c r="B918" s="842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7" t="s">
        <v>1646</v>
      </c>
      <c r="B919" s="1067"/>
      <c r="C919" s="1067"/>
      <c r="D919" s="1067"/>
      <c r="E919" s="1067"/>
      <c r="F919" s="1067"/>
      <c r="G919" s="1067"/>
      <c r="H919" s="1067"/>
      <c r="I919" s="1067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8" t="s">
        <v>6415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9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9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9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0"/>
      <c r="B929" s="83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7" t="s">
        <v>1646</v>
      </c>
      <c r="B930" s="1067"/>
      <c r="C930" s="1067"/>
      <c r="D930" s="1067"/>
      <c r="E930" s="1067"/>
      <c r="F930" s="1067"/>
      <c r="G930" s="1067"/>
      <c r="H930" s="1067"/>
      <c r="I930" s="1067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1" t="s">
        <v>6415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7" t="s">
        <v>1646</v>
      </c>
      <c r="B944" s="1067"/>
      <c r="C944" s="1067"/>
      <c r="D944" s="1067"/>
      <c r="E944" s="1067"/>
      <c r="F944" s="1067"/>
      <c r="G944" s="1067"/>
      <c r="H944" s="1067"/>
      <c r="I944" s="106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2026-07-08T07:59:59Z</dcterms:modified>
</cp:coreProperties>
</file>