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사전품의내역!$A$1:$N$1465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(12)'!$A$1:$M$30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L28" i="129" l="1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11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9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<sst xmlns="http://schemas.openxmlformats.org/spreadsheetml/2006/main" count="23568" uniqueCount="6259">
  <si>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</si>
  <si>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</si>
  <si>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</si>
  <si>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</si>
  <si>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</si>
  <si>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</si>
  <si>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</si>
  <si>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</si>
  <si>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</si>
  <si>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</si>
  <si>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</si>
  <si>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</si>
  <si>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</si>
  <si>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</si>
  <si>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</si>
  <si>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</si>
  <si>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</si>
  <si>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</si>
  <si>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</si>
  <si>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</si>
  <si>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</si>
  <si>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</si>
  <si>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</si>
  <si>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</si>
  <si>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</si>
  <si>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</si>
  <si>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</si>
  <si>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</si>
  <si>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</si>
  <si>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</si>
  <si>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</si>
  <si>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</si>
  <si>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</si>
  <si>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</si>
  <si>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</si>
  <si>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</si>
  <si>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</si>
  <si>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</si>
  <si>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</si>
  <si>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</si>
  <si>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</si>
  <si>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</si>
  <si>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</si>
  <si>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</si>
  <si>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</si>
  <si>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</si>
  <si>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</si>
  <si>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</si>
  <si>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</si>
  <si>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</si>
  <si>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</si>
  <si>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</si>
  <si>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</si>
  <si>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</si>
  <si>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</si>
  <si>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</si>
  <si>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</si>
  <si>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</si>
  <si>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</si>
  <si>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</si>
  <si>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</si>
  <si>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</si>
  <si>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</si>
  <si>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</si>
  <si>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</si>
  <si>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</si>
  <si>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</si>
  <si>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</si>
  <si>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</si>
  <si>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</si>
  <si>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</si>
  <si>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</si>
  <si>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</si>
  <si>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</si>
  <si>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</si>
  <si>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</si>
  <si>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</si>
  <si>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</si>
  <si>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</si>
  <si>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</si>
  <si>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</si>
  <si>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</si>
  <si>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</si>
  <si>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</si>
  <si>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</si>
  <si>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</si>
  <si>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</si>
  <si>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</si>
  <si>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</si>
  <si>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</si>
  <si>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</si>
  <si>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</si>
  <si>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</si>
  <si>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</si>
  <si>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</si>
  <si>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</si>
  <si>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</si>
  <si>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</si>
  <si>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</si>
  <si>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</si>
  <si>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</si>
  <si>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</si>
  <si>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</si>
  <si>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</si>
  <si>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</si>
  <si>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</si>
  <si>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</si>
  <si>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</si>
  <si>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</si>
  <si>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</si>
  <si>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</si>
  <si>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</si>
  <si>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</si>
  <si>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</si>
  <si>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</si>
  <si>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</si>
  <si>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</si>
  <si>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</si>
  <si>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</si>
  <si>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</si>
  <si>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</si>
  <si>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</si>
  <si>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</si>
  <si>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</si>
  <si>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</si>
  <si>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</si>
  <si>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</si>
  <si>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</si>
  <si>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</si>
  <si>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</si>
  <si>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</si>
  <si>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</si>
  <si>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</si>
  <si>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</si>
  <si>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</si>
  <si>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</si>
  <si>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</si>
  <si>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</si>
  <si>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</si>
  <si>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</si>
  <si>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</si>
  <si>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</si>
  <si>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</si>
  <si>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</si>
  <si>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</si>
  <si>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</si>
  <si>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</si>
  <si>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</si>
  <si>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</si>
  <si>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</si>
  <si>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</si>
  <si>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</si>
  <si>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</si>
  <si>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</si>
  <si>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</si>
  <si>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</si>
  <si>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</si>
  <si>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</si>
  <si>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</si>
  <si>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</si>
  <si>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</si>
  <si>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</si>
  <si>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</si>
  <si>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</si>
  <si>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</si>
  <si>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</si>
  <si>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</si>
  <si>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</si>
  <si>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</si>
  <si>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</si>
  <si>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</si>
  <si>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</si>
  <si>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</si>
  <si>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</si>
  <si>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</si>
  <si>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</si>
  <si>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</si>
  <si>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</si>
  <si>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</si>
  <si>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</si>
  <si>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</si>
  <si>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</si>
  <si>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</si>
  <si>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</si>
  <si>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</si>
  <si>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</si>
  <si>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</si>
  <si>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</si>
  <si>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</si>
  <si>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</si>
  <si>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</si>
  <si>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</si>
  <si>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</si>
  <si>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</si>
  <si>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</si>
  <si>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</si>
  <si>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</si>
  <si>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</si>
  <si>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</si>
  <si>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</si>
  <si>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</si>
  <si>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</si>
  <si>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</si>
  <si>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</si>
  <si>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</si>
  <si>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</si>
  <si>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</si>
  <si>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</si>
  <si>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</si>
  <si>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</si>
  <si>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</si>
  <si>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</si>
  <si>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</si>
  <si>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</si>
  <si>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</si>
  <si>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</si>
  <si>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</si>
  <si>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</si>
  <si>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</si>
  <si>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</si>
  <si>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</si>
  <si>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</si>
  <si>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</si>
  <si>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</si>
  <si>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</si>
  <si>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</si>
  <si>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</si>
  <si>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</si>
  <si>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</si>
  <si>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</si>
  <si>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</si>
  <si>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</si>
  <si>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</si>
  <si>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</si>
  <si>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</si>
  <si>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</si>
  <si>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</si>
  <si>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</si>
  <si>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</si>
  <si>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</si>
  <si>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</si>
  <si>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</si>
  <si>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</si>
  <si>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</si>
  <si>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</si>
  <si>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</si>
  <si>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</si>
  <si>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</si>
  <si>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</si>
  <si>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</si>
  <si>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</si>
  <si>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</si>
  <si>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</si>
  <si>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</si>
  <si>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</si>
  <si>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</si>
  <si>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</si>
  <si>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</si>
  <si>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</si>
  <si>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</si>
  <si>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</si>
  <si>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</si>
  <si>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</si>
  <si>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</si>
  <si>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</si>
  <si>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</si>
  <si>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</si>
  <si>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</si>
  <si>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</si>
  <si>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</si>
  <si>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</si>
  <si>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</si>
  <si>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</si>
  <si>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</si>
  <si>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</si>
  <si>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</si>
  <si>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</si>
  <si>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</si>
  <si>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</si>
  <si>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</si>
  <si>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</si>
  <si>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</si>
  <si>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</si>
  <si>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</si>
  <si>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</si>
  <si>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</si>
  <si>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</si>
  <si>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</si>
  <si>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</si>
  <si>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</si>
  <si>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</si>
  <si>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</si>
  <si>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</si>
  <si>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</si>
  <si>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</si>
  <si>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</si>
  <si>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</si>
  <si>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</si>
  <si>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</si>
  <si>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</si>
  <si>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</si>
  <si>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</si>
  <si>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</si>
  <si>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</si>
  <si>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</si>
  <si>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</si>
  <si>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</si>
  <si>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</si>
  <si>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</si>
  <si>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</si>
  <si>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</si>
  <si>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</si>
  <si>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</si>
  <si>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</si>
  <si>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</si>
  <si>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</si>
  <si>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</si>
  <si>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</si>
  <si>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</si>
  <si>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</si>
  <si>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</si>
  <si>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</si>
  <si>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</si>
  <si>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</si>
  <si>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</si>
  <si>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</si>
  <si>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</si>
  <si>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</si>
  <si>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</si>
  <si>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</si>
  <si>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</si>
  <si>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</si>
  <si>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</si>
  <si>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</si>
  <si>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</si>
  <si>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</si>
  <si>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</si>
  <si>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</si>
  <si>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</si>
  <si>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</si>
  <si>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</si>
  <si>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</si>
  <si>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</si>
  <si>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</si>
  <si>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</si>
  <si>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</si>
  <si>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</si>
  <si>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</si>
  <si>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</si>
  <si>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</si>
  <si>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</si>
  <si>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</si>
  <si>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</si>
  <si>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</si>
  <si>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</si>
  <si>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</si>
  <si>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</si>
  <si>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</si>
  <si>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</si>
  <si>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</si>
  <si>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</si>
  <si>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</si>
  <si>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</si>
  <si>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</si>
  <si>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</si>
  <si>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</si>
  <si>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</si>
  <si>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</si>
  <si>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</si>
  <si>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</si>
  <si>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</si>
  <si>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</si>
  <si>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</si>
  <si>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</si>
  <si>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</si>
  <si>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</si>
  <si>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</si>
  <si>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</si>
  <si>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</si>
  <si>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</si>
  <si>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</si>
  <si>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</si>
  <si>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</si>
  <si>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</si>
  <si>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</si>
  <si>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</si>
  <si>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</si>
  <si>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</si>
  <si>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</si>
  <si>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</si>
  <si>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</si>
  <si>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</si>
  <si>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</si>
  <si>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</si>
  <si>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</si>
  <si>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</si>
  <si>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</si>
  <si>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</si>
  <si>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</si>
  <si>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</si>
  <si>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</si>
  <si>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</si>
  <si>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</si>
  <si>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</si>
  <si>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</si>
  <si>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</si>
  <si>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</si>
  <si>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</si>
  <si>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</si>
  <si>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</si>
  <si>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</si>
  <si>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</si>
  <si>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</si>
  <si>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</si>
  <si>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</si>
  <si>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</si>
  <si>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</si>
  <si>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</si>
  <si>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</si>
  <si>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</si>
  <si>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</si>
  <si>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</si>
  <si>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</si>
  <si>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</si>
  <si>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</si>
  <si>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</si>
  <si>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</si>
  <si>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</si>
  <si>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</si>
  <si>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</si>
  <si>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</si>
  <si>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</si>
  <si>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</si>
  <si>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</si>
  <si>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</si>
  <si>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</si>
  <si>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</si>
  <si>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</si>
  <si>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</si>
  <si>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</si>
  <si>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</si>
  <si>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</si>
  <si>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</si>
  <si>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</si>
  <si>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</si>
  <si>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</si>
  <si>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</si>
  <si>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</si>
  <si>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</si>
  <si>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</si>
  <si>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</si>
  <si>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</si>
  <si>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</si>
  <si>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</si>
  <si>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</si>
  <si>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</si>
  <si>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</si>
  <si>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</si>
  <si>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</si>
  <si>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</si>
  <si>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</si>
  <si>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</si>
  <si>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</si>
  <si>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</si>
  <si>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</si>
  <si>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</si>
  <si>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</si>
  <si>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</si>
  <si>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</si>
  <si>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</si>
  <si>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</si>
  <si>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</si>
  <si>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</si>
  <si>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</si>
  <si>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</si>
  <si>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</si>
  <si>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</si>
  <si>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</si>
  <si>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</si>
  <si>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</si>
  <si>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</si>
  <si>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</si>
  <si>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</si>
  <si>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</si>
  <si>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</si>
  <si>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</si>
  <si>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</si>
  <si>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</si>
  <si>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</si>
  <si>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</si>
  <si>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</si>
  <si>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</si>
  <si>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</si>
  <si>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</si>
  <si>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</si>
  <si>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</si>
  <si>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</si>
  <si>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</si>
  <si>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</si>
  <si>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</si>
  <si>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</si>
  <si>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</si>
  <si>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</si>
  <si>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</si>
  <si>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</si>
  <si>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</si>
  <si>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</si>
  <si>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</si>
  <si>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</si>
  <si>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</si>
  <si>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</si>
  <si>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</si>
  <si>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</si>
  <si>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</si>
  <si>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</si>
  <si>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</si>
  <si>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</si>
  <si>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</si>
  <si>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</si>
  <si>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</si>
  <si>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</si>
  <si>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</si>
  <si>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</si>
  <si>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</si>
  <si>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</si>
  <si>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</si>
  <si>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</si>
  <si>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</si>
  <si>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</si>
  <si>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</si>
  <si>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</si>
  <si>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</si>
  <si>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</si>
  <si>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</si>
  <si>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</si>
  <si>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</si>
  <si>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</si>
  <si>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</si>
  <si>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</si>
  <si>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</si>
  <si>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</si>
  <si>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</si>
  <si>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</si>
  <si>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</si>
  <si>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</si>
  <si>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</si>
  <si>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</si>
  <si>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</si>
  <si>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</si>
  <si>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</si>
  <si>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</si>
  <si>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</si>
  <si>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</si>
  <si>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</si>
  <si>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</si>
  <si>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</si>
  <si>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</si>
  <si>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</si>
  <si>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</si>
  <si>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</si>
  <si>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</si>
  <si>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</si>
  <si>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</si>
  <si>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</si>
  <si>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</si>
  <si>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</si>
  <si>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</si>
  <si>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</si>
  <si>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</si>
  <si>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</si>
  <si>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</si>
  <si>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</si>
  <si>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</si>
  <si>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</si>
  <si>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</si>
  <si>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</si>
  <si>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</si>
  <si>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</si>
  <si>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</si>
  <si>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</si>
  <si>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</si>
  <si>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</si>
  <si>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</si>
  <si>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</si>
  <si>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</si>
  <si>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</si>
  <si>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</si>
  <si>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</si>
  <si>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</si>
  <si>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</si>
  <si>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</si>
  <si>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</si>
  <si>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</si>
  <si>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</si>
  <si>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</si>
  <si>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</si>
  <si>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</si>
  <si>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</si>
  <si>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</si>
  <si>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</si>
  <si>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</si>
  <si>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</si>
  <si>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</si>
  <si>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</si>
  <si>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</si>
  <si>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</si>
  <si>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</si>
  <si>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</si>
  <si>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</si>
  <si>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</si>
  <si>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</si>
  <si>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</si>
  <si>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</si>
  <si>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</si>
  <si>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</si>
  <si>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</si>
  <si>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</si>
  <si>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</si>
  <si>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</si>
  <si>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</si>
  <si>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</si>
  <si>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</si>
  <si>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</si>
  <si>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</si>
  <si>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</si>
  <si>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</si>
  <si>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</si>
  <si>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</si>
  <si>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</si>
  <si>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</si>
  <si>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</si>
  <si>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</si>
  <si>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</si>
  <si>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</si>
  <si>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</si>
  <si>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</si>
  <si>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</si>
  <si>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</si>
  <si>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</si>
  <si>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</si>
  <si>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</si>
  <si>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</si>
  <si>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</si>
  <si>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</si>
  <si>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</si>
  <si>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</si>
  <si>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</si>
  <si>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</si>
  <si>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</si>
  <si>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</si>
  <si>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</si>
  <si>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</si>
  <si>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</si>
  <si>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</si>
  <si>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</si>
  <si>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</si>
  <si>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</si>
  <si>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</si>
  <si>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</si>
  <si>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</si>
  <si>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</si>
  <si>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</si>
  <si>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</si>
  <si>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</si>
  <si>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</si>
  <si>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</si>
  <si>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</si>
  <si>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</si>
  <si>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</si>
  <si>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</si>
  <si>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</si>
  <si>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</si>
  <si>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</si>
  <si>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</si>
  <si>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</si>
  <si>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</si>
  <si>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</si>
  <si>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</si>
  <si>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</si>
  <si>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</si>
  <si>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</si>
  <si>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</si>
  <si>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</si>
  <si>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</si>
  <si>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</si>
  <si>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</si>
  <si>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</si>
  <si>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</si>
  <si>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</si>
  <si>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</si>
  <si>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</si>
  <si>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</si>
  <si>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</si>
  <si>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</si>
  <si>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</si>
  <si>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</si>
  <si>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</si>
  <si>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</si>
  <si>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</si>
  <si>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</si>
  <si>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</si>
  <si>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</si>
  <si>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</si>
  <si>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</si>
  <si>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</si>
  <si>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</si>
  <si>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</si>
  <si>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</si>
  <si>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</si>
  <si>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</si>
  <si>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</si>
  <si>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</si>
  <si>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</si>
  <si>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</si>
  <si>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</si>
  <si>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</si>
  <si>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</si>
  <si>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</si>
  <si>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</si>
  <si>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</si>
  <si>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</si>
  <si>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</si>
  <si>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</si>
  <si>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</si>
  <si>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</si>
  <si>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</si>
  <si>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</si>
  <si>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</si>
  <si>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</si>
  <si>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</si>
  <si>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</si>
  <si>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</si>
  <si>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</si>
  <si>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</si>
  <si>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</si>
  <si>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</si>
  <si>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</si>
  <si>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</si>
  <si>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</si>
  <si>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</si>
  <si>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</si>
  <si>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</si>
  <si>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</si>
  <si>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</si>
  <si>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</si>
  <si>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</si>
  <si>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</si>
  <si>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</si>
  <si>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</si>
  <si>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</si>
  <si>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</si>
  <si>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</si>
  <si>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</si>
  <si>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</si>
  <si>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</si>
  <si>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</si>
  <si>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</si>
  <si>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</si>
  <si>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</si>
  <si>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</si>
  <si>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</si>
  <si>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</si>
  <si>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</si>
  <si>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</si>
  <si>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</si>
  <si>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</si>
  <si>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</si>
  <si>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</si>
  <si>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</si>
  <si>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</si>
  <si>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</si>
  <si>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</si>
  <si>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</si>
  <si>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</si>
  <si>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</si>
  <si>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</si>
  <si>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</si>
  <si>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</si>
  <si>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</si>
  <si>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</si>
  <si>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</si>
  <si>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</si>
  <si>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</si>
  <si>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</si>
  <si>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</si>
  <si>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</si>
  <si>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</si>
  <si>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</si>
  <si>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</si>
  <si>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</si>
  <si>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</si>
  <si>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</si>
  <si>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</si>
  <si>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</si>
  <si>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</si>
  <si>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</si>
  <si>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</si>
  <si>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</si>
  <si>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</si>
  <si>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</si>
  <si>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</si>
  <si>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</si>
  <si>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</si>
  <si>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</si>
  <si>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</si>
  <si>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</si>
  <si>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</si>
  <si>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</si>
  <si>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</si>
  <si>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</si>
  <si>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</si>
  <si>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</si>
  <si>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</si>
  <si>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</si>
  <si>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</si>
  <si>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</si>
  <si>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</si>
  <si>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</si>
  <si>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</si>
  <si>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</si>
  <si>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</si>
  <si>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</si>
  <si>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</si>
  <si>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</si>
  <si>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</si>
  <si>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</si>
  <si>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</si>
  <si>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</si>
  <si>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</si>
  <si>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</si>
  <si>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</si>
  <si>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</si>
  <si>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</si>
  <si>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</si>
  <si>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</si>
  <si>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</si>
  <si>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</si>
  <si>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</si>
  <si>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</si>
  <si>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</si>
  <si>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</si>
  <si>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</si>
  <si>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</si>
  <si>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</si>
  <si>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</si>
  <si>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</si>
  <si>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</si>
  <si>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</si>
  <si>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</si>
  <si>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</si>
  <si>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</si>
  <si>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</si>
  <si>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</si>
  <si>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</si>
  <si>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</si>
  <si>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</si>
  <si>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</si>
  <si>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</si>
  <si>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</si>
  <si>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</si>
  <si>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</si>
  <si>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</si>
  <si>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</si>
  <si>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</si>
  <si>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</si>
  <si>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</si>
  <si>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</si>
  <si>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</si>
  <si>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</si>
  <si>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</si>
  <si>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</si>
  <si>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</si>
  <si>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</si>
  <si>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</si>
  <si>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</si>
  <si>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</si>
  <si>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</si>
  <si>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</si>
  <si>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</si>
  <si>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</si>
  <si>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</si>
  <si>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</si>
  <si>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</si>
  <si>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</si>
  <si>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</si>
  <si>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</si>
  <si>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</si>
  <si>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</si>
  <si>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</si>
  <si>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</si>
  <si>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</si>
  <si>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</si>
  <si>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</si>
  <si>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</si>
  <si>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</si>
  <si>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</si>
  <si>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</si>
  <si>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</si>
  <si>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</si>
  <si>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</si>
  <si>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</si>
  <si>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</si>
  <si>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</si>
  <si>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</si>
  <si>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</si>
  <si>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</si>
  <si>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</si>
  <si>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</si>
  <si>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</si>
  <si>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</si>
  <si>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</si>
  <si>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</si>
  <si>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</si>
  <si>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</si>
  <si>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</si>
  <si>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</si>
  <si>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</si>
  <si>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</si>
  <si>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</si>
  <si>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</si>
  <si>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</si>
  <si>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</si>
  <si>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</si>
  <si>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</si>
  <si>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</si>
  <si>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</si>
  <si>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</si>
  <si>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</si>
  <si>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</si>
  <si>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</si>
  <si>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</si>
  <si>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</si>
  <si>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</si>
  <si>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</si>
  <si>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</si>
  <si>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</si>
  <si>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</si>
  <si>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</si>
  <si>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</si>
  <si>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</si>
  <si>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</si>
  <si>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</si>
  <si>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</si>
  <si>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</si>
  <si>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</si>
  <si>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</si>
  <si>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</si>
  <si>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</si>
  <si>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</si>
  <si>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</si>
  <si>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</si>
  <si>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</si>
  <si>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</si>
  <si>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</si>
  <si>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</si>
  <si>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</si>
  <si>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</si>
  <si>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</si>
  <si>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</si>
  <si>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</si>
  <si>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</si>
  <si>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</si>
  <si>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</si>
  <si>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</si>
  <si>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</si>
  <si>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</si>
  <si>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</si>
  <si>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</si>
  <si>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</si>
  <si>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</si>
  <si>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</si>
  <si>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</si>
  <si>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</si>
  <si>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</si>
  <si>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</si>
  <si>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</si>
  <si>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</si>
  <si>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</si>
  <si>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</si>
  <si>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</si>
  <si>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</si>
  <si>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</si>
  <si>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</si>
  <si>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</si>
  <si>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</si>
  <si>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</si>
  <si>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</si>
  <si>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</si>
  <si>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</si>
  <si>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</si>
  <si>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</si>
  <si>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</si>
  <si>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</si>
  <si>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</si>
  <si>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</si>
  <si>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</si>
  <si>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</si>
  <si>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</si>
  <si>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</si>
  <si>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</si>
  <si>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</si>
  <si>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</si>
  <si>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</si>
  <si>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</si>
  <si>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</si>
  <si>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</si>
  <si>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</si>
  <si>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</si>
  <si>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</si>
  <si>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</si>
  <si>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</si>
  <si>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</si>
  <si>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</si>
  <si>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</si>
  <si>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</si>
  <si>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</si>
  <si>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</si>
  <si>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</si>
  <si>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</si>
  <si>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</si>
  <si>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</si>
  <si>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</si>
  <si>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</si>
  <si>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</si>
  <si>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</si>
  <si>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</si>
  <si>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</si>
  <si>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</si>
  <si>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</si>
  <si>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</si>
  <si>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</si>
  <si>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</si>
  <si>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</si>
  <si>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</si>
  <si>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</si>
  <si>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</si>
  <si>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</si>
  <si>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</si>
  <si>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</si>
  <si>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</si>
  <si>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</si>
  <si>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</si>
  <si>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</si>
  <si>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</si>
  <si>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</si>
  <si>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</si>
  <si>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</si>
  <si>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</si>
  <si>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</si>
  <si>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</si>
  <si>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</si>
  <si>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</si>
  <si>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</si>
  <si>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</si>
  <si>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</si>
  <si>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</si>
  <si>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</si>
  <si>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</si>
  <si>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</si>
  <si>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</si>
  <si>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</si>
  <si>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</si>
  <si>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</si>
  <si>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</si>
  <si>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</si>
  <si>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</si>
  <si>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</si>
  <si>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</si>
  <si>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</si>
  <si>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</si>
  <si>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</si>
  <si>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</si>
  <si>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</si>
  <si>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</si>
  <si>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</si>
  <si>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</si>
  <si>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</si>
  <si>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</si>
  <si>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</si>
  <si>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</si>
  <si>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</si>
  <si>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</si>
  <si>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</si>
  <si>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</si>
  <si>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</si>
  <si>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</si>
  <si>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</si>
  <si>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</si>
  <si>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</si>
  <si>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</si>
  <si>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</si>
  <si>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</si>
  <si>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</si>
  <si>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</si>
  <si>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</si>
  <si>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</si>
  <si>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</si>
  <si>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</si>
  <si>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</si>
  <si>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</si>
  <si>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</si>
  <si>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</si>
  <si>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</si>
  <si>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</si>
  <si>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</si>
  <si>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</si>
  <si>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</si>
  <si>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</si>
  <si>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</si>
  <si>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</si>
  <si>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</si>
  <si>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</si>
  <si>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</si>
  <si>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</si>
  <si>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</si>
  <si>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</si>
  <si>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</si>
  <si>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</si>
  <si>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</si>
  <si>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</si>
  <si>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</si>
  <si>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</si>
  <si>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</si>
  <si>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</si>
  <si>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</si>
  <si>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</si>
  <si>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</si>
  <si>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</si>
  <si>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</si>
  <si>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</si>
  <si>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</si>
  <si>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</si>
  <si>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</si>
  <si>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</si>
  <si>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</si>
  <si>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</si>
  <si>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</si>
  <si>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</si>
  <si>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</si>
  <si>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</si>
  <si>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</si>
  <si>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</si>
  <si>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</si>
  <si>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</si>
  <si>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</si>
  <si>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</si>
  <si>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</si>
  <si>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</si>
  <si>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</si>
  <si>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</si>
  <si>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</si>
  <si>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</si>
  <si>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</si>
  <si>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</si>
  <si>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</si>
  <si>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</si>
  <si>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</si>
  <si>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</si>
  <si>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</si>
  <si>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</si>
  <si>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</si>
  <si>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</si>
  <si>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</si>
  <si>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</si>
  <si>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</si>
  <si>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</si>
  <si>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</si>
  <si>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</si>
  <si>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</si>
  <si>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</si>
  <si>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</si>
  <si>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</si>
  <si>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</si>
  <si>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</si>
  <si>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</si>
  <si>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</si>
  <si>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</si>
  <si>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</si>
  <si>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</si>
  <si>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</si>
  <si>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</si>
  <si>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</si>
  <si>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</si>
  <si>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</si>
  <si>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</si>
  <si>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</si>
  <si>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</si>
  <si>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</si>
  <si>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</si>
  <si>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</si>
  <si>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</si>
  <si>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</si>
  <si>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</si>
  <si>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</si>
  <si>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</si>
  <si>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</si>
  <si>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</si>
  <si>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</si>
  <si>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</si>
  <si>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</si>
  <si>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</si>
  <si>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</si>
  <si>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</si>
  <si>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</si>
  <si>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</si>
  <si>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</si>
  <si>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</si>
  <si>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</si>
  <si>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</si>
  <si>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</si>
  <si>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</si>
  <si>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</si>
  <si>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</si>
  <si>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</si>
  <si>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</si>
  <si>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</si>
  <si>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</si>
  <si>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</si>
  <si>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</si>
  <si>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</si>
  <si>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</si>
  <si>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</si>
  <si>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</si>
  <si>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</si>
  <si>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</si>
  <si>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</si>
  <si>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</si>
  <si>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</si>
  <si>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</si>
  <si>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</si>
  <si>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</si>
  <si>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</si>
  <si>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</si>
  <si>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</si>
  <si>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</si>
  <si>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</si>
  <si>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</si>
  <si>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</si>
  <si>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</si>
  <si>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</si>
  <si>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</si>
  <si>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</si>
  <si>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</si>
  <si>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</si>
  <si>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</si>
  <si>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</si>
  <si>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</si>
  <si>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</si>
  <si>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</si>
  <si>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</si>
  <si>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</si>
  <si>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</si>
  <si>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</si>
  <si>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</si>
  <si>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</si>
  <si>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</si>
  <si>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</si>
  <si>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</si>
  <si>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</si>
  <si>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</si>
  <si>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</si>
  <si>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</si>
  <si>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</si>
  <si>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</si>
  <si>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</si>
  <si>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</si>
  <si>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</si>
  <si>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</si>
  <si>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</si>
  <si>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</si>
  <si>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</si>
  <si>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</si>
  <si>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</si>
  <si>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</si>
  <si>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</si>
  <si>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</si>
  <si>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</si>
  <si>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</si>
  <si>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</si>
  <si>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</si>
  <si>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</si>
  <si>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</si>
  <si>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</si>
  <si>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</si>
  <si>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</si>
  <si>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</si>
  <si>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</si>
  <si>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</si>
  <si>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</si>
  <si>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</si>
  <si>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</si>
  <si>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</si>
  <si>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</si>
  <si>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</si>
  <si>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</si>
  <si>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</si>
  <si>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</si>
  <si>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</si>
  <si>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</si>
  <si>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</si>
  <si>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</si>
  <si>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</si>
  <si>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</si>
  <si>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</si>
  <si>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</si>
  <si>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</si>
  <si>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</si>
  <si>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</si>
  <si>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</si>
  <si>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</si>
  <si>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</si>
  <si>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</si>
  <si>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</si>
  <si>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</si>
  <si>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</si>
  <si>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</si>
  <si>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</si>
  <si>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</si>
  <si>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</si>
  <si>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</si>
  <si>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</si>
  <si>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</si>
  <si>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</si>
  <si>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</si>
  <si>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</si>
  <si>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</si>
  <si>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</si>
  <si>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</si>
  <si>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</si>
  <si>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</si>
  <si>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</si>
  <si>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</si>
  <si>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</si>
  <si>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</si>
  <si>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</si>
  <si>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</si>
  <si>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</si>
  <si>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</si>
  <si>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</si>
  <si>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</si>
  <si>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</si>
  <si>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</si>
  <si>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</si>
  <si>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</si>
  <si>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</si>
  <si>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</si>
  <si>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</si>
  <si>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</si>
  <si>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</si>
  <si>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</si>
  <si>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</si>
  <si>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</si>
  <si>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</si>
  <si>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</si>
  <si>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</si>
  <si>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</si>
  <si>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</si>
  <si>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</si>
  <si>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</si>
  <si>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</si>
  <si>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</si>
  <si>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</si>
  <si>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</si>
  <si>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</si>
  <si>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</si>
  <si>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</si>
  <si>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</si>
  <si>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</si>
  <si>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</si>
  <si>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</si>
  <si>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</si>
  <si>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</si>
  <si>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</si>
  <si>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</si>
  <si>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</si>
  <si>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</si>
  <si>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</si>
  <si>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</si>
  <si>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</si>
  <si>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</si>
  <si>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</si>
  <si>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</si>
  <si>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</si>
  <si>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</si>
  <si>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</si>
  <si>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</si>
  <si>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</si>
  <si>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</si>
  <si>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</si>
  <si>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</si>
  <si>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</si>
  <si>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</si>
  <si>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</si>
  <si>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</si>
  <si>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</si>
  <si>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</si>
  <si>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</si>
  <si>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</si>
  <si>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</si>
  <si>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</si>
  <si>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</si>
  <si>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</si>
  <si>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</si>
  <si>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</si>
  <si>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</si>
  <si>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</si>
  <si>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</si>
  <si>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</si>
  <si>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</si>
  <si>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</si>
  <si>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</si>
  <si>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</si>
  <si>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</si>
  <si>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</si>
  <si>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</si>
  <si>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</si>
  <si>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</si>
  <si>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</si>
  <si>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</si>
  <si>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</si>
  <si>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</si>
  <si>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</si>
  <si>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</si>
  <si>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</si>
  <si>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</si>
  <si>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</si>
  <si>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</si>
  <si>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</si>
  <si>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</si>
  <si>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</si>
  <si>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</si>
  <si>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</si>
  <si>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</si>
  <si>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</si>
  <si>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</si>
  <si>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</si>
  <si>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</si>
  <si>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</si>
  <si>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</si>
  <si>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</si>
  <si>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</si>
  <si>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</si>
  <si>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</si>
  <si>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</si>
  <si>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</si>
  <si>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</si>
  <si>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</si>
  <si>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</si>
  <si>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</si>
  <si>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</si>
  <si>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</si>
  <si>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</si>
  <si>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</si>
  <si>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</si>
  <si>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</si>
  <si>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</si>
  <si>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</si>
  <si>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</si>
  <si>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</si>
  <si>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</si>
  <si>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</si>
  <si>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</si>
  <si>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</si>
  <si>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</si>
  <si>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</si>
  <si>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</si>
  <si>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</si>
  <si>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</si>
  <si>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</si>
  <si>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</si>
  <si>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</si>
  <si>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</si>
  <si>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</si>
  <si>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</si>
  <si>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</si>
  <si>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</si>
  <si>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</si>
  <si>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</si>
  <si>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</si>
  <si>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</si>
  <si>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</si>
  <si>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</si>
  <si>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</si>
  <si>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</si>
  <si>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</si>
  <si>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</si>
  <si>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</si>
  <si>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</si>
  <si>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</si>
  <si>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</si>
  <si>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</si>
  <si>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</si>
  <si>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</si>
  <si>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</si>
  <si>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</si>
  <si>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</si>
  <si>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</si>
  <si>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</si>
  <si>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</si>
  <si>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</si>
  <si>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</si>
  <si>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</si>
  <si>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</si>
  <si>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</si>
  <si>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</si>
  <si>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</si>
  <si>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</si>
  <si>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</si>
  <si>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</si>
  <si>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</si>
  <si>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</si>
  <si>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</si>
  <si>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</si>
  <si>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</si>
  <si>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</si>
  <si>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</si>
  <si>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</si>
  <si>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</si>
  <si>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</si>
  <si>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</si>
  <si>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</si>
  <si>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</si>
  <si>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</si>
  <si>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</si>
  <si>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</si>
  <si>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</si>
  <si>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</si>
  <si>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</si>
  <si>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</si>
  <si>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</si>
  <si>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</si>
  <si>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</si>
  <si>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</si>
  <si>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</si>
  <si>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</si>
  <si>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</si>
  <si>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</si>
  <si>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</si>
  <si>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</si>
  <si>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</si>
  <si>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</si>
  <si>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</si>
  <si>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</si>
  <si>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</si>
  <si>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</si>
  <si>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</si>
  <si>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</si>
  <si>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</si>
  <si>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</si>
  <si>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</si>
  <si>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</si>
  <si>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</si>
  <si>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</si>
  <si>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</si>
  <si>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</si>
  <si>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</si>
  <si>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</si>
  <si>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</si>
  <si>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</si>
  <si>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</si>
  <si>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</si>
  <si>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</si>
  <si>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</si>
  <si>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</si>
  <si>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</si>
  <si>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</si>
  <si>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</si>
  <si>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</si>
  <si>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</si>
  <si>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</si>
  <si>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</si>
  <si>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</si>
  <si>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</si>
  <si>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</si>
  <si>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</si>
  <si>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</si>
  <si>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</si>
  <si>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</si>
  <si>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</si>
  <si>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</si>
  <si>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</si>
  <si>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</si>
  <si>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</si>
  <si>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</si>
  <si>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</si>
  <si>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</si>
  <si>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</si>
  <si>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</si>
  <si>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</si>
  <si>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</si>
  <si>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</si>
  <si>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</si>
  <si>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</si>
  <si>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</si>
  <si>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</si>
  <si>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</si>
  <si>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</si>
  <si>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</si>
  <si>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</si>
  <si>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</si>
  <si>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</si>
  <si>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</si>
  <si>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</si>
  <si>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</si>
  <si>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</si>
  <si>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</si>
  <si>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</si>
  <si>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</si>
  <si>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</si>
  <si>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</si>
  <si>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</si>
  <si>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</si>
  <si>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</si>
  <si>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</si>
  <si>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</si>
  <si>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</si>
  <si>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</si>
  <si>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</si>
  <si>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</si>
  <si>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</si>
  <si>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</si>
  <si>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</si>
  <si>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</si>
  <si>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</si>
  <si>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</si>
  <si>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</si>
  <si>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</si>
  <si>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</si>
  <si>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</si>
  <si>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</si>
  <si>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</si>
  <si>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</si>
  <si>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</si>
  <si>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</si>
  <si>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</si>
  <si>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</si>
  <si>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</si>
  <si>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</si>
  <si>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</si>
  <si>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</si>
  <si>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</si>
  <si>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</si>
  <si>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</si>
  <si>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</si>
  <si>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</si>
  <si>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</si>
  <si>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</si>
  <si>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</si>
  <si>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</si>
  <si>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</si>
  <si>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</si>
  <si>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</si>
  <si>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</si>
  <si>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</si>
  <si>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</si>
  <si>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</si>
  <si>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</si>
  <si>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</si>
  <si>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</si>
  <si>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</si>
  <si>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</si>
  <si>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</si>
  <si>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</si>
  <si>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</si>
  <si>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</si>
  <si>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</si>
  <si>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</si>
  <si>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</si>
  <si>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</si>
  <si>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</si>
  <si>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</si>
  <si>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</si>
  <si>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</si>
  <si>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</si>
  <si>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</si>
  <si>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</si>
  <si>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</si>
  <si>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</si>
  <si>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</si>
  <si>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</si>
  <si>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</si>
  <si>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</si>
  <si>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</si>
  <si>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</si>
  <si>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</si>
  <si>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</si>
  <si>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</si>
  <si>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</si>
  <si>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</si>
  <si>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</si>
  <si>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</si>
  <si>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</si>
  <si>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</si>
  <si>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</si>
  <si>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</si>
  <si>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</si>
  <si>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</si>
  <si>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</si>
  <si>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</si>
  <si>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</si>
  <si>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</si>
  <si>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</si>
  <si>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</si>
  <si>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</si>
  <si>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</si>
  <si>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</si>
  <si>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</si>
  <si>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</si>
  <si>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</si>
  <si>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</si>
  <si>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</si>
  <si>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</si>
  <si>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</si>
  <si>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</si>
  <si>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</si>
  <si>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</si>
  <si>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</si>
  <si>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</si>
  <si>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</si>
  <si>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</si>
  <si>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</si>
  <si>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</si>
  <si>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</si>
  <si>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</si>
  <si>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</si>
  <si>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</si>
  <si>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</si>
  <si>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</si>
  <si>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</si>
  <si>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</si>
  <si>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</si>
  <si>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</si>
  <si>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</si>
  <si>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</si>
  <si>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</si>
  <si>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</si>
  <si>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</si>
  <si>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</si>
  <si>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</si>
  <si>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</si>
  <si>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</si>
  <si>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</si>
  <si>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</si>
  <si>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</si>
  <si>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</si>
  <si>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</si>
  <si>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</si>
  <si>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</si>
  <si>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</si>
  <si>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</si>
  <si>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</si>
  <si>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</si>
  <si>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</si>
  <si>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</si>
  <si>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</si>
  <si>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</si>
  <si>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</si>
  <si>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</si>
  <si>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</si>
  <si>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</si>
  <si>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</si>
  <si>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</si>
  <si>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</si>
  <si>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</si>
  <si>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</si>
  <si>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</si>
  <si>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</si>
  <si>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</si>
  <si>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</si>
  <si>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</si>
  <si>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</si>
  <si>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</si>
  <si>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</si>
  <si>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</si>
  <si>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</si>
  <si>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</si>
  <si>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</si>
  <si>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</si>
  <si>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</si>
  <si>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</si>
  <si>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</si>
  <si>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</si>
  <si>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</si>
  <si>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</si>
  <si>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</si>
  <si>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</si>
  <si>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</si>
  <si>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</si>
  <si>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</si>
  <si>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</si>
  <si>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</si>
  <si>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</si>
  <si>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</si>
  <si>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</si>
  <si>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</si>
  <si>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</si>
  <si>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</si>
  <si>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</si>
  <si>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</si>
  <si>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</si>
  <si>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</si>
  <si>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</si>
  <si>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</si>
  <si>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</si>
  <si>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</si>
  <si>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</si>
  <si>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</si>
  <si>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</si>
  <si>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</si>
  <si>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</si>
  <si>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</si>
  <si>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</si>
  <si>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</si>
  <si>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</si>
  <si>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</si>
  <si>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</si>
  <si>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</si>
  <si>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</si>
  <si>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</si>
  <si>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</si>
  <si>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</si>
  <si>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</si>
  <si>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</si>
  <si>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</si>
  <si>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</si>
  <si>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</si>
  <si>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</si>
  <si>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</si>
  <si>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</si>
  <si>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</si>
  <si>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</si>
  <si>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</si>
  <si>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</si>
  <si>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</si>
  <si>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</si>
  <si>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</si>
  <si>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</si>
  <si>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</si>
  <si>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</si>
  <si>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</si>
  <si>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</si>
  <si>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</si>
  <si>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</si>
  <si>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</si>
  <si>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</si>
  <si>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</si>
  <si>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</si>
  <si>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</si>
  <si>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</si>
  <si>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</si>
  <si>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</si>
  <si>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</si>
  <si>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</si>
  <si>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</si>
  <si>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</si>
  <si>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</si>
  <si>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</si>
  <si>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</si>
  <si>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</si>
  <si>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</si>
  <si>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</si>
  <si>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</si>
  <si>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</si>
  <si>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</si>
  <si>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</si>
  <si>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</si>
  <si>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</si>
  <si>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</si>
  <si>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</si>
  <si>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</si>
  <si>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</si>
  <si>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</si>
  <si>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</si>
  <si>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</si>
  <si>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</si>
  <si>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</si>
  <si>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</si>
  <si>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</si>
  <si>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</si>
  <si>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</si>
  <si>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</si>
  <si>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</si>
  <si>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</si>
  <si>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</si>
  <si>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</si>
  <si>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</si>
  <si>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</si>
  <si>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</si>
  <si>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</si>
  <si>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</si>
  <si>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</si>
  <si>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</si>
  <si>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</si>
  <si>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</si>
  <si>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</si>
  <si>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</si>
  <si>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</si>
  <si>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</si>
  <si>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</si>
  <si>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</si>
  <si>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</si>
  <si>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</si>
  <si>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</si>
  <si>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</si>
  <si>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</si>
  <si>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</si>
  <si>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</si>
  <si>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</si>
  <si>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</si>
  <si>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</si>
  <si>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</si>
  <si>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</si>
  <si>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</si>
  <si>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</si>
  <si>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</si>
  <si>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</si>
  <si>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</si>
  <si>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</si>
  <si>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</si>
  <si>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</si>
  <si>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</si>
  <si>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</si>
  <si>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</si>
  <si>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</si>
  <si>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</si>
  <si>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</si>
  <si>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</si>
  <si>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</si>
  <si>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</si>
  <si>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</si>
  <si>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</si>
  <si>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</si>
  <si>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</si>
  <si>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</si>
  <si>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</si>
  <si>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</si>
  <si>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</si>
  <si>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</si>
  <si>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</si>
  <si>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</si>
  <si>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</si>
  <si>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</si>
  <si>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</si>
  <si>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</si>
  <si>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</si>
  <si>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</si>
  <si>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</si>
  <si>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</si>
  <si>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</si>
  <si>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</si>
  <si>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</si>
  <si>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</si>
  <si>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</si>
  <si>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</si>
  <si>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</si>
  <si>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</si>
  <si>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</si>
  <si>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</si>
  <si>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</si>
  <si>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</si>
  <si>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</si>
  <si>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</si>
  <si>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</si>
  <si>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</si>
  <si>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</si>
  <si>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</si>
  <si>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</si>
  <si>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</si>
  <si>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</si>
  <si>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</si>
  <si>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</si>
  <si>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</si>
  <si>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</si>
  <si>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</si>
  <si>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</si>
  <si>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</si>
  <si>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</si>
  <si>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</si>
  <si>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</si>
  <si>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</si>
  <si>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</si>
  <si>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</si>
  <si>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</si>
  <si>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</si>
  <si>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</si>
  <si>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</si>
  <si>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</si>
  <si>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</si>
  <si>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</si>
  <si>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</si>
  <si>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</si>
  <si>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</si>
  <si>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</si>
  <si>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</si>
  <si>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</si>
  <si>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</si>
  <si>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</si>
  <si>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</si>
  <si>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</si>
  <si>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</si>
  <si>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</si>
  <si>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</si>
  <si>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</si>
  <si>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</si>
  <si>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</si>
  <si>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</si>
  <si>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</si>
  <si>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</si>
  <si>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</si>
  <si>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</si>
  <si>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</si>
  <si>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</si>
  <si>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</si>
  <si>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</si>
  <si>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</si>
  <si>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</si>
  <si>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</si>
  <si>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</si>
  <si>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</si>
  <si>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</si>
  <si>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</si>
  <si>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</si>
  <si>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</si>
  <si>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</si>
  <si>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</si>
  <si>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</si>
  <si>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</si>
  <si>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</si>
  <si>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</si>
  <si>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</si>
  <si>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</si>
  <si>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</si>
  <si>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</si>
  <si>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</si>
  <si>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</si>
  <si>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</si>
  <si>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</si>
  <si>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</si>
  <si>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</si>
  <si>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</si>
  <si>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</si>
  <si>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</si>
  <si>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</si>
  <si>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</si>
  <si>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</si>
  <si>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</si>
  <si>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</si>
  <si>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</si>
  <si>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</si>
  <si>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</si>
  <si>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</si>
  <si>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</si>
  <si>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</si>
  <si>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</si>
  <si>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</si>
  <si>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</si>
  <si>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</si>
  <si>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</si>
  <si>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</si>
  <si>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</si>
  <si>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</si>
  <si>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</si>
  <si>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</si>
  <si>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</si>
  <si>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</si>
  <si>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</si>
  <si>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</si>
  <si>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</si>
  <si>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</si>
  <si>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</si>
  <si>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</si>
  <si>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</si>
  <si>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</si>
  <si>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</si>
  <si>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</si>
  <si>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</si>
  <si>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</si>
  <si>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</si>
  <si>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</si>
  <si>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</si>
  <si>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</si>
  <si>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</si>
  <si>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</si>
  <si>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</si>
  <si>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</si>
  <si>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</si>
  <si>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</si>
  <si>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</si>
  <si>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</si>
  <si>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</si>
  <si>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</si>
  <si>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</si>
  <si>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</si>
  <si>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</si>
  <si>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</si>
  <si>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</si>
  <si>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</si>
  <si>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</si>
  <si>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</si>
  <si>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</si>
  <si>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</si>
  <si>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</si>
  <si>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</si>
  <si>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</si>
  <si>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</si>
  <si>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</si>
  <si>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</si>
  <si>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</si>
  <si>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</si>
  <si>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</si>
  <si>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</si>
  <si>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</si>
  <si>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</si>
  <si>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</si>
  <si>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</si>
  <si>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</si>
  <si>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</si>
  <si>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</si>
  <si>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</si>
  <si>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</si>
  <si>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</si>
  <si>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</si>
  <si>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</si>
  <si>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</si>
  <si>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</si>
  <si>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</si>
  <si>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</si>
  <si>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</si>
  <si>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</si>
  <si>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</si>
  <si>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</si>
  <si>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</si>
  <si>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</si>
  <si>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</si>
  <si>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</si>
  <si>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</si>
  <si>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</si>
  <si>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</si>
  <si>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</si>
  <si>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</si>
  <si>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</si>
  <si>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</si>
  <si>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</si>
  <si>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</si>
  <si>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</si>
  <si>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</si>
  <si>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</si>
  <si>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</si>
  <si>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</si>
  <si>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</si>
  <si>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</si>
  <si>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</si>
  <si>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</si>
  <si>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</si>
  <si>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</si>
  <si>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</si>
  <si>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</si>
  <si>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</si>
  <si>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</si>
  <si>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</si>
  <si>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</si>
  <si>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</si>
  <si>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</si>
  <si>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</si>
  <si>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</si>
  <si>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</si>
  <si>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</si>
  <si>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</si>
  <si>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</si>
  <si>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</si>
  <si>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</si>
  <si>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</si>
  <si>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</si>
  <si>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</si>
  <si>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</si>
  <si>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</si>
  <si>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</si>
  <si>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</si>
  <si>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</si>
  <si>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</si>
  <si>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</si>
  <si>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</si>
  <si>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</si>
  <si>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</si>
  <si>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</si>
  <si>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</si>
  <si>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</si>
  <si>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</si>
  <si>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</si>
  <si>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</si>
  <si>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</si>
  <si>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</si>
  <si>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</si>
  <si>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</si>
  <si>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</si>
  <si>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</si>
  <si>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</si>
  <si>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</si>
  <si>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</si>
  <si>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</si>
  <si>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</si>
  <si>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</si>
  <si>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</si>
  <si>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</si>
  <si>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</si>
  <si>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</si>
  <si>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</si>
  <si>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</si>
  <si>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</si>
  <si>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</si>
  <si>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</si>
  <si>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</si>
  <si>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</si>
  <si>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</si>
  <si>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</si>
  <si>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</si>
  <si>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</si>
  <si>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</si>
  <si>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</si>
  <si>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</si>
  <si>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</si>
  <si>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</si>
  <si>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</si>
  <si>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</si>
  <si>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</si>
  <si>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</si>
  <si>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</si>
  <si>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</si>
  <si>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</si>
  <si>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</si>
  <si>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</si>
  <si>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</si>
  <si>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</si>
  <si>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</si>
  <si>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</si>
  <si>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</si>
  <si>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</si>
  <si>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</si>
  <si>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</si>
  <si>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</si>
  <si>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</si>
  <si>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</si>
  <si>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</si>
  <si>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</si>
  <si>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</si>
  <si>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</si>
  <si>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</si>
  <si>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</si>
  <si>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</si>
  <si>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</si>
  <si>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</si>
  <si>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</si>
  <si>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</si>
  <si>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</si>
  <si>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</si>
  <si>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</si>
  <si>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</si>
  <si>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</si>
  <si>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</si>
  <si>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</si>
  <si>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</si>
  <si>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</si>
  <si>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</si>
  <si>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</si>
  <si>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</si>
  <si>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</si>
  <si>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</si>
  <si>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</si>
  <si>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</si>
  <si>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</si>
  <si>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</si>
  <si>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</si>
  <si>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</si>
  <si>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</si>
  <si>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</si>
  <si>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</si>
  <si>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</si>
  <si>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</si>
  <si>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</si>
  <si>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</si>
  <si>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</si>
  <si>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</si>
  <si>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</si>
  <si>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</si>
  <si>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</si>
  <si>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</si>
  <si>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</si>
  <si>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</si>
  <si>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</si>
  <si>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</si>
  <si>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</si>
  <si>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</si>
  <si>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</si>
  <si>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</si>
  <si>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</si>
  <si>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</si>
  <si>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</si>
  <si>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</si>
  <si>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</si>
  <si>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</si>
  <si>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</si>
  <si>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</si>
  <si>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</si>
  <si>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</si>
  <si>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</si>
  <si>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</si>
  <si>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</si>
  <si>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</si>
  <si>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</si>
  <si>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</si>
  <si>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</si>
  <si>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</si>
  <si>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</si>
  <si>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</si>
  <si>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</si>
  <si>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</si>
  <si>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</si>
  <si>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</si>
  <si>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</si>
  <si>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</si>
  <si>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</si>
  <si>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</si>
  <si>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</si>
  <si>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</si>
  <si>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</si>
  <si>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</si>
  <si>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</si>
  <si>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</si>
  <si>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</si>
  <si>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</si>
  <si>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</si>
  <si>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</si>
  <si>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</si>
  <si>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</si>
  <si>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</si>
  <si>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</si>
  <si>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</si>
  <si>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</si>
  <si>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</si>
  <si>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</si>
  <si>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</si>
  <si>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</si>
  <si>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</si>
  <si>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</si>
  <si>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</si>
  <si>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</si>
  <si>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</si>
  <si>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</si>
  <si>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</si>
  <si>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</si>
  <si>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</si>
  <si>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</si>
  <si>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</si>
  <si>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</si>
  <si>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</si>
  <si>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</si>
  <si>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</si>
  <si>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</si>
  <si>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</si>
  <si>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</si>
  <si>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</si>
  <si>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</si>
  <si>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</si>
  <si>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</si>
  <si>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</si>
  <si>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</si>
  <si>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</si>
  <si>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</si>
  <si>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</si>
  <si>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</si>
  <si>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</si>
  <si>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</si>
  <si>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</si>
  <si>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</si>
  <si>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</si>
  <si>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</si>
  <si>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</si>
  <si>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</si>
  <si>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</si>
  <si>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</si>
  <si>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</si>
  <si>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</si>
  <si>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</si>
  <si>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</si>
  <si>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</si>
  <si>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</si>
  <si>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</si>
  <si>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</si>
  <si>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</si>
  <si>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</si>
  <si>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</si>
  <si>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</si>
  <si>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</si>
  <si>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</si>
  <si>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</si>
  <si>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</si>
  <si>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</si>
  <si>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</si>
  <si>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</si>
  <si>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</si>
  <si>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</si>
  <si>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</si>
  <si>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</si>
  <si>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</si>
  <si>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</si>
  <si>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</si>
  <si>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</si>
  <si>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</si>
  <si>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</si>
  <si>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</si>
  <si>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</si>
  <si>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</si>
  <si>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</si>
  <si>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</si>
  <si>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</si>
  <si>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</si>
  <si>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</si>
  <si>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</si>
  <si>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</si>
  <si>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</si>
  <si>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</si>
  <si>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</si>
  <si>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</si>
  <si>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</si>
  <si>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</si>
  <si>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</si>
  <si>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</si>
  <si>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</si>
  <si>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</si>
  <si>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</si>
  <si>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</si>
  <si>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</si>
  <si>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</si>
  <si>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</si>
  <si>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</si>
  <si>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</si>
  <si>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</si>
  <si>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</si>
  <si>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</si>
  <si>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</si>
  <si>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</si>
  <si>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</si>
  <si>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</si>
  <si>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</si>
  <si>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</si>
  <si>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</si>
  <si>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</si>
  <si>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</si>
  <si>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</si>
  <si>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</si>
  <si>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</si>
  <si>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</si>
  <si>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</si>
  <si>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</si>
  <si>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</si>
  <si>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</si>
  <si>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</si>
  <si>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</si>
  <si>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</si>
  <si>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</si>
  <si>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</si>
  <si>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</si>
  <si>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</si>
  <si>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</si>
  <si>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</si>
  <si>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</si>
  <si>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</si>
  <si>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</si>
  <si>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</si>
  <si>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</si>
  <si>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</si>
  <si>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</si>
  <si>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</si>
  <si>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</si>
  <si>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</si>
  <si>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</si>
  <si>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</si>
  <si>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</si>
  <si>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</si>
  <si>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</si>
  <si>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</si>
  <si>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</si>
  <si>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</si>
  <si>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</si>
  <si>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</si>
  <si>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</si>
  <si>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</si>
  <si>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</si>
  <si>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</si>
  <si>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</si>
  <si>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</si>
  <si>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</si>
  <si>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</si>
  <si>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</si>
  <si>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</si>
  <si>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</si>
  <si>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</si>
  <si>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</si>
  <si>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</si>
  <si>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</si>
  <si>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</si>
  <si>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</si>
  <si>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</si>
  <si>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</si>
  <si>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</si>
  <si>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</si>
  <si>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</si>
  <si>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</si>
  <si>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</si>
  <si>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</si>
  <si>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</si>
  <si>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</si>
  <si>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</si>
  <si>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</si>
  <si>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</si>
  <si>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</si>
  <si>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</si>
  <si>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</si>
  <si>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</si>
  <si>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</si>
  <si>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</si>
  <si>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</si>
  <si>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</si>
  <si>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</si>
  <si>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</si>
  <si>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</si>
  <si>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</si>
  <si>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</si>
  <si>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</si>
  <si>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</si>
  <si>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</si>
  <si>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</si>
  <si>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</si>
  <si>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</si>
  <si>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</si>
  <si>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</si>
  <si>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</si>
  <si>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</si>
  <si>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</si>
  <si>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</si>
  <si>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</si>
  <si>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</si>
  <si>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</si>
  <si>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</si>
  <si>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</si>
  <si>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</si>
  <si>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</si>
  <si>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</si>
  <si>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</si>
  <si>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</si>
  <si>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</si>
  <si>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</si>
  <si>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</si>
  <si>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</si>
  <si>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</si>
  <si>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</si>
  <si>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</si>
  <si>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</si>
  <si>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</si>
  <si>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</si>
  <si>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</si>
  <si>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</si>
  <si>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</si>
  <si>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</si>
  <si>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</si>
  <si>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</si>
  <si>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</si>
  <si>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</si>
  <si>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</si>
  <si>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</si>
  <si>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</si>
  <si>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</si>
  <si>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</si>
  <si>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</si>
  <si>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</si>
  <si>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</si>
  <si>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</si>
  <si>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</si>
  <si>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</si>
  <si>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</si>
  <si>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</si>
  <si>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</si>
  <si>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</si>
  <si>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</si>
  <si>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</si>
  <si>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</si>
  <si>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</si>
  <si>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</si>
  <si>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</si>
  <si>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</si>
  <si>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</si>
  <si>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</si>
  <si>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</si>
  <si>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</si>
  <si>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</si>
  <si>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</si>
  <si>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</si>
  <si>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</si>
  <si>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</si>
  <si>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</si>
  <si>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</si>
  <si>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</si>
  <si>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</si>
  <si>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</si>
  <si>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</si>
  <si>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</si>
  <si>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</si>
  <si>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</si>
  <si>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</si>
  <si>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</si>
  <si>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</si>
  <si>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</si>
  <si>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</si>
  <si>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</si>
  <si>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</si>
  <si>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</si>
  <si>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</si>
  <si>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</si>
  <si>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</si>
  <si>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</si>
  <si>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</si>
  <si>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</si>
  <si>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</si>
  <si>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</si>
  <si>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</si>
  <si>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</si>
  <si>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</si>
  <si>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</si>
  <si>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</si>
  <si>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</si>
  <si>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</si>
  <si>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</si>
  <si>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</si>
  <si>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</si>
  <si>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</si>
  <si>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</si>
  <si>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</si>
  <si>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</si>
  <si>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</si>
  <si>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</si>
  <si>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</si>
  <si>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</si>
  <si>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</si>
  <si>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</si>
  <si>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</si>
  <si>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</si>
  <si>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</si>
  <si>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</si>
  <si>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</si>
  <si>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</si>
  <si>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</si>
  <si>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</si>
  <si>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</si>
  <si>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</si>
  <si>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</si>
  <si>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</si>
  <si>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</si>
  <si>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</si>
  <si>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</si>
  <si>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</si>
  <si>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</si>
  <si>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</si>
  <si>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</si>
  <si>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</si>
  <si>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</si>
  <si>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</si>
  <si>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</si>
  <si>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</si>
  <si>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</si>
  <si>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</si>
  <si>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</si>
  <si>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</si>
  <si>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</si>
  <si>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</si>
  <si>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</si>
  <si>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</si>
  <si>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</si>
  <si>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</si>
  <si>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</si>
  <si>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</si>
  <si>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</si>
  <si>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</si>
  <si>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</si>
  <si>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</si>
  <si>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</si>
  <si>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</si>
  <si>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</si>
  <si>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</si>
  <si>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</si>
  <si>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</si>
  <si>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</si>
  <si>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</si>
  <si>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</si>
  <si>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</si>
  <si>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</si>
  <si>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</si>
  <si>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</si>
  <si>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</si>
  <si>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</si>
  <si>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</si>
  <si>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</si>
  <si>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</si>
  <si>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</si>
  <si>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</si>
  <si>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</si>
  <si>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</si>
  <si>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</si>
  <si>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</si>
  <si>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</si>
  <si>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</si>
  <si>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</si>
  <si>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</si>
  <si>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</si>
  <si>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</si>
  <si>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</si>
  <si>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</si>
  <si>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</si>
  <si>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</si>
  <si>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</si>
  <si>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</si>
  <si>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</si>
  <si>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</si>
  <si>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</si>
  <si>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</si>
  <si>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</si>
  <si>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</si>
  <si>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</si>
  <si>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</si>
  <si>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</si>
  <si>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</si>
  <si>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</si>
  <si>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</si>
  <si>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</si>
  <si>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</si>
  <si>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</si>
  <si>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</si>
  <si>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</si>
  <si>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</si>
  <si>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</si>
  <si>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</si>
  <si>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</si>
  <si>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</si>
  <si>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</si>
  <si>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</si>
  <si>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</si>
  <si>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</si>
  <si>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</si>
  <si>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</si>
  <si>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</si>
  <si>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</si>
  <si>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</si>
  <si>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</si>
  <si>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</si>
  <si>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</si>
  <si>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</si>
  <si>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</si>
  <si>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</si>
  <si>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</si>
  <si>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</si>
  <si>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</si>
  <si>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</si>
  <si>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</si>
  <si>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</si>
  <si>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</si>
  <si>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</si>
  <si>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</si>
  <si>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</si>
  <si>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</si>
  <si>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</si>
  <si>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</si>
  <si>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</si>
  <si>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</si>
  <si>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</si>
  <si>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</si>
  <si>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</si>
  <si>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</si>
  <si>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</si>
  <si>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</si>
  <si>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</si>
  <si>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</si>
  <si>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</si>
  <si>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</si>
  <si>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</si>
  <si>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</si>
  <si>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</si>
  <si>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</si>
  <si>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</si>
  <si>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</si>
  <si>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</si>
  <si>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</si>
  <si>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</si>
  <si>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</si>
  <si>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</si>
  <si>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</si>
  <si>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</si>
  <si>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</si>
  <si>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</si>
  <si>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</si>
  <si>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</si>
  <si>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</si>
  <si>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</si>
  <si>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</si>
  <si>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</si>
  <si>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</si>
  <si>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</si>
  <si>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</si>
  <si>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</si>
  <si>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</si>
  <si>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</si>
  <si>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</si>
  <si>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</si>
  <si>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</si>
  <si>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</si>
  <si>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</si>
  <si>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</si>
  <si>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</si>
  <si>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</si>
  <si>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</si>
  <si>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</si>
  <si>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</si>
  <si>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</si>
  <si>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</si>
  <si>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</si>
  <si>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</si>
  <si>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</si>
  <si>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</si>
  <si>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</si>
  <si>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</si>
  <si>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</si>
  <si>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</si>
  <si>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</si>
  <si>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</si>
  <si>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</si>
  <si>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</si>
  <si>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</si>
  <si>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</si>
  <si>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</si>
  <si>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</si>
  <si>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</si>
  <si>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</si>
  <si>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</si>
  <si>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</si>
  <si>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</si>
  <si>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</si>
  <si>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</si>
  <si>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</si>
  <si>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</si>
  <si>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</si>
  <si>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</si>
  <si>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</si>
  <si>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</si>
  <si>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</si>
  <si>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</si>
  <si>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</si>
  <si>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</si>
  <si>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</si>
  <si>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</si>
  <si>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</si>
  <si>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</si>
  <si>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</si>
  <si>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</si>
  <si>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</si>
  <si>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</si>
  <si>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</si>
  <si>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</si>
  <si>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</si>
  <si>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</si>
  <si>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</si>
  <si>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</si>
  <si>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</si>
  <si>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</si>
  <si>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</si>
  <si>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</si>
  <si>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</si>
  <si>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</si>
  <si>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</si>
  <si>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</si>
  <si>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</si>
  <si>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</si>
  <si>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</si>
  <si>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</si>
  <si>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</si>
  <si>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</si>
  <si>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</si>
  <si>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</si>
  <si>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</si>
  <si>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</si>
  <si>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</si>
  <si>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</si>
  <si>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</si>
  <si>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</si>
  <si>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</si>
  <si>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</si>
  <si>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</si>
  <si>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</si>
  <si>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</si>
  <si>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</si>
  <si>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</si>
  <si>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</si>
  <si>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</si>
  <si>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</si>
  <si>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</si>
  <si>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</si>
  <si>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</si>
  <si>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</si>
  <si>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</si>
  <si>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</si>
  <si>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</si>
  <si>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</si>
  <si>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</si>
  <si>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</si>
  <si>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</si>
  <si>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</si>
  <si>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</si>
  <si>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</si>
  <si>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</si>
  <si>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</si>
  <si>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</si>
  <si>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</si>
  <si>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</si>
  <si>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</si>
  <si>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</si>
  <si>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</si>
  <si>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</si>
  <si>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</si>
  <si>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</si>
  <si>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</si>
  <si>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</si>
  <si>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</si>
  <si>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</si>
  <si>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</si>
  <si>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</si>
  <si>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</si>
  <si>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</si>
  <si>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</si>
  <si>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</si>
  <si>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</si>
  <si>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</si>
  <si>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</si>
  <si>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</si>
  <si>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</si>
  <si>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</si>
  <si>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</si>
  <si>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</si>
  <si>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</si>
  <si>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</si>
  <si>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</si>
  <si>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</si>
  <si>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</si>
  <si>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</si>
  <si>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</si>
  <si>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</si>
  <si>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</si>
  <si>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</si>
  <si>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</si>
  <si>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</si>
  <si>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</si>
  <si>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</si>
  <si>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</si>
  <si>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</si>
  <si>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</si>
  <si>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</si>
  <si>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</si>
  <si>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</si>
  <si>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</si>
  <si>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</si>
  <si>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</si>
  <si>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</si>
  <si>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</si>
  <si>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</si>
  <si>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</si>
  <si>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</si>
  <si>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</si>
  <si>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</si>
  <si>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</si>
  <si>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</si>
  <si>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</si>
  <si>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</si>
  <si>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</si>
  <si>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</si>
  <si>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</si>
  <si>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</si>
  <si>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</si>
  <si>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</si>
  <si>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</si>
  <si>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</si>
  <si>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</si>
  <si>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</si>
  <si>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</si>
  <si>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</si>
  <si>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</si>
  <si>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</si>
  <si>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</si>
  <si>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</si>
  <si>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</si>
  <si>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</si>
  <si>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</si>
  <si>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</si>
  <si>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</si>
  <si>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</si>
  <si>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</si>
  <si>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</si>
  <si>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</si>
  <si>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</si>
  <si>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</si>
  <si>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</si>
  <si>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</si>
  <si>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</si>
  <si>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</si>
  <si>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</si>
  <si>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</si>
  <si>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</si>
  <si>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</si>
  <si>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</si>
  <si>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</si>
  <si>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</si>
  <si>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</si>
  <si>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</si>
  <si>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</si>
  <si>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</si>
  <si>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</si>
  <si>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</si>
  <si>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</si>
  <si>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</si>
  <si>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</si>
  <si>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</si>
  <si>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</si>
  <si>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</si>
  <si>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</si>
  <si>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</si>
  <si>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</si>
  <si>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</si>
  <si>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</si>
  <si>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</si>
  <si>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</si>
  <si>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</si>
  <si>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</si>
  <si>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</si>
  <si>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</si>
  <si>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</si>
  <si>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</si>
  <si>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</si>
  <si>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</si>
  <si>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</si>
  <si>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</si>
  <si>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</si>
  <si>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</si>
  <si>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</si>
  <si>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</si>
  <si>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</si>
  <si>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</si>
  <si>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</si>
  <si>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</si>
  <si>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</si>
  <si>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</si>
  <si>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</si>
  <si>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</si>
  <si>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</si>
  <si>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</si>
  <si>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</si>
  <si>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</si>
  <si>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</si>
  <si>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</si>
  <si>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</si>
  <si>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</si>
  <si>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</si>
  <si>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</si>
  <si>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</si>
  <si>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</si>
  <si>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</si>
  <si>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</si>
  <si>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</si>
  <si>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</si>
  <si>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</si>
  <si>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</si>
  <si>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</si>
  <si>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</si>
  <si>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</si>
  <si>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</si>
  <si>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</si>
  <si>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</si>
  <si>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</si>
  <si>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</si>
  <si>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</si>
  <si>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</si>
  <si>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</si>
  <si>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</si>
  <si>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</si>
  <si>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</si>
  <si>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</si>
  <si>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</si>
  <si>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</si>
  <si>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</si>
  <si>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</si>
  <si>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</si>
  <si>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</si>
  <si>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</si>
  <si>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</si>
  <si>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</si>
  <si>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</si>
  <si>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</si>
  <si>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</si>
  <si>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</si>
  <si>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</si>
  <si>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</si>
  <si>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</si>
  <si>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</si>
  <si>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</si>
  <si>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</si>
  <si>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</si>
  <si>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</si>
  <si>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</si>
  <si>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</si>
  <si>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</si>
  <si>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</si>
  <si>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</si>
  <si>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</si>
  <si>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</si>
  <si>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</si>
  <si>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</si>
  <si>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</si>
  <si>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</si>
  <si>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</si>
  <si>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</si>
  <si>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</si>
  <si>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</si>
  <si>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</si>
  <si>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</si>
  <si>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</si>
  <si>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</si>
  <si>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</si>
  <si>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</si>
  <si>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</si>
  <si>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</si>
  <si>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</si>
  <si>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</si>
  <si>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</si>
  <si>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</si>
  <si>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</si>
  <si>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</si>
  <si>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</si>
  <si>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</si>
  <si>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</si>
  <si>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</si>
  <si>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</si>
  <si>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</si>
  <si>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</si>
  <si>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</si>
  <si>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</si>
  <si>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</si>
  <si>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</si>
  <si>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</si>
  <si>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</si>
  <si>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</si>
  <si>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</si>
  <si>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</si>
  <si>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</si>
  <si>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</si>
  <si>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</si>
  <si>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</si>
  <si>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</si>
  <si>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</si>
  <si>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</si>
  <si>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</si>
  <si>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</si>
  <si>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</si>
  <si>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</si>
  <si>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</si>
  <si>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</si>
  <si>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</si>
  <si>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</si>
  <si>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</si>
  <si>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</si>
  <si>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</si>
  <si>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</si>
  <si>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</si>
  <si>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</si>
  <si>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</si>
  <si>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</si>
  <si>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</si>
  <si>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</si>
  <si>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</si>
  <si>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</si>
  <si>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</si>
  <si>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</si>
  <si>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</si>
  <si>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</si>
  <si>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</si>
  <si>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</si>
  <si>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</si>
  <si>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</si>
  <si>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</si>
  <si>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</si>
  <si>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</si>
  <si>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</si>
  <si>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</si>
  <si>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</si>
  <si>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</si>
  <si>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</si>
  <si>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</si>
  <si>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</si>
  <si>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</si>
  <si>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</si>
  <si>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</si>
  <si>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</si>
  <si>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</si>
  <si>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</si>
  <si>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</si>
  <si>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</si>
  <si>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</si>
  <si>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</si>
  <si>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</si>
  <si>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</si>
  <si>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</si>
  <si>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</si>
  <si>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</si>
  <si>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</si>
  <si>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</si>
  <si>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</si>
  <si>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</si>
  <si>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</si>
  <si>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</si>
  <si>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</si>
  <si>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</si>
  <si>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</si>
  <si>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</si>
  <si>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</si>
  <si>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</si>
  <si>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</si>
  <si>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</si>
  <si>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</si>
  <si>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</si>
  <si>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</si>
  <si>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</si>
  <si>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</si>
  <si>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</si>
  <si>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</si>
  <si>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</si>
  <si>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</si>
  <si>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</si>
  <si>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</si>
  <si>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</si>
  <si>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</si>
  <si>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</si>
  <si>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</si>
  <si>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</si>
  <si>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</si>
  <si>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</si>
  <si>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</si>
  <si>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</si>
  <si>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</si>
  <si>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</si>
  <si>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</si>
  <si>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</si>
  <si>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</si>
  <si>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</si>
  <si>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</si>
  <si>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</si>
  <si>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</si>
  <si>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</si>
  <si>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</si>
  <si>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</si>
  <si>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</si>
  <si>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</si>
  <si>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</si>
  <si>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</si>
  <si>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</si>
  <si>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</si>
  <si>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</si>
  <si>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</si>
  <si>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</si>
  <si>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</si>
  <si>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</si>
  <si>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</si>
  <si>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</si>
  <si>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</si>
  <si>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</si>
  <si>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</si>
  <si>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</si>
  <si>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</si>
  <si>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</si>
  <si>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</si>
  <si>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</si>
  <si>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</si>
  <si>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</si>
  <si>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</si>
  <si>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</si>
  <si>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</si>
  <si>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</si>
  <si>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</si>
  <si>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</si>
  <si>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</si>
  <si>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</si>
  <si>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</si>
  <si>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</si>
  <si>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</si>
  <si>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</si>
  <si>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</si>
  <si>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</si>
  <si>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</si>
  <si>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</si>
  <si>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</si>
  <si>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</si>
  <si>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</si>
  <si>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</si>
  <si>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</si>
  <si>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</si>
  <si>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</si>
  <si>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</si>
  <si>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</si>
  <si>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</si>
  <si>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</si>
  <si>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</si>
  <si>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</si>
  <si>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</si>
  <si>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</si>
  <si>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</si>
  <si>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</si>
  <si>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</si>
  <si>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</si>
  <si>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</si>
  <si>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</si>
  <si>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</si>
  <si>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</si>
  <si>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</si>
  <si>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</si>
  <si>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</si>
  <si>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</si>
  <si>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</si>
  <si>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</si>
  <si>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</si>
  <si>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</si>
  <si>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</si>
  <si>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</si>
  <si>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</si>
  <si>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</si>
  <si>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</si>
  <si>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</si>
  <si>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</si>
  <si>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</si>
  <si>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</si>
  <si>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</si>
  <si>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</si>
  <si>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</si>
  <si>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</si>
  <si>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</si>
  <si>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</si>
  <si>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</si>
  <si>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</si>
  <si>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</si>
  <si>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</si>
  <si>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</si>
  <si>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</si>
  <si>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</si>
  <si>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</si>
  <si>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</si>
  <si>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</si>
  <si>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</si>
  <si>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</si>
  <si>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</si>
  <si>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</si>
  <si>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</si>
  <si>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</si>
  <si>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</si>
  <si>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</si>
  <si>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</si>
  <si>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</si>
  <si>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</si>
  <si>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</si>
  <si>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</si>
  <si>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</si>
  <si>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</si>
  <si>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</si>
  <si>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</si>
  <si>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</si>
  <si>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</si>
  <si>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</si>
  <si>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</si>
  <si>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</si>
  <si>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</si>
  <si>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</si>
  <si>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</si>
  <si>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</si>
  <si>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</si>
  <si>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</si>
  <si>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</si>
  <si>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</si>
  <si>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</si>
  <si>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</si>
  <si>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</si>
  <si>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</si>
  <si>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</si>
  <si>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</si>
  <si>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</si>
  <si>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</si>
  <si>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</si>
  <si>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</si>
  <si>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</si>
  <si>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</si>
  <si>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</si>
  <si>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</si>
  <si>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</si>
  <si>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</si>
  <si>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</si>
  <si>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</si>
  <si>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</si>
  <si>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</si>
  <si>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</si>
  <si>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</si>
  <si>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</si>
  <si>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</si>
  <si>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</si>
  <si>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</si>
  <si>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</si>
  <si>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</si>
  <si>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</si>
  <si>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</si>
  <si>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</si>
  <si>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</si>
  <si>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</si>
  <si>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</si>
  <si>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</si>
  <si>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</si>
  <si>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</si>
  <si>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</si>
  <si>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</si>
  <si>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</si>
  <si>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</si>
  <si>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</si>
  <si>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</si>
  <si>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</si>
  <si>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</si>
  <si>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</si>
  <si>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</si>
  <si>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</si>
  <si>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</si>
  <si>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</si>
  <si>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</si>
  <si>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</si>
  <si>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</si>
  <si>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</si>
  <si>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</si>
  <si>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</si>
  <si>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</si>
  <si>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</si>
  <si>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</si>
  <si>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</si>
  <si>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</si>
  <si>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</si>
  <si>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</si>
  <si>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</si>
  <si>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</si>
  <si>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</si>
  <si>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</si>
  <si>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</si>
  <si>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</si>
  <si>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</si>
  <si>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</si>
  <si>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</si>
  <si>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</si>
  <si>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</si>
  <si>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</si>
  <si>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</si>
  <si>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</si>
  <si>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</si>
  <si>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</si>
  <si>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</si>
  <si>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</si>
  <si>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</si>
  <si>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</si>
  <si>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</si>
  <si>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</si>
  <si>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</si>
  <si>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</si>
  <si>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</si>
  <si>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</si>
  <si>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</si>
  <si>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</si>
  <si>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</si>
  <si>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</si>
  <si>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</si>
  <si>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</si>
  <si>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</si>
  <si>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</si>
  <si>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</si>
  <si>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</si>
  <si>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</si>
  <si>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</si>
  <si>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</si>
  <si>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</si>
  <si>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</si>
  <si>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</si>
  <si>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</si>
  <si>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</si>
  <si>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</si>
  <si>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</si>
  <si>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</si>
  <si>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</si>
  <si>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</si>
  <si>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</si>
  <si>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</si>
  <si>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</si>
  <si>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</si>
  <si>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</si>
  <si>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</si>
  <si>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</si>
  <si>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</si>
  <si>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</si>
  <si>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</si>
  <si>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</si>
  <si>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</si>
  <si>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</si>
  <si>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</si>
  <si>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</si>
  <si>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</si>
  <si>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</si>
  <si>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</si>
  <si>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</si>
  <si>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</si>
  <si>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</si>
  <si>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</si>
  <si>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</si>
  <si>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</si>
  <si>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</si>
  <si>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</si>
  <si>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</si>
  <si>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</si>
  <si>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</si>
  <si>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</si>
  <si>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</si>
  <si>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</si>
  <si>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</si>
  <si>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</si>
  <si>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</si>
  <si>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</si>
  <si>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</si>
  <si>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</si>
  <si>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</si>
  <si>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</si>
  <si>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</si>
  <si>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</si>
  <si>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</si>
  <si>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</si>
  <si>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</si>
  <si>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</si>
  <si>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</si>
  <si>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</si>
  <si>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</si>
  <si>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</si>
  <si>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</si>
  <si>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</si>
  <si>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</si>
  <si>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</si>
  <si>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</si>
  <si>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</si>
  <si>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</si>
  <si>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</si>
  <si>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</si>
  <si>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</si>
  <si>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</si>
  <si>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</si>
  <si>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</si>
  <si>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</si>
  <si>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</si>
  <si>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</si>
  <si>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</si>
  <si>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</si>
  <si>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</si>
  <si>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</si>
  <si>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</si>
  <si>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</si>
  <si>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</si>
  <si>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</si>
  <si>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</si>
  <si>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</si>
  <si>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</si>
  <si>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</si>
  <si>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</si>
  <si>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</si>
  <si>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</si>
  <si>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</si>
  <si>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</si>
  <si>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</si>
  <si>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</si>
  <si>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</si>
  <si>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</si>
  <si>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</si>
  <si>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</si>
  <si>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</si>
  <si>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</si>
  <si>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</si>
  <si>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</si>
  <si>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</si>
  <si>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</si>
  <si>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</si>
  <si>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</si>
  <si>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</si>
  <si>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</si>
  <si>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</si>
  <si>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</si>
  <si>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</si>
  <si>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</si>
  <si>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</si>
  <si>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</si>
  <si>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</si>
  <si>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</si>
  <si>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</si>
  <si>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</si>
  <si>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</si>
  <si>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</si>
  <si>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</si>
  <si>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</si>
  <si>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</si>
  <si>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</si>
  <si>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</si>
  <si>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</si>
  <si>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</si>
  <si>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</si>
  <si>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</si>
  <si>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</si>
  <si>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</si>
  <si>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</si>
  <si>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</si>
  <si>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</si>
  <si>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</si>
  <si>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</si>
  <si>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</si>
  <si>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</si>
  <si>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</si>
  <si>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</si>
  <si>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</si>
  <si>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</si>
  <si>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</si>
  <si>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</si>
  <si>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</si>
  <si>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</si>
  <si>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</si>
  <si>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</si>
  <si>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</si>
  <si>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</si>
  <si>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</si>
  <si>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</si>
  <si>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</si>
  <si>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</si>
  <si>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</si>
  <si>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</si>
  <si>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</si>
  <si>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</si>
  <si>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</si>
  <si>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</si>
  <si>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</si>
  <si>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</si>
  <si>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</si>
  <si>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</si>
  <si>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</si>
  <si>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</si>
  <si>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</si>
  <si>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</si>
  <si>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</si>
  <si>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</si>
  <si>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</si>
  <si>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</si>
  <si>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</si>
  <si>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</si>
  <si>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</si>
  <si>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</si>
  <si>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</si>
  <si>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</si>
  <si>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</si>
  <si>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</si>
  <si>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</si>
  <si>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</si>
  <si>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</si>
  <si>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</si>
  <si>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</si>
  <si>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</si>
  <si>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</si>
  <si>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</si>
  <si>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</si>
  <si>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</si>
  <si>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</si>
  <si>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</si>
  <si>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</si>
  <si>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</si>
  <si>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</si>
  <si>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</si>
  <si>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</si>
  <si>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</si>
  <si>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</si>
  <si>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</si>
  <si>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</si>
  <si>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</si>
  <si>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</si>
  <si>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</si>
  <si>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</si>
  <si>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</si>
  <si>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</si>
  <si>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</si>
  <si>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</si>
  <si>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</si>
  <si>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</si>
  <si>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</si>
  <si>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</si>
  <si>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</si>
  <si>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</si>
  <si>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</si>
  <si>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</si>
  <si>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</si>
  <si>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</si>
  <si>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</si>
  <si>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</si>
  <si>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</si>
  <si>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</si>
  <si>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</si>
  <si>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</si>
  <si>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</si>
  <si>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</si>
  <si>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</si>
  <si>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</si>
  <si>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</si>
  <si>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</si>
  <si>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</si>
  <si>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</si>
  <si>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</si>
  <si>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</si>
  <si>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</si>
  <si>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</si>
  <si>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</si>
  <si>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</si>
  <si>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</si>
  <si>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</si>
  <si>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</si>
  <si>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</si>
  <si>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</si>
  <si>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</si>
  <si>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</si>
  <si>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</si>
  <si>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</si>
  <si>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</si>
  <si>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</si>
  <si>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</si>
  <si>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</si>
  <si>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</si>
  <si>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</si>
  <si>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</si>
  <si>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</si>
  <si>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</si>
  <si>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</si>
  <si>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</si>
  <si>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</si>
  <si>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</si>
  <si>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</si>
  <si>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</si>
  <si>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</si>
  <si>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</si>
  <si>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</si>
  <si>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</si>
  <si>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</si>
  <si>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</si>
  <si>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</si>
  <si>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</si>
  <si>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</si>
  <si>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</si>
  <si>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</si>
  <si>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</si>
  <si>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</si>
  <si>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</si>
  <si>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</si>
  <si>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</si>
  <si>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</si>
  <si>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</si>
  <si>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</si>
  <si>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</si>
  <si>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</si>
  <si>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</si>
  <si>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</si>
  <si>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</si>
  <si>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</si>
  <si>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</si>
  <si>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</si>
  <si>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</si>
  <si>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</si>
  <si>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</si>
  <si>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</si>
  <si>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</si>
  <si>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</si>
  <si>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</si>
  <si>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</si>
  <si>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</si>
  <si>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</si>
  <si>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</si>
  <si>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</si>
  <si>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</si>
  <si>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</si>
  <si>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</si>
  <si>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</si>
  <si>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</si>
  <si>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</si>
  <si>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</si>
  <si>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</si>
  <si>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</si>
  <si>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</si>
  <si>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</si>
  <si>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</si>
  <si>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</si>
  <si>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</si>
  <si>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</si>
  <si>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</si>
  <si>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</si>
  <si>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</si>
  <si>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</si>
  <si>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</si>
  <si>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</si>
  <si>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</si>
  <si>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</si>
  <si>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</si>
  <si>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</si>
  <si>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</si>
  <si>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</si>
  <si>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</si>
  <si>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</si>
  <si>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</si>
  <si>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</si>
  <si>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</si>
  <si>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</si>
  <si>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</si>
  <si>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</si>
  <si>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</si>
  <si>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</si>
  <si>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</si>
  <si>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</si>
  <si>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</si>
  <si>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</si>
  <si>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</si>
  <si>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</si>
  <si>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</si>
  <si>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</si>
  <si>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</si>
  <si>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</si>
  <si>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</si>
  <si>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</si>
  <si>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</si>
  <si>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</si>
  <si>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</si>
  <si>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</si>
  <si>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</si>
  <si>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</si>
  <si>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</si>
  <si>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</si>
  <si>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</si>
  <si>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</si>
  <si>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</si>
  <si>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</si>
  <si>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</si>
  <si>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</si>
  <si>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</si>
  <si>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</si>
  <si>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</si>
  <si>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</si>
  <si>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</si>
  <si>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</si>
  <si>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</si>
  <si>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</si>
  <si>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</si>
  <si>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</si>
  <si>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</si>
  <si>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</si>
  <si>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</si>
  <si>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</si>
  <si>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</si>
  <si>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</si>
  <si>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</si>
  <si>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</si>
  <si>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</si>
  <si>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</si>
  <si>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</si>
  <si>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</si>
  <si>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</si>
  <si>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</si>
  <si>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</si>
  <si>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</si>
  <si>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</si>
  <si>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</si>
  <si>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</si>
  <si>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</si>
  <si>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</si>
  <si>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</si>
  <si>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</si>
  <si>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</si>
  <si>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</si>
  <si>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</si>
  <si>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</si>
  <si>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</si>
  <si>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</si>
  <si>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</si>
  <si>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</si>
  <si>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</si>
  <si>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</si>
  <si>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</si>
  <si>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</si>
  <si>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</si>
  <si>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</si>
  <si>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</si>
  <si>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</si>
  <si>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</si>
  <si>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</si>
  <si>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</si>
  <si>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</si>
  <si>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</si>
  <si>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</si>
  <si>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</si>
  <si>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</si>
  <si>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</si>
  <si>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</si>
  <si>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</si>
  <si>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</si>
  <si>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</si>
  <si>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</si>
  <si>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</si>
  <si>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</si>
  <si>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</si>
  <si>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</si>
  <si>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</si>
  <si>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</si>
  <si>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</si>
  <si>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</si>
  <si>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</si>
  <si>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</si>
  <si>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</si>
  <si>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</si>
  <si>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</si>
  <si>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</si>
  <si>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</si>
  <si>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</si>
  <si>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</si>
  <si>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</si>
  <si>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</si>
  <si>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</si>
  <si>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</si>
  <si>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</si>
  <si>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</si>
  <si>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</si>
  <si>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</si>
  <si>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</si>
  <si>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</si>
  <si>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</si>
  <si>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</si>
  <si>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</si>
  <si>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</si>
  <si>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</si>
  <si>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</si>
  <si>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</si>
  <si>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</si>
  <si>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</si>
  <si>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</si>
  <si>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</si>
  <si>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</si>
  <si>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</si>
  <si>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</si>
  <si>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</si>
  <si>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</si>
  <si>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</si>
  <si>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</si>
  <si>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</si>
  <si>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</si>
  <si>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</si>
  <si>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</si>
  <si>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</si>
  <si>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</si>
  <si>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</si>
  <si>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</si>
  <si>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</si>
  <si>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</si>
  <si>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</si>
  <si>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</si>
  <si>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</si>
  <si>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</si>
  <si>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</si>
  <si>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</si>
  <si>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</si>
  <si>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</si>
  <si>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</si>
  <si>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</si>
  <si>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</si>
  <si>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</si>
  <si>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</si>
  <si>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</si>
  <si>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</si>
  <si>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</si>
  <si>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</si>
  <si>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</si>
  <si>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</si>
  <si>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</si>
  <si>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</si>
  <si>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</si>
  <si>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</si>
  <si>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</si>
  <si>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</si>
  <si>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</si>
  <si>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</si>
  <si>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</si>
  <si>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</si>
  <si>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</si>
  <si>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</si>
  <si>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</si>
  <si>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</si>
  <si>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</si>
  <si>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</si>
  <si>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</si>
  <si>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</si>
  <si>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</si>
  <si>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</si>
  <si>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</si>
  <si>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</si>
  <si>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</si>
  <si>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</si>
  <si>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</si>
  <si>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</si>
  <si>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</si>
  <si>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</si>
  <si>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</si>
  <si>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</si>
  <si>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</si>
  <si>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</si>
  <si>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</si>
  <si>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</si>
  <si>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</si>
  <si>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</si>
  <si>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</si>
  <si>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</si>
  <si>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</si>
  <si>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</si>
  <si>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</si>
  <si>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</si>
  <si>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</si>
  <si>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</si>
  <si>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</si>
  <si>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</si>
  <si>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</si>
  <si>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</si>
  <si>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</si>
  <si>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</si>
  <si>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</si>
  <si>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</si>
  <si>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</si>
  <si>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</si>
  <si>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</si>
  <si>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</si>
  <si>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</si>
  <si>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</si>
  <si>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</si>
  <si>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</si>
  <si>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</si>
  <si>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</si>
  <si>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</si>
  <si>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</si>
  <si>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</si>
  <si>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</si>
  <si>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</si>
  <si>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</si>
  <si>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</si>
  <si>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</si>
  <si>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</si>
  <si>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</si>
  <si>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</si>
  <si>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</si>
  <si>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</si>
  <si>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</si>
  <si>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</si>
  <si>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</si>
  <si>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</si>
  <si>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</si>
  <si>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</si>
  <si>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</si>
  <si>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</si>
  <si>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</si>
  <si>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</si>
  <si>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</si>
  <si>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</si>
  <si>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</si>
  <si>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</si>
  <si>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</si>
  <si>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</si>
  <si>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</si>
  <si>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</si>
  <si>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</si>
  <si>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</si>
  <si>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</si>
  <si>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</si>
  <si>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</si>
  <si>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</si>
  <si>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</si>
  <si>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</si>
  <si>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</si>
  <si>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</si>
  <si>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</si>
  <si>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</si>
  <si>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</si>
  <si>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</si>
  <si>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</si>
  <si>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</si>
  <si>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</si>
  <si>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</si>
  <si>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</si>
  <si>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</si>
  <si>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</si>
  <si>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</si>
  <si>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</si>
  <si>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</si>
  <si>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</si>
  <si>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</si>
  <si>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</si>
  <si>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</si>
  <si>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</si>
  <si>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</si>
  <si>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</si>
  <si>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</si>
  <si>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</si>
  <si>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</si>
  <si>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</si>
  <si>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</si>
  <si>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</si>
  <si>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</si>
  <si>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</si>
  <si>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</si>
  <si>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</si>
  <si>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</si>
  <si>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</si>
  <si>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</si>
  <si>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</si>
  <si>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</si>
  <si>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</si>
  <si>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</si>
  <si>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</si>
  <si>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</si>
  <si>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</si>
  <si>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</si>
  <si>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</si>
  <si>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</si>
  <si>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</si>
  <si>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</si>
  <si>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</si>
  <si>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</si>
  <si>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</si>
  <si>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</si>
  <si>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</si>
  <si>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</si>
  <si>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</si>
  <si>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</si>
  <si>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</si>
  <si>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</si>
  <si>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</si>
  <si>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</si>
  <si>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</si>
  <si>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</si>
  <si>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</si>
  <si>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</si>
  <si>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</si>
  <si>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</si>
  <si>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</si>
  <si>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</si>
  <si>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</si>
  <si>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</si>
  <si>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</si>
  <si>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</si>
  <si>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</si>
  <si>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</si>
  <si>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</si>
  <si>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</si>
  <si>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</si>
  <si>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</si>
  <si>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</si>
  <si>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</si>
  <si>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</si>
  <si>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</si>
  <si>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</si>
  <si>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</si>
  <si>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</si>
  <si>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</si>
  <si>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</si>
  <si>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</si>
  <si>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</si>
  <si>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</si>
  <si>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</si>
  <si>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</si>
  <si>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</si>
  <si>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</si>
  <si>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</si>
  <si>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</si>
  <si>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</si>
  <si>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</si>
  <si>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</si>
  <si>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</si>
  <si>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</si>
  <si>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</si>
  <si>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</si>
  <si>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</si>
  <si>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</si>
  <si>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</si>
  <si>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</si>
  <si>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</si>
  <si>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</si>
  <si>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</si>
  <si>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</si>
  <si>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</si>
  <si>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</si>
  <si>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</si>
  <si>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</si>
  <si>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</si>
  <si>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</si>
  <si>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</si>
  <si>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</si>
  <si>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</si>
  <si>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</si>
  <si>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</si>
  <si>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</si>
  <si>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</si>
  <si>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</si>
  <si>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</si>
  <si>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</si>
  <si>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</si>
  <si>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</si>
  <si>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</si>
  <si>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</si>
  <si>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</si>
  <si>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</si>
  <si>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</si>
  <si>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</si>
  <si>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</si>
  <si>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</si>
  <si>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</si>
  <si>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</si>
  <si>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</si>
  <si>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</si>
  <si>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</si>
  <si>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</si>
  <si>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</si>
  <si>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</si>
  <si>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</si>
  <si>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</si>
  <si>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</si>
  <si>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</si>
  <si>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</si>
  <si>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</si>
  <si>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</si>
  <si>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</si>
  <si>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</si>
  <si>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</si>
  <si>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</si>
  <si>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</si>
  <si>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</si>
  <si>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</si>
  <si>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</si>
  <si>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</si>
  <si>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</si>
  <si>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</si>
  <si>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</si>
  <si>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</si>
  <si>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</si>
  <si>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</si>
  <si>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</si>
  <si>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</si>
  <si>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</si>
  <si>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</si>
  <si>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</si>
  <si>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</si>
  <si>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</si>
  <si>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</si>
  <si>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</si>
  <si>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</si>
  <si>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</si>
  <si>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</si>
  <si>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</si>
  <si>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</si>
  <si>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</si>
  <si>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</si>
  <si>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</si>
  <si>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</si>
  <si>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</si>
  <si>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</si>
  <si>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</si>
  <si>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</si>
  <si>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</si>
  <si>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</si>
  <si>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</si>
  <si>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</si>
  <si>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</si>
  <si>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</si>
  <si>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</si>
  <si>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</si>
  <si>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</si>
  <si>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</si>
  <si>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</si>
  <si>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</si>
  <si>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</si>
  <si>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</si>
  <si>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</si>
  <si>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</si>
  <si>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</si>
  <si>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</si>
  <si>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</si>
  <si>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</si>
  <si>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</si>
  <si>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</si>
  <si>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</si>
  <si>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</si>
  <si>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</si>
  <si>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</si>
  <si>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</si>
  <si>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</si>
  <si>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</si>
  <si>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</si>
  <si>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</si>
  <si>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</si>
  <si>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</si>
  <si>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</si>
  <si>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</si>
  <si>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</si>
  <si>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</si>
  <si>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</si>
  <si>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</si>
  <si>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</si>
  <si>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</si>
  <si>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</si>
  <si>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</si>
  <si>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</si>
  <si>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</si>
  <si>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</si>
  <si>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</si>
  <si>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</si>
  <si>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</si>
  <si>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</si>
  <si>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</si>
  <si>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</si>
  <si>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</si>
  <si>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</si>
  <si>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</si>
  <si>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</si>
  <si>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</si>
  <si>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</si>
  <si>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</si>
  <si>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</si>
  <si>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</si>
  <si>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</si>
  <si>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</si>
  <si>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</si>
  <si>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</si>
  <si>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</si>
  <si>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</si>
  <si>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</si>
  <si>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</si>
  <si>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</si>
  <si>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</si>
  <si>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</si>
  <si>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</si>
  <si>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</si>
  <si>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</si>
  <si>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</si>
  <si>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</si>
  <si>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</si>
  <si>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</si>
  <si>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</si>
  <si>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</si>
  <si>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</si>
  <si>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</si>
  <si>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</si>
  <si>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</si>
  <si>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</si>
  <si>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</si>
  <si>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</si>
  <si>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</si>
  <si>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</si>
  <si>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</si>
  <si>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</si>
  <si>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</si>
  <si>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</si>
  <si>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</si>
  <si>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</si>
  <si>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</si>
  <si>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</si>
  <si>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</si>
  <si>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</si>
  <si>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</si>
  <si>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</si>
  <si>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</si>
  <si>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</si>
  <si>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</si>
  <si>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</si>
  <si>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</si>
  <si>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</si>
  <si>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</si>
  <si>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</si>
  <si>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</si>
  <si>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</si>
  <si>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</si>
  <si>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</si>
  <si>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</si>
  <si>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</si>
  <si>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</si>
  <si>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</si>
  <si>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</si>
  <si>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</si>
  <si>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</si>
  <si>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</si>
  <si>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</si>
  <si>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</si>
  <si>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</si>
  <si>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</si>
  <si>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</si>
  <si>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</si>
  <si>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</si>
  <si>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</si>
  <si>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</si>
  <si>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</si>
  <si>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</si>
  <si>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</si>
  <si>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</si>
  <si>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</si>
  <si>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</si>
  <si>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</si>
  <si>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</si>
  <si>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</si>
  <si>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</si>
  <si>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</si>
  <si>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</si>
  <si>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</si>
  <si>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</si>
  <si>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</si>
  <si>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</si>
  <si>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</si>
  <si>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</si>
  <si>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</si>
  <si>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</si>
  <si>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</si>
  <si>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</si>
  <si>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</si>
  <si>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</si>
  <si>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</si>
  <si>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</si>
  <si>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</si>
  <si>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</si>
  <si>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</si>
  <si>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</si>
  <si>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</si>
  <si>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</si>
  <si>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</si>
  <si>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</si>
  <si>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</si>
  <si>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</si>
  <si>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</si>
  <si>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</si>
  <si>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</si>
  <si>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</si>
  <si>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</si>
  <si>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</si>
  <si>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</si>
  <si>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</si>
  <si>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</si>
  <si>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</si>
  <si>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</si>
  <si>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</si>
  <si>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</si>
  <si>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</si>
  <si>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</si>
  <si>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</si>
  <si>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</si>
  <si>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</si>
  <si>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</si>
  <si>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</si>
  <si>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</si>
  <si>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</si>
  <si>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</si>
  <si>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</si>
  <si>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</si>
  <si>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</si>
  <si>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</si>
  <si>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</si>
  <si>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</si>
  <si>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</si>
  <si>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</si>
  <si>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</si>
  <si>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</si>
  <si>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</si>
  <si>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</si>
  <si>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</si>
  <si>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</si>
  <si>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</si>
  <si>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</si>
  <si>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</si>
  <si>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</si>
  <si>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</si>
  <si>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</si>
  <si>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</si>
  <si>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</si>
  <si>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</si>
  <si>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</si>
  <si>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</si>
  <si>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</si>
  <si>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</si>
  <si>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</si>
  <si>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</si>
  <si>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</si>
  <si>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</si>
  <si>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</si>
  <si>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</si>
  <si>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</si>
  <si>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</si>
  <si>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</si>
  <si>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</si>
  <si>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</si>
  <si>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</si>
  <si>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</si>
  <si>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</si>
  <si>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</si>
  <si>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</si>
  <si>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</si>
  <si>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</si>
  <si>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</si>
  <si>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</si>
  <si>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</si>
  <si>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</si>
  <si>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</si>
  <si>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</si>
  <si>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</si>
  <si>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</si>
  <si>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</si>
  <si>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</si>
  <si>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</si>
  <si>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</si>
  <si>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</si>
  <si>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</si>
  <si>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</si>
  <si>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</si>
  <si>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</si>
  <si>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</si>
  <si>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</si>
  <si>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</si>
  <si>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</si>
  <si>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</si>
  <si>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</si>
  <si>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</si>
  <si>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</si>
  <si>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</si>
  <si>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</si>
  <si>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</si>
  <si>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</si>
  <si>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</si>
  <si>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</si>
  <si>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</si>
  <si>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</si>
  <si>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</si>
  <si>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</si>
  <si>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</si>
  <si>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</si>
  <si>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</si>
  <si>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</si>
  <si>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</si>
  <si>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</si>
  <si>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</si>
  <si>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</si>
  <si>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</si>
  <si>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</si>
  <si>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</si>
  <si>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</si>
  <si>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</si>
  <si>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</si>
  <si>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</si>
  <si>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</si>
  <si>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</si>
  <si>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</si>
  <si>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</si>
  <si>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</si>
  <si>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</si>
  <si>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</si>
  <si>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</si>
  <si>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</si>
  <si>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</si>
  <si>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</si>
  <si>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</si>
  <si>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</si>
  <si>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</si>
  <si>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</si>
  <si>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</si>
  <si>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</si>
  <si>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</si>
  <si>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</si>
  <si>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</si>
  <si>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</si>
  <si>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</si>
  <si>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</si>
  <si>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</si>
  <si>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</si>
  <si>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</si>
  <si>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</si>
  <si>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</si>
  <si>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</si>
  <si>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</si>
  <si>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</si>
  <si>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</si>
  <si>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</si>
  <si>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</si>
  <si>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</si>
  <si>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</si>
  <si>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</si>
  <si>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</si>
  <si>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</si>
  <si>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</si>
  <si>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</si>
  <si>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</si>
  <si>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</si>
  <si>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</si>
  <si>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</si>
  <si>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</si>
  <si>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</si>
  <si>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</si>
  <si>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</si>
  <si>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</si>
  <si>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</si>
  <si>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</si>
  <si>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</si>
  <si>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</si>
  <si>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</si>
  <si>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</si>
  <si>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</si>
  <si>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</si>
  <si>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</si>
  <si>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</si>
  <si>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</si>
  <si>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</si>
  <si>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</si>
  <si>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</si>
  <si>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</si>
  <si>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</si>
  <si>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</si>
  <si>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</si>
  <si>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</si>
  <si>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</si>
  <si>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</si>
  <si>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</si>
  <si>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</si>
  <si>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</si>
  <si>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</si>
  <si>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</si>
  <si>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</si>
  <si>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</si>
  <si>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</si>
  <si>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</si>
  <si>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</si>
  <si>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</si>
  <si>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</si>
  <si>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</si>
  <si>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</si>
  <si>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</si>
  <si>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</si>
  <si>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</si>
  <si>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</si>
  <si>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</si>
  <si>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</si>
  <si>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</si>
  <si>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</si>
  <si>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</si>
  <si>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</si>
  <si>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</si>
  <si>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</si>
  <si>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</si>
  <si>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</si>
  <si>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</si>
  <si>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</si>
  <si>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</si>
  <si>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</si>
  <si>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</si>
  <si>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</si>
  <si>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</si>
  <si>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</si>
  <si>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</si>
  <si>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</si>
  <si>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</si>
  <si>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</si>
  <si>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</si>
  <si>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</si>
  <si>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</si>
  <si>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</si>
  <si>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</si>
  <si>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</si>
  <si>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</si>
  <si>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</si>
  <si>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</si>
  <si>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</si>
  <si>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</si>
  <si>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</si>
  <si>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</si>
  <si>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</si>
  <si>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</si>
  <si>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</si>
  <si>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</si>
  <si>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</si>
  <si>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</si>
  <si>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</si>
  <si>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</si>
  <si>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</si>
  <si>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</si>
  <si>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</si>
  <si>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</si>
  <si>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</si>
  <si>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</si>
  <si>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</si>
  <si>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</si>
  <si>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</si>
  <si>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</si>
  <si>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</si>
  <si>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</si>
  <si>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</si>
  <si>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</si>
  <si>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</si>
  <si>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</si>
  <si>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</si>
  <si>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</si>
  <si>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</si>
  <si>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</si>
  <si>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</si>
  <si>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</si>
  <si>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</si>
  <si>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</si>
  <si>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</si>
  <si>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</si>
  <si>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</si>
  <si>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</si>
  <si>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</si>
  <si>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</si>
  <si>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</si>
  <si>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</si>
  <si>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</si>
  <si>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</si>
  <si>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</si>
  <si>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</si>
  <si>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</si>
  <si>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</si>
  <si>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</si>
  <si>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</si>
  <si>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</si>
  <si>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</si>
  <si>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</si>
  <si>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</si>
  <si>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</si>
  <si>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</si>
  <si>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</si>
  <si>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</si>
  <si>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</si>
  <si>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</si>
  <si>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</si>
  <si>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</si>
  <si>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</si>
  <si>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</si>
  <si>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</si>
  <si>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</si>
  <si>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</si>
  <si>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</si>
  <si>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</si>
  <si>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</si>
  <si>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</si>
  <si>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</si>
  <si>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</si>
  <si>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</si>
  <si>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</si>
  <si>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</si>
  <si>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</si>
  <si>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</si>
  <si>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</si>
  <si>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</si>
  <si>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</si>
  <si>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</si>
  <si>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</si>
  <si>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</si>
  <si>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</si>
  <si>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</si>
  <si>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</si>
  <si>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</si>
  <si>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</si>
  <si>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</si>
  <si>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</si>
  <si>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</si>
  <si>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</si>
  <si>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</si>
  <si>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</si>
  <si>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</si>
  <si>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</si>
  <si>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</si>
  <si>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</si>
  <si>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</si>
  <si>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</si>
  <si>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</si>
  <si>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</si>
  <si>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</si>
  <si>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</si>
  <si>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</si>
  <si>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</si>
  <si>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</si>
  <si>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</si>
  <si>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</si>
  <si>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</si>
  <si>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</si>
  <si>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</si>
  <si>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</si>
  <si>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</si>
  <si>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</si>
  <si>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</si>
  <si>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</si>
  <si>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</si>
  <si>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</si>
  <si>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</si>
  <si>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</si>
  <si>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</si>
  <si>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</si>
  <si>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</si>
  <si>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</si>
  <si>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</si>
  <si>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</si>
  <si>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</si>
  <si>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</si>
  <si>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</si>
  <si>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</si>
  <si>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</si>
  <si>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</si>
  <si>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</si>
  <si>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</si>
  <si>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</si>
  <si>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</si>
  <si>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</si>
  <si>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</si>
  <si>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</si>
  <si>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</si>
  <si>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</si>
  <si>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</si>
  <si>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</si>
  <si>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</si>
  <si>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</si>
  <si>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</si>
  <si>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</si>
  <si>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</si>
  <si>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</si>
  <si>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</si>
  <si>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</si>
  <si>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</si>
  <si>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</si>
  <si>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</si>
  <si>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</si>
  <si>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</si>
  <si>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</si>
  <si>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</si>
  <si>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</si>
  <si>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</si>
  <si>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</si>
  <si>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</si>
  <si>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</si>
  <si>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</si>
  <si>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</si>
  <si>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</si>
  <si>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</si>
  <si>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</si>
  <si>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</si>
  <si>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</si>
  <si>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</si>
  <si>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</si>
  <si>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</si>
  <si>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</si>
  <si>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</si>
  <si>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</si>
  <si>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</si>
  <si>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</si>
  <si>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</si>
  <si>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</si>
  <si>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</si>
  <si>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</si>
  <si>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</si>
  <si>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</si>
  <si>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</si>
  <si>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</si>
  <si>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</si>
  <si>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</si>
  <si>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</si>
  <si>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</si>
  <si>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</si>
  <si>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</si>
  <si>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</si>
  <si>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</si>
  <si>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</si>
  <si>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</si>
  <si>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</si>
  <si>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</si>
  <si>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</si>
  <si>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</si>
  <si>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</si>
  <si>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</si>
  <si>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</si>
  <si>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</si>
  <si>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</si>
  <si>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</si>
  <si>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</si>
  <si>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</si>
  <si>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</si>
  <si>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</si>
  <si>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</si>
  <si>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</si>
  <si>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</si>
  <si>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</si>
  <si>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</si>
  <si>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</si>
  <si>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</si>
  <si>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</si>
  <si>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</si>
  <si>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</si>
  <si>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</si>
  <si>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</si>
  <si>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</si>
  <si>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</si>
  <si>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</si>
  <si>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</si>
  <si>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</si>
  <si>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</si>
  <si>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</si>
  <si>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</si>
  <si>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</si>
  <si>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</si>
  <si>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</si>
  <si>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</si>
  <si>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</si>
  <si>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</si>
  <si>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</si>
  <si>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</si>
  <si>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</si>
  <si>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</si>
  <si>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</si>
  <si>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</si>
  <si>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</si>
  <si>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</si>
  <si>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</si>
  <si>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</si>
  <si>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</si>
  <si>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</si>
  <si>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</si>
  <si>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</si>
  <si>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</si>
  <si>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</si>
  <si>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</si>
  <si>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</si>
  <si>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</si>
  <si>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</si>
  <si>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</si>
  <si>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</si>
  <si>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</si>
  <si>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</si>
  <si>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</si>
  <si>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</si>
  <si>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</si>
  <si>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</si>
  <si>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</si>
  <si>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</si>
  <si>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</si>
  <si>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</si>
  <si>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</si>
  <si>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</si>
  <si>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</si>
  <si>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</si>
  <si>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</si>
  <si>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</si>
  <si>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</si>
  <si>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</si>
  <si>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</si>
  <si>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</si>
  <si>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</si>
  <si>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</si>
  <si>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</si>
  <si>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</si>
  <si>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</si>
  <si>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</si>
  <si>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</si>
  <si>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</si>
  <si>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</si>
  <si>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</si>
  <si>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</si>
  <si>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</si>
  <si>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</si>
  <si>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</si>
  <si>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</si>
  <si>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</si>
  <si>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</si>
  <si>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</si>
  <si>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</si>
  <si>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</si>
  <si>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</si>
  <si>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</si>
  <si>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</si>
  <si>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</si>
  <si>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</si>
  <si>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</si>
  <si>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</si>
  <si>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</si>
  <si>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</si>
  <si>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</si>
  <si>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</si>
  <si>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</si>
  <si>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</si>
  <si>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</si>
  <si>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</si>
  <si>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</si>
  <si>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</si>
  <si>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</si>
  <si>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</si>
  <si>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</si>
  <si>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</si>
  <si>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</si>
  <si>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</si>
  <si>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</si>
  <si>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</si>
  <si>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</si>
  <si>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</si>
  <si>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</si>
  <si>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</si>
  <si>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</si>
  <si>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</si>
  <si>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</si>
  <si>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</si>
  <si>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</si>
  <si>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</si>
  <si>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</si>
  <si>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</si>
  <si>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</si>
  <si>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</si>
  <si>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</si>
  <si>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</si>
  <si>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</si>
  <si>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</si>
  <si>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</si>
  <si>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</si>
  <si>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</si>
  <si>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</si>
  <si>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</si>
  <si>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</si>
  <si>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</si>
  <si>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</si>
  <si>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</si>
  <si>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</si>
  <si>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</si>
  <si>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</si>
  <si>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</si>
  <si>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</si>
  <si>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</si>
  <si>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</si>
  <si>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</si>
  <si>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</si>
  <si>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</si>
  <si>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</si>
  <si>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</si>
  <si>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</si>
  <si>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</si>
  <si>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</si>
  <si>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</si>
  <si>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</si>
  <si>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</si>
  <si>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</si>
  <si>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</si>
  <si>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</si>
  <si>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</si>
  <si>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</si>
  <si>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</si>
  <si>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</si>
  <si>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</si>
  <si>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</si>
  <si>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</si>
  <si>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</si>
  <si>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</si>
  <si>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</si>
  <si>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</si>
  <si>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</si>
  <si>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</si>
  <si>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</si>
  <si>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</si>
  <si>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</si>
  <si>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</si>
  <si>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</si>
  <si>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</si>
  <si>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</si>
  <si>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</si>
  <si>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</si>
  <si>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</si>
  <si>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</si>
  <si>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</si>
  <si>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</si>
  <si>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</si>
  <si>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</si>
  <si>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</si>
  <si>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</si>
  <si>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</si>
  <si>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</si>
  <si>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</si>
  <si>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</si>
  <si>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</si>
  <si>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</si>
  <si>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</si>
  <si>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</si>
  <si>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</si>
  <si>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</si>
  <si>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</si>
  <si>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</si>
  <si>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</si>
  <si>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</si>
  <si>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</si>
  <si>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</si>
  <si>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</si>
  <si>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</si>
  <si>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</si>
  <si>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</si>
  <si>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</si>
  <si>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</si>
  <si>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</si>
  <si>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</si>
  <si>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</si>
  <si>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</si>
  <si>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</si>
  <si>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</si>
  <si>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</si>
  <si>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</si>
  <si>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</si>
  <si>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</si>
  <si>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</si>
  <si>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</si>
  <si>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</si>
  <si>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</si>
  <si>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</si>
  <si>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</si>
  <si>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</si>
  <si>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</si>
  <si>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</si>
  <si>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</si>
  <si>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</si>
  <si>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</si>
  <si>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</si>
  <si>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</si>
  <si>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</si>
  <si>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</si>
  <si>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</si>
  <si>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</si>
  <si>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</si>
  <si>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</si>
  <si>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</si>
  <si>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</si>
  <si>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</si>
  <si>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</si>
  <si>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</si>
  <si>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</si>
  <si>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</si>
  <si>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</si>
  <si>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</si>
  <si>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</si>
  <si>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</si>
  <si>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</si>
  <si>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</si>
  <si>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</si>
  <si>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</si>
  <si>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</si>
  <si>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</si>
  <si>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</si>
  <si>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</si>
  <si>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</si>
  <si>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</si>
  <si>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</si>
  <si>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</si>
  <si>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</si>
  <si>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</si>
  <si>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</si>
  <si>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</si>
  <si>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</si>
  <si>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</si>
  <si>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</si>
  <si>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</si>
  <si>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</si>
  <si>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</si>
  <si>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</si>
  <si>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</si>
  <si>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</si>
  <si>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</si>
  <si>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</si>
  <si>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</si>
  <si>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</si>
  <si>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</si>
  <si>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</si>
  <si>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</si>
  <si>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</si>
  <si>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</si>
  <si>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</si>
  <si>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</si>
  <si>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</si>
  <si>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</si>
  <si>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</si>
  <si>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</si>
  <si>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</si>
  <si>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</si>
  <si>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</si>
  <si>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</si>
  <si>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</si>
  <si>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</si>
  <si>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</si>
  <si>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</si>
  <si>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</si>
  <si>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</si>
  <si>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</si>
  <si>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</si>
  <si>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</si>
  <si>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</si>
  <si>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</si>
  <si>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</si>
  <si>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</si>
  <si>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</si>
  <si>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</si>
  <si>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</si>
  <si>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</si>
  <si>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</si>
  <si>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</si>
  <si>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</si>
  <si>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</si>
  <si>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</si>
  <si>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</si>
  <si>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</si>
  <si>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</si>
  <si>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</si>
  <si>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</si>
  <si>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</si>
  <si>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</si>
  <si>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</si>
  <si>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</si>
  <si>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</si>
  <si>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</si>
  <si>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</si>
  <si>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</si>
  <si>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</si>
  <si>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</si>
  <si>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</si>
  <si>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</si>
  <si>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</si>
  <si>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</si>
  <si>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</si>
  <si>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</si>
  <si>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</si>
  <si>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</si>
  <si>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</si>
  <si>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</si>
  <si>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</si>
  <si>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</si>
  <si>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</si>
  <si>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</si>
  <si>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</si>
  <si>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</si>
  <si>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</si>
  <si>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</si>
  <si>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</si>
  <si>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</si>
  <si>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</si>
  <si>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</si>
  <si>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</si>
  <si>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</si>
  <si>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</si>
  <si>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</si>
  <si>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</si>
  <si>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</si>
  <si>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</si>
  <si>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</si>
  <si>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</si>
  <si>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</si>
  <si>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</si>
  <si>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</si>
  <si>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</si>
  <si>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</si>
  <si>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</si>
  <si>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</si>
  <si>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</si>
  <si>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</si>
  <si>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</si>
  <si>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</si>
  <si>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</si>
  <si>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</si>
  <si>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</si>
  <si>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</si>
  <si>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</si>
  <si>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</si>
  <si>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</si>
  <si>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</si>
  <si>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</si>
  <si>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</si>
  <si>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</si>
  <si>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</si>
  <si>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</si>
  <si>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</si>
  <si>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</si>
  <si>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</si>
  <si>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</si>
  <si>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</si>
  <si>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</si>
  <si>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</si>
  <si>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</si>
  <si>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</si>
  <si>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</si>
  <si>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</si>
  <si>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</si>
  <si>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</si>
  <si>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</si>
  <si>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</si>
  <si>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</si>
  <si>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</si>
  <si>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</si>
  <si>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</si>
  <si>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</si>
  <si>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</si>
  <si>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</si>
  <si>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</si>
  <si>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</si>
  <si>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</si>
  <si>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</si>
  <si>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</si>
  <si>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</si>
  <si>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</si>
  <si>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</si>
  <si>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</si>
  <si>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</si>
  <si>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</si>
  <si>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</si>
  <si>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</si>
  <si>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</si>
  <si>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</si>
  <si>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</si>
  <si>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</si>
  <si>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</si>
  <si>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</si>
  <si>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</si>
  <si>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</si>
  <si>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</si>
  <si>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</si>
  <si>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</si>
  <si>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</si>
  <si>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</si>
  <si>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</si>
  <si>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</si>
  <si>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</si>
  <si>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</si>
  <si>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</si>
  <si>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</si>
  <si>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</si>
  <si>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</si>
  <si>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</si>
  <si>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</si>
  <si>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</si>
  <si>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</si>
  <si>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</si>
  <si>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</si>
  <si>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</si>
  <si>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</si>
  <si>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</si>
  <si>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</si>
  <si>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</si>
  <si>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</si>
  <si>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</si>
  <si>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</si>
  <si>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</si>
  <si>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</si>
  <si>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</si>
  <si>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</si>
  <si>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</si>
  <si>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</si>
  <si>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</si>
  <si>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</si>
  <si>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</si>
  <si>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</si>
  <si>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</si>
  <si>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</si>
  <si>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</si>
  <si>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</si>
  <si>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</si>
  <si>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</si>
  <si>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</si>
  <si>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</si>
  <si>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</si>
  <si>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</si>
  <si>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</si>
  <si>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</si>
  <si>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</si>
  <si>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</si>
  <si>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</si>
  <si>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</si>
  <si>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</si>
  <si>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</si>
  <si>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</si>
  <si>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</si>
  <si>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</si>
  <si>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</si>
  <si>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</si>
  <si>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</si>
  <si>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</si>
  <si>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</si>
  <si>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</si>
  <si>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</si>
  <si>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</si>
  <si>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</si>
  <si>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</si>
  <si>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</si>
  <si>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</si>
  <si>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</si>
  <si>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</si>
  <si>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</si>
  <si>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</si>
  <si>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</si>
  <si>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</si>
  <si>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</si>
  <si>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</si>
  <si>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</si>
  <si>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</si>
  <si>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</si>
  <si>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</si>
  <si>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</si>
  <si>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</si>
  <si>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</si>
  <si>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</si>
  <si>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</si>
  <si>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</si>
  <si>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</si>
  <si>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</si>
  <si>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</si>
  <si>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</si>
  <si>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</si>
  <si>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</si>
  <si>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</si>
  <si>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</si>
  <si>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</si>
  <si>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</si>
  <si>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</si>
  <si>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</si>
  <si>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</si>
  <si>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</si>
  <si>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</si>
  <si>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</si>
  <si>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</si>
  <si>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</si>
  <si>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</si>
  <si>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</si>
  <si>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</si>
  <si>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</si>
  <si>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</si>
  <si>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</si>
  <si>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</si>
  <si>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</si>
  <si>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</si>
  <si>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</si>
  <si>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</si>
  <si>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</si>
  <si>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</si>
  <si>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</si>
  <si>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</si>
  <si>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</si>
  <si>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</si>
  <si>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</si>
  <si>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</si>
  <si>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</si>
  <si>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</si>
  <si>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</si>
  <si>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</si>
  <si>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</si>
  <si>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</si>
  <si>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</si>
  <si>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</si>
  <si>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</si>
  <si>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</si>
  <si>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</si>
  <si>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</si>
  <si>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</si>
  <si>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</si>
  <si>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</si>
  <si>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</si>
  <si>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</si>
  <si>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</si>
  <si>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</si>
  <si>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</si>
  <si>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</si>
  <si>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</si>
  <si>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</si>
  <si>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</si>
  <si>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</si>
  <si>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</si>
  <si>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</si>
  <si>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</si>
  <si>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</si>
  <si>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</si>
  <si>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</si>
  <si>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</si>
  <si>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</si>
  <si>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</si>
  <si>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</si>
  <si>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</si>
  <si>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</si>
  <si>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</si>
  <si>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</si>
  <si>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</si>
  <si>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</si>
  <si>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</si>
  <si>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</si>
  <si>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</si>
  <si>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</si>
  <si>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</si>
  <si>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</si>
  <si>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</si>
  <si>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</si>
  <si>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</si>
  <si>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</si>
  <si>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</si>
  <si>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</si>
  <si>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</si>
  <si>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</si>
  <si>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</si>
  <si>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</si>
  <si>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</si>
  <si>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</si>
  <si>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</si>
  <si>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</si>
  <si>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</si>
  <si>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</si>
  <si>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</si>
  <si>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</si>
  <si>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</si>
  <si>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</si>
  <si>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</si>
  <si>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</si>
  <si>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</si>
  <si>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</si>
  <si>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</si>
  <si>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</si>
  <si>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</si>
  <si>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</si>
  <si>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</si>
  <si>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</si>
  <si>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</si>
  <si>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</si>
  <si>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</si>
  <si>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</si>
  <si>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</si>
  <si>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</si>
  <si>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</si>
  <si>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</si>
  <si>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</si>
  <si>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</si>
  <si>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</si>
  <si>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</si>
  <si>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</si>
  <si>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</si>
  <si>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</si>
  <si>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</si>
  <si>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</si>
  <si>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</si>
  <si>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</si>
  <si>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</si>
  <si>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</si>
  <si>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</si>
  <si>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</si>
  <si>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</si>
  <si>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</si>
  <si>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</si>
  <si>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</si>
  <si>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</si>
  <si>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</si>
  <si>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</si>
  <si>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</si>
  <si>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</si>
  <si>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</si>
  <si>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</si>
  <si>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</si>
  <si>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</si>
  <si>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</si>
  <si>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</si>
  <si>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</si>
  <si>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</si>
  <si>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</si>
  <si>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</si>
  <si>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</si>
  <si>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</si>
  <si>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</si>
  <si>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</si>
  <si>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</si>
  <si>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</si>
  <si>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</si>
  <si>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</si>
  <si>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</si>
  <si>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</si>
  <si>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</si>
  <si>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</si>
  <si>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</si>
  <si>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</si>
  <si>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</si>
  <si>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</si>
  <si>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</si>
  <si>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</si>
  <si>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</si>
  <si>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</si>
  <si>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</si>
  <si>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</si>
  <si>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</si>
  <si>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</si>
  <si>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</si>
  <si>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</si>
  <si>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</si>
  <si>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</si>
  <si>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</si>
  <si>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</si>
  <si>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</si>
  <si>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</si>
  <si>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</si>
  <si>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</si>
  <si>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</si>
  <si>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</si>
  <si>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</si>
  <si>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</si>
  <si>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</si>
  <si>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</si>
  <si>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</si>
  <si>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</si>
  <si>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</si>
  <si>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</si>
  <si>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</si>
  <si>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</si>
  <si>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</si>
  <si>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</si>
  <si>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</si>
  <si>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</si>
  <si>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</si>
  <si>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</si>
  <si>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</si>
  <si>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</si>
  <si>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</si>
  <si>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</si>
  <si>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</si>
  <si>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</si>
  <si>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</si>
  <si>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</si>
  <si>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</si>
  <si>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</si>
  <si>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</si>
  <si>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</si>
  <si>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</si>
  <si>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</si>
  <si>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</si>
  <si>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</si>
  <si>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</si>
  <si>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</si>
  <si>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</si>
  <si>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</si>
  <si>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</si>
  <si>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</si>
  <si>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</si>
  <si>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</si>
  <si>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</si>
  <si>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</si>
  <si>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</si>
  <si>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</si>
  <si>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</si>
  <si>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</si>
  <si>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</si>
  <si>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</si>
  <si>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</si>
  <si>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</si>
  <si>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</si>
  <si>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</si>
  <si>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</si>
  <si>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</si>
  <si>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</si>
  <si>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</si>
  <si>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</si>
  <si>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</si>
  <si>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</si>
  <si>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</si>
  <si>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</si>
  <si>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</si>
  <si>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</si>
  <si>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</si>
  <si>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</si>
  <si>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</si>
  <si>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</si>
  <si>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</si>
  <si>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</si>
  <si>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</si>
  <si>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</si>
  <si>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</si>
  <si>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</si>
  <si>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</si>
  <si>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</si>
  <si>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</si>
  <si>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</si>
  <si>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</si>
  <si>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</si>
  <si>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</si>
  <si>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</si>
  <si>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</si>
  <si>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</si>
  <si>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</si>
  <si>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</si>
  <si>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</si>
  <si>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</si>
  <si>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</si>
  <si>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</si>
  <si>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</si>
  <si>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</si>
  <si>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</si>
  <si>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</si>
  <si>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</si>
  <si>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</si>
  <si>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</si>
  <si>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</si>
  <si>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</si>
  <si>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</si>
  <si>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</si>
  <si>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</si>
  <si>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</si>
  <si>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</si>
  <si>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</si>
  <si>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</si>
  <si>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</si>
  <si>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</si>
  <si>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</si>
  <si>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</si>
  <si>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</si>
  <si>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</si>
  <si>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</si>
  <si>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</si>
  <si>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</si>
  <si>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</si>
  <si>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</si>
  <si>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</si>
  <si>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</si>
  <si>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</si>
  <si>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</si>
  <si>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</si>
  <si>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</si>
  <si>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</si>
  <si>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</si>
  <si>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</si>
  <si>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</si>
  <si>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</si>
  <si>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</si>
  <si>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</si>
  <si>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</si>
  <si>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</si>
  <si>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</si>
  <si>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</si>
  <si>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</si>
  <si>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</si>
  <si>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</si>
  <si>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</si>
  <si>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</si>
  <si>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</si>
  <si>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</si>
  <si>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</si>
  <si>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</si>
  <si>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</si>
  <si>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</si>
  <si>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</si>
  <si>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</si>
  <si>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</si>
  <si>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</si>
  <si>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</si>
  <si>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</si>
  <si>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</si>
  <si>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</si>
  <si>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</si>
  <si>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</si>
  <si>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</si>
  <si>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</si>
  <si>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</si>
  <si>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</si>
  <si>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</si>
  <si>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</si>
  <si>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</si>
  <si>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</si>
  <si>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</si>
  <si>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</si>
  <si>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</si>
  <si>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</si>
  <si>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</si>
  <si>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</si>
  <si>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</si>
  <si>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</si>
  <si>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</si>
  <si>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</si>
  <si>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</si>
  <si>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</si>
  <si>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</si>
  <si>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</si>
  <si>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이시맥기장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</si>
  <si>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</si>
  <si>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</si>
  <si>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</si>
  <si>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</si>
  <si>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</si>
  <si>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</si>
  <si>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</si>
  <si>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</si>
  <si>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</si>
  <si>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</si>
  <si>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</si>
  <si>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</si>
  <si>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</si>
  <si>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</si>
  <si>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</si>
  <si>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</si>
  <si>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</si>
  <si>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</si>
  <si>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</si>
  <si>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</si>
  <si>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</si>
  <si>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</si>
  <si>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</si>
  <si>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</si>
  <si>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</si>
  <si>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</si>
  <si>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</si>
  <si>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</si>
  <si>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</si>
  <si>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</si>
  <si>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</si>
  <si>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</si>
  <si>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</si>
  <si>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</si>
  <si>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</si>
  <si>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</si>
  <si>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</si>
  <si>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</si>
  <si>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</si>
  <si>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</si>
  <si>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</si>
  <si>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</si>
  <si>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</si>
  <si>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</si>
  <si>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</si>
  <si>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</si>
  <si>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</si>
  <si>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</si>
  <si>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</si>
  <si>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</si>
  <si>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</si>
  <si>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</si>
  <si>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</si>
  <si>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</si>
  <si>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</si>
  <si>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</si>
  <si>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</si>
  <si>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</si>
  <si>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</si>
  <si>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</si>
  <si>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</si>
  <si>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</si>
  <si>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</si>
  <si>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</si>
  <si>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</si>
  <si>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</si>
  <si>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</si>
  <si>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</si>
  <si>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</si>
  <si>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</si>
  <si>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</si>
  <si>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</si>
  <si>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</si>
  <si>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</si>
  <si>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</si>
  <si>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</si>
  <si>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</si>
  <si>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</si>
  <si>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</si>
  <si>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</si>
  <si>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</si>
  <si>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</si>
  <si>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</si>
  <si>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</si>
  <si>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</si>
  <si>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</si>
  <si>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</si>
  <si>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</si>
  <si>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</si>
  <si>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</si>
  <si>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</si>
  <si>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</si>
  <si>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</si>
  <si>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</si>
  <si>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</si>
  <si>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</si>
  <si>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</si>
  <si>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</si>
  <si>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</si>
  <si>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</si>
  <si>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</si>
  <si>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</si>
  <si>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</si>
  <si>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</si>
  <si>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</si>
  <si>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</si>
  <si>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</si>
  <si>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</si>
  <si>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</si>
  <si>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</si>
  <si>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</si>
  <si>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</si>
  <si>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</si>
  <si>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</si>
  <si>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</si>
  <si>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</si>
  <si>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</si>
  <si>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</si>
  <si>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</si>
  <si>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</si>
  <si>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</si>
  <si>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</si>
  <si>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</si>
  <si>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</si>
  <si>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</si>
  <si>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</si>
  <si>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</si>
  <si>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</si>
  <si>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</si>
  <si>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</si>
  <si>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</si>
  <si>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</si>
  <si>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</si>
  <si>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</si>
  <si>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</si>
  <si>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</si>
  <si>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</si>
  <si>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</si>
  <si>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</si>
  <si>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</si>
  <si>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</si>
  <si>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</si>
  <si>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</si>
  <si>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</si>
  <si>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</si>
  <si>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</si>
  <si>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</si>
  <si>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</si>
  <si>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</si>
  <si>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</si>
  <si>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</si>
  <si>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</si>
  <si>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</si>
  <si>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</si>
  <si>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</si>
  <si>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</si>
  <si>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</si>
  <si>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</si>
  <si>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</si>
  <si>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</si>
  <si>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</si>
  <si>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</si>
  <si>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</si>
  <si>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</si>
  <si>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</si>
  <si>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</si>
  <si>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</si>
  <si>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</si>
  <si>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</si>
  <si>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</si>
  <si>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</si>
  <si>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</si>
  <si>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</si>
  <si>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</si>
  <si>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</si>
  <si>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</si>
  <si>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</si>
  <si>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</si>
  <si>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</si>
  <si>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</si>
  <si>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</si>
  <si>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김동명주임</t>
    <phoneticPr fontId="2" type="noConversion"/>
  </si>
  <si>
    <t>A/S출장</t>
    <phoneticPr fontId="2" type="noConversion"/>
  </si>
  <si>
    <t>5/29 ~ 6/6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</si>
  <si>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</si>
  <si>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</si>
  <si>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</si>
  <si>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</si>
  <si>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</si>
  <si>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헬기이송장치 설치 관련, 현장실사 및 견적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</si>
  <si>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</si>
  <si>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</si>
  <si>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</si>
  <si>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</si>
  <si>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</si>
  <si>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</si>
  <si>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</si>
  <si>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</si>
  <si>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</si>
  <si>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</si>
  <si>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</si>
  <si>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</si>
  <si>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</si>
  <si>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</si>
  <si>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</si>
  <si>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</si>
  <si>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</si>
  <si>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</si>
  <si>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</si>
  <si>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</si>
  <si>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</si>
  <si>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</si>
  <si>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</si>
  <si>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</si>
  <si>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</si>
  <si>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</si>
  <si>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</si>
  <si>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</si>
  <si>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</si>
  <si>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</si>
  <si>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</si>
  <si>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</si>
  <si>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</si>
  <si>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</si>
  <si>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</si>
  <si>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</si>
  <si>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</si>
  <si>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</si>
  <si>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</si>
  <si>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</si>
  <si>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</si>
  <si>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</si>
  <si>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</si>
  <si>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</si>
  <si>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</si>
  <si>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</si>
  <si>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</si>
  <si>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</si>
  <si>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</si>
  <si>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</si>
  <si>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</si>
  <si>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</si>
  <si>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</si>
  <si>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</si>
  <si>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</si>
  <si>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</si>
  <si>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</si>
  <si>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</si>
  <si>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</si>
  <si>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</si>
  <si>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</si>
  <si>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</si>
  <si>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</si>
  <si>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</si>
  <si>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</si>
  <si>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</si>
  <si>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</si>
  <si>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</si>
  <si>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</si>
  <si>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</si>
  <si>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</si>
  <si>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</si>
  <si>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</si>
  <si>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</si>
  <si>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</si>
  <si>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</si>
  <si>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</si>
  <si>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</si>
  <si>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</si>
  <si>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</si>
  <si>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</si>
  <si>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</si>
  <si>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</si>
  <si>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</si>
  <si>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</si>
  <si>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</si>
  <si>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</si>
  <si>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</si>
  <si>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</si>
  <si>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</si>
  <si>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</si>
  <si>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</si>
  <si>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</si>
  <si>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</si>
  <si>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</si>
  <si>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</si>
  <si>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</si>
  <si>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</si>
  <si>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</si>
  <si>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</si>
  <si>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</si>
  <si>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</si>
  <si>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</si>
  <si>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</si>
  <si>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</si>
  <si>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</si>
  <si>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</si>
  <si>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</si>
  <si>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</si>
  <si>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</si>
  <si>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</si>
  <si>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</si>
  <si>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</si>
  <si>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</si>
  <si>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</si>
  <si>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</si>
  <si>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</si>
  <si>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</si>
  <si>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</si>
  <si>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</si>
  <si>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</si>
  <si>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</si>
  <si>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</si>
  <si>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</si>
  <si>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</si>
  <si>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</si>
  <si>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</si>
  <si>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</si>
  <si>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</si>
  <si>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</si>
  <si>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</si>
  <si>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</si>
  <si>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</si>
  <si>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</si>
  <si>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</si>
  <si>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</si>
  <si>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</si>
  <si>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</si>
  <si>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</si>
  <si>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</si>
  <si>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</si>
  <si>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</si>
  <si>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</si>
  <si>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</si>
  <si>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</si>
  <si>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</si>
  <si>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</si>
  <si>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</si>
  <si>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</si>
  <si>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</si>
  <si>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</si>
  <si>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</si>
  <si>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</si>
  <si>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</si>
  <si>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</si>
  <si>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</si>
  <si>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</si>
  <si>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</si>
  <si>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</si>
  <si>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</si>
  <si>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</si>
  <si>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</si>
  <si>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</si>
  <si>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</si>
  <si>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</si>
  <si>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</si>
  <si>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</si>
  <si>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HHI</t>
    <phoneticPr fontId="2" type="noConversion"/>
  </si>
  <si>
    <t>P178</t>
    <phoneticPr fontId="2" type="noConversion"/>
  </si>
  <si>
    <t>우신(2)</t>
    <phoneticPr fontId="2" type="noConversion"/>
  </si>
  <si>
    <t>ML</t>
    <phoneticPr fontId="2" type="noConversion"/>
  </si>
  <si>
    <t>격벽 설치 / PUNCH 조치</t>
    <phoneticPr fontId="2" type="noConversion"/>
  </si>
  <si>
    <t>격벽 설치 / 현장확인</t>
    <phoneticPr fontId="2" type="noConversion"/>
  </si>
  <si>
    <t>범양(1)</t>
    <phoneticPr fontId="2" type="noConversion"/>
  </si>
  <si>
    <t>김은영(오후반차)</t>
    <phoneticPr fontId="2" type="noConversion"/>
  </si>
  <si>
    <t>김은영(오후반차)</t>
    <phoneticPr fontId="2" type="noConversion"/>
  </si>
  <si>
    <t>김유신사장님 출근 불가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</si>
  <si>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</si>
  <si>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</si>
  <si>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</si>
  <si>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</si>
  <si>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</si>
  <si>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</si>
  <si>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</si>
  <si>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</si>
  <si>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</si>
  <si>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</si>
  <si>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</si>
  <si>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</si>
  <si>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</si>
  <si>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</si>
  <si>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</si>
  <si>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</si>
  <si>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</si>
  <si>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</si>
  <si>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</si>
  <si>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</si>
  <si>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</si>
  <si>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</si>
  <si>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</si>
  <si>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</si>
  <si>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</si>
  <si>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</si>
  <si>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</si>
  <si>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</si>
  <si>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</si>
  <si>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</si>
  <si>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</si>
  <si>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</si>
  <si>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</si>
  <si>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</si>
  <si>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</si>
  <si>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</si>
  <si>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</si>
  <si>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</si>
  <si>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</si>
  <si>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</si>
  <si>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</si>
  <si>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</si>
  <si>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</si>
  <si>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</si>
  <si>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</si>
  <si>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</si>
  <si>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</si>
  <si>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</si>
  <si>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</si>
  <si>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</si>
  <si>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</si>
  <si>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</si>
  <si>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</si>
  <si>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</si>
  <si>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</si>
  <si>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</si>
  <si>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</si>
  <si>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</si>
  <si>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</si>
  <si>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</si>
  <si>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</si>
  <si>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</si>
  <si>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</si>
  <si>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</si>
  <si>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</si>
  <si>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</si>
  <si>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</si>
  <si>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</si>
  <si>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</si>
  <si>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초기 작동 (릴 결선)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</si>
  <si>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</si>
  <si>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</si>
  <si>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</si>
  <si>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박성용</t>
    <phoneticPr fontId="2" type="noConversion"/>
  </si>
  <si>
    <t>DST(1)</t>
    <phoneticPr fontId="2" type="noConversion"/>
  </si>
  <si>
    <t>0160</t>
    <phoneticPr fontId="2" type="noConversion"/>
  </si>
  <si>
    <t>개인차량</t>
    <phoneticPr fontId="2" type="noConversion"/>
  </si>
  <si>
    <t>초기작동</t>
    <phoneticPr fontId="2" type="noConversion"/>
  </si>
  <si>
    <t xml:space="preserve">플렉시블 호스 연결 </t>
    <phoneticPr fontId="2" type="noConversion"/>
  </si>
  <si>
    <t>잔여 HAT 검사</t>
    <phoneticPr fontId="2" type="noConversion"/>
  </si>
  <si>
    <t>전광진</t>
    <phoneticPr fontId="2" type="noConversion"/>
  </si>
  <si>
    <t>우신(2), 동아(1)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</si>
  <si>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</si>
  <si>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</si>
  <si>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</si>
  <si>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</si>
  <si>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</si>
  <si>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김용훈</t>
    <phoneticPr fontId="2" type="noConversion"/>
  </si>
  <si>
    <t>25주</t>
    <phoneticPr fontId="2" type="noConversion"/>
  </si>
  <si>
    <t>24주 추가</t>
    <phoneticPr fontId="2" type="noConversion"/>
  </si>
  <si>
    <t>HIO(1)</t>
    <phoneticPr fontId="2" type="noConversion"/>
  </si>
  <si>
    <t>25주 추가</t>
  </si>
  <si>
    <t>검사 입회</t>
    <phoneticPr fontId="2" type="noConversion"/>
  </si>
  <si>
    <t>범양(1)</t>
    <phoneticPr fontId="2" type="noConversion"/>
  </si>
  <si>
    <t>0160
개인차량</t>
    <phoneticPr fontId="2" type="noConversion"/>
  </si>
  <si>
    <t>LOAD TEST &amp; 승조원 교육 (13:00 ~ 14:00)</t>
    <phoneticPr fontId="2" type="noConversion"/>
  </si>
  <si>
    <t>2번 라싱아이 1개 공급 / Jib  rest  하부 패드 설치 / 케이블 타이 -&gt; 밴딩띠로 교체 요함 / 홀메공 / 와이퍼 점검 / 명판 펀칭</t>
    <phoneticPr fontId="2" type="noConversion"/>
  </si>
  <si>
    <t>박성용(사무실)</t>
    <phoneticPr fontId="2" type="noConversion"/>
  </si>
  <si>
    <t>결선 작업</t>
    <phoneticPr fontId="2" type="noConversion"/>
  </si>
  <si>
    <t>격벽 설치 / 로드셀 사전 작업</t>
    <phoneticPr fontId="2" type="noConversion"/>
  </si>
  <si>
    <t>범양(1), 동아(2)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</si>
</sst>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07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178" fontId="7" fillId="0" borderId="1" xfId="0" applyNumberFormat="1" applyFont="1" applyBorder="1" applyAlignment="1">
      <alignment horizontal="center" vertical="center" wrapTex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178" fontId="112" fillId="0" borderId="1" xfId="0" quotePrefix="1" applyNumberFormat="1" applyFont="1" applyBorder="1" applyAlignment="1">
      <alignment horizontal="center"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4" fillId="3" borderId="1" xfId="0" applyFont="1" applyFill="1" applyBorder="1">
      <alignment vertical="center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0" borderId="3" xfId="0" applyFont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3" xfId="0" applyFont="1" applyBorder="1" applyAlignment="1">
      <alignment horizontal="center" vertical="center"/>
    </xf>
    <xf numFmtId="0" fontId="112" fillId="0" borderId="5" xfId="0" applyFont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467"/>
  <sheetViews>
    <sheetView showGridLines="0" tabSelected="1" topLeftCell="A407" zoomScaleNormal="100" workbookViewId="0">
      <selection activeCell="H417" sqref="H417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93" t="s">
        <v>3261</v>
      </c>
      <c r="B1" s="793"/>
      <c r="C1" s="793"/>
      <c r="D1" s="793"/>
      <c r="E1" s="793"/>
      <c r="F1" s="793"/>
      <c r="G1" s="793"/>
      <c r="H1" s="793"/>
      <c r="I1" s="793"/>
      <c r="J1" s="793"/>
      <c r="K1" s="793"/>
      <c r="L1" s="793"/>
      <c r="M1" s="793"/>
      <c r="N1" s="1"/>
    </row>
    <row r="2" spans="1:17" s="17" customFormat="1" ht="27" customHeight="1">
      <c r="A2" s="323" t="s">
        <v>0</v>
      </c>
      <c r="B2" s="324" t="s">
        <v>1</v>
      </c>
      <c r="C2" s="323" t="s">
        <v>2</v>
      </c>
      <c r="D2" s="323" t="s">
        <v>3</v>
      </c>
      <c r="E2" s="323" t="s">
        <v>4</v>
      </c>
      <c r="F2" s="323" t="s">
        <v>5</v>
      </c>
      <c r="G2" s="323" t="s">
        <v>6</v>
      </c>
      <c r="H2" s="325" t="s">
        <v>7</v>
      </c>
      <c r="I2" s="323" t="s">
        <v>8</v>
      </c>
      <c r="J2" s="323" t="s">
        <v>9</v>
      </c>
      <c r="K2" s="326" t="s">
        <v>10</v>
      </c>
      <c r="L2" s="327" t="s">
        <v>11</v>
      </c>
      <c r="M2" s="323" t="s">
        <v>12</v>
      </c>
      <c r="N2" s="449" t="s">
        <v>13</v>
      </c>
      <c r="O2" s="323" t="s">
        <v>63</v>
      </c>
    </row>
    <row r="3" spans="1:17" s="17" customFormat="1" ht="33" customHeight="1">
      <c r="A3" s="430" t="s">
        <v>3333</v>
      </c>
      <c r="B3" s="400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35" t="s">
        <v>3341</v>
      </c>
    </row>
    <row r="4" spans="1:17" s="17" customFormat="1" ht="33" customHeight="1">
      <c r="A4" s="431"/>
      <c r="B4" s="400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36" t="s">
        <v>4511</v>
      </c>
    </row>
    <row r="5" spans="1:17" s="17" customFormat="1" ht="33" customHeight="1">
      <c r="A5" s="431"/>
      <c r="B5" s="400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9"/>
      <c r="O5" s="436" t="s">
        <v>3348</v>
      </c>
      <c r="P5" s="402" t="s">
        <v>3349</v>
      </c>
      <c r="Q5"/>
    </row>
    <row r="6" spans="1:17" s="17" customFormat="1" ht="33" customHeight="1">
      <c r="A6" s="431"/>
      <c r="B6" s="400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35" t="s">
        <v>3354</v>
      </c>
      <c r="Q6"/>
    </row>
    <row r="7" spans="1:17" s="17" customFormat="1" ht="33" customHeight="1">
      <c r="A7" s="431"/>
      <c r="B7" s="400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36" t="s">
        <v>3358</v>
      </c>
      <c r="Q7"/>
    </row>
    <row r="8" spans="1:17" s="17" customFormat="1" ht="33" customHeight="1">
      <c r="A8" s="431"/>
      <c r="B8" s="400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50" t="s">
        <v>3361</v>
      </c>
      <c r="Q8" s="406"/>
    </row>
    <row r="9" spans="1:17" s="17" customFormat="1" ht="33" customHeight="1">
      <c r="A9" s="431"/>
      <c r="B9" s="400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36" t="s">
        <v>3363</v>
      </c>
      <c r="P9" s="407" t="s">
        <v>3364</v>
      </c>
      <c r="Q9" s="406"/>
    </row>
    <row r="10" spans="1:17" s="17" customFormat="1" ht="33" customHeight="1">
      <c r="A10" s="431"/>
      <c r="B10" s="400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7" t="s">
        <v>4718</v>
      </c>
      <c r="Q10" s="406"/>
    </row>
    <row r="11" spans="1:17" s="17" customFormat="1" ht="33" customHeight="1">
      <c r="A11" s="431"/>
      <c r="B11" s="400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7" t="s">
        <v>3395</v>
      </c>
      <c r="Q11" s="406"/>
    </row>
    <row r="12" spans="1:17" s="17" customFormat="1" ht="33" customHeight="1">
      <c r="A12" s="431"/>
      <c r="B12" s="400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7" t="s">
        <v>3370</v>
      </c>
      <c r="Q12" s="406"/>
    </row>
    <row r="13" spans="1:17" s="17" customFormat="1" ht="33" customHeight="1">
      <c r="A13" s="431"/>
      <c r="B13" s="400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7" t="s">
        <v>3376</v>
      </c>
      <c r="Q13" s="406"/>
    </row>
    <row r="14" spans="1:17" s="17" customFormat="1" ht="33" customHeight="1">
      <c r="A14" s="431"/>
      <c r="B14" s="400">
        <v>46023</v>
      </c>
      <c r="C14" s="4"/>
      <c r="D14" s="4"/>
      <c r="E14" s="31"/>
      <c r="F14" s="31"/>
      <c r="G14" s="16"/>
      <c r="H14" s="408" t="s">
        <v>3377</v>
      </c>
      <c r="I14" s="31"/>
      <c r="J14" s="193"/>
      <c r="K14" s="125"/>
      <c r="L14" s="16"/>
      <c r="M14" s="8"/>
      <c r="N14" s="31"/>
      <c r="O14" s="451"/>
    </row>
    <row r="15" spans="1:17" s="17" customFormat="1" ht="33" customHeight="1">
      <c r="A15" s="431"/>
      <c r="B15" s="400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35"/>
    </row>
    <row r="16" spans="1:17" s="17" customFormat="1" ht="32.25" customHeight="1">
      <c r="A16" s="431"/>
      <c r="B16" s="400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7" t="s">
        <v>3381</v>
      </c>
      <c r="Q16" s="320"/>
    </row>
    <row r="17" spans="1:19" s="17" customFormat="1" ht="32.25" customHeight="1">
      <c r="A17" s="431"/>
      <c r="B17" s="400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8" t="s">
        <v>3383</v>
      </c>
      <c r="Q17" s="320"/>
    </row>
    <row r="18" spans="1:19" s="17" customFormat="1" ht="32.25" customHeight="1">
      <c r="A18" s="431"/>
      <c r="B18" s="400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7" t="s">
        <v>4308</v>
      </c>
      <c r="Q18" s="320"/>
    </row>
    <row r="19" spans="1:19" s="17" customFormat="1" ht="33" customHeight="1">
      <c r="A19" s="431"/>
      <c r="B19" s="400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9"/>
    </row>
    <row r="20" spans="1:19" s="17" customFormat="1" ht="33" customHeight="1">
      <c r="A20" s="432"/>
      <c r="B20" s="400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9"/>
    </row>
    <row r="21" spans="1:19" s="17" customFormat="1" ht="27" customHeight="1">
      <c r="A21" s="433" t="s">
        <v>0</v>
      </c>
      <c r="B21" s="324" t="s">
        <v>1</v>
      </c>
      <c r="C21" s="323" t="s">
        <v>2</v>
      </c>
      <c r="D21" s="323" t="s">
        <v>3</v>
      </c>
      <c r="E21" s="323" t="s">
        <v>4</v>
      </c>
      <c r="F21" s="323" t="s">
        <v>5</v>
      </c>
      <c r="G21" s="323" t="s">
        <v>6</v>
      </c>
      <c r="H21" s="325" t="s">
        <v>7</v>
      </c>
      <c r="I21" s="323" t="s">
        <v>8</v>
      </c>
      <c r="J21" s="323" t="s">
        <v>9</v>
      </c>
      <c r="K21" s="326" t="s">
        <v>10</v>
      </c>
      <c r="L21" s="327" t="s">
        <v>11</v>
      </c>
      <c r="M21" s="323" t="s">
        <v>12</v>
      </c>
      <c r="N21" s="328" t="s">
        <v>13</v>
      </c>
      <c r="O21" s="434" t="s">
        <v>63</v>
      </c>
    </row>
    <row r="22" spans="1:19" s="17" customFormat="1" ht="33" customHeight="1">
      <c r="A22" s="430" t="s">
        <v>3271</v>
      </c>
      <c r="B22" s="400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40" t="s">
        <v>3277</v>
      </c>
      <c r="P22" s="791"/>
      <c r="Q22" s="792"/>
      <c r="R22" s="792"/>
      <c r="S22" s="792"/>
    </row>
    <row r="23" spans="1:19" s="17" customFormat="1" ht="33" customHeight="1">
      <c r="A23" s="431"/>
      <c r="B23" s="400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36" t="s">
        <v>4470</v>
      </c>
      <c r="P23" s="405"/>
      <c r="Q23" s="384"/>
      <c r="R23" s="384"/>
    </row>
    <row r="24" spans="1:19" s="17" customFormat="1" ht="33" customHeight="1">
      <c r="A24" s="431"/>
      <c r="B24" s="400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41" t="s">
        <v>3289</v>
      </c>
      <c r="P24" s="405"/>
      <c r="Q24" s="384"/>
      <c r="R24" s="384"/>
    </row>
    <row r="25" spans="1:19" s="17" customFormat="1" ht="33" customHeight="1">
      <c r="A25" s="431"/>
      <c r="B25" s="400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35" t="s">
        <v>4411</v>
      </c>
      <c r="P25" s="405"/>
    </row>
    <row r="26" spans="1:19" s="17" customFormat="1" ht="33" customHeight="1">
      <c r="A26" s="431"/>
      <c r="B26" s="400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35" t="s">
        <v>3404</v>
      </c>
      <c r="Q26"/>
    </row>
    <row r="27" spans="1:19" s="17" customFormat="1" ht="33" customHeight="1">
      <c r="A27" s="431"/>
      <c r="B27" s="400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41" t="s">
        <v>4339</v>
      </c>
      <c r="P27" s="791"/>
      <c r="Q27" s="792"/>
      <c r="R27" s="792"/>
      <c r="S27" s="792"/>
    </row>
    <row r="28" spans="1:19" s="17" customFormat="1" ht="33" customHeight="1">
      <c r="A28" s="431"/>
      <c r="B28" s="400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42" t="s">
        <v>3405</v>
      </c>
      <c r="P28" s="405"/>
      <c r="Q28" s="405"/>
    </row>
    <row r="29" spans="1:19" s="17" customFormat="1" ht="33" customHeight="1">
      <c r="A29" s="431"/>
      <c r="B29" s="400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8" t="s">
        <v>3305</v>
      </c>
      <c r="P29" s="405"/>
      <c r="Q29" s="320"/>
    </row>
    <row r="30" spans="1:19" s="17" customFormat="1" ht="33" customHeight="1">
      <c r="A30" s="431"/>
      <c r="B30" s="400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35" t="s">
        <v>4324</v>
      </c>
      <c r="P30" s="405"/>
      <c r="Q30" s="320"/>
    </row>
    <row r="31" spans="1:19" s="17" customFormat="1" ht="33" customHeight="1">
      <c r="A31" s="431"/>
      <c r="B31" s="400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43" t="s">
        <v>4340</v>
      </c>
      <c r="P31" s="405"/>
      <c r="Q31" s="320"/>
    </row>
    <row r="32" spans="1:19" s="17" customFormat="1" ht="33" customHeight="1">
      <c r="A32" s="431"/>
      <c r="B32" s="400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7" t="s">
        <v>4344</v>
      </c>
      <c r="P32" s="405"/>
    </row>
    <row r="33" spans="1:19" s="17" customFormat="1" ht="33" customHeight="1">
      <c r="A33" s="431"/>
      <c r="B33" s="400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35" t="s">
        <v>4345</v>
      </c>
      <c r="P33" s="405"/>
    </row>
    <row r="34" spans="1:19" s="17" customFormat="1" ht="33" customHeight="1">
      <c r="A34" s="431"/>
      <c r="B34" s="400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35" t="s">
        <v>4353</v>
      </c>
      <c r="P34" s="402"/>
    </row>
    <row r="35" spans="1:19" s="17" customFormat="1" ht="33" customHeight="1">
      <c r="A35" s="431"/>
      <c r="B35" s="400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35" t="s">
        <v>4368</v>
      </c>
      <c r="P35" s="402"/>
    </row>
    <row r="36" spans="1:19" s="17" customFormat="1" ht="33" customHeight="1">
      <c r="A36" s="431"/>
      <c r="B36" s="400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36" t="s">
        <v>4569</v>
      </c>
      <c r="P36" s="791"/>
      <c r="Q36" s="792"/>
      <c r="R36" s="792"/>
      <c r="S36" s="792"/>
    </row>
    <row r="37" spans="1:19" s="17" customFormat="1" ht="33" customHeight="1">
      <c r="A37" s="431"/>
      <c r="B37" s="400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22">
        <v>2</v>
      </c>
      <c r="N37" s="6" t="s">
        <v>4370</v>
      </c>
      <c r="O37" s="444" t="s">
        <v>4369</v>
      </c>
      <c r="P37" s="791"/>
      <c r="Q37" s="792"/>
      <c r="R37" s="792"/>
      <c r="S37" s="792"/>
    </row>
    <row r="38" spans="1:19" s="17" customFormat="1" ht="33" customHeight="1">
      <c r="A38" s="431"/>
      <c r="B38" s="400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22">
        <v>1</v>
      </c>
      <c r="N38" s="6"/>
      <c r="O38" s="435" t="s">
        <v>4345</v>
      </c>
      <c r="P38" s="402"/>
      <c r="Q38" s="320"/>
    </row>
    <row r="39" spans="1:19" s="17" customFormat="1" ht="33" customHeight="1">
      <c r="A39" s="431"/>
      <c r="B39" s="400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35"/>
      <c r="P39" s="402"/>
    </row>
    <row r="40" spans="1:19" s="17" customFormat="1" ht="33" customHeight="1">
      <c r="A40" s="432"/>
      <c r="B40" s="400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35"/>
      <c r="P40" s="791"/>
      <c r="Q40" s="792"/>
      <c r="R40" s="792"/>
      <c r="S40" s="792"/>
    </row>
    <row r="41" spans="1:19" s="17" customFormat="1" ht="27" customHeight="1">
      <c r="A41" s="433" t="s">
        <v>3314</v>
      </c>
      <c r="B41" s="324" t="s">
        <v>1</v>
      </c>
      <c r="C41" s="323" t="s">
        <v>2</v>
      </c>
      <c r="D41" s="323" t="s">
        <v>3</v>
      </c>
      <c r="E41" s="323" t="s">
        <v>4</v>
      </c>
      <c r="F41" s="323" t="s">
        <v>5</v>
      </c>
      <c r="G41" s="323" t="s">
        <v>6</v>
      </c>
      <c r="H41" s="325" t="s">
        <v>7</v>
      </c>
      <c r="I41" s="323" t="s">
        <v>3315</v>
      </c>
      <c r="J41" s="323" t="s">
        <v>9</v>
      </c>
      <c r="K41" s="326" t="s">
        <v>3316</v>
      </c>
      <c r="L41" s="327" t="s">
        <v>3317</v>
      </c>
      <c r="M41" s="323" t="s">
        <v>3318</v>
      </c>
      <c r="N41" s="328" t="s">
        <v>3319</v>
      </c>
      <c r="O41" s="434" t="s">
        <v>3320</v>
      </c>
      <c r="P41" s="791"/>
      <c r="Q41" s="792"/>
      <c r="R41" s="792"/>
      <c r="S41" s="792"/>
    </row>
    <row r="42" spans="1:19" s="17" customFormat="1" ht="33" customHeight="1">
      <c r="A42" s="430" t="s">
        <v>3321</v>
      </c>
      <c r="B42" s="400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35" t="s">
        <v>4768</v>
      </c>
      <c r="P42" s="402" t="s">
        <v>4309</v>
      </c>
    </row>
    <row r="43" spans="1:19" s="17" customFormat="1" ht="33" customHeight="1">
      <c r="A43" s="431"/>
      <c r="B43" s="400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8"/>
      <c r="P43" s="791" t="s">
        <v>4390</v>
      </c>
      <c r="Q43" s="792"/>
      <c r="R43" s="792"/>
      <c r="S43" s="792"/>
    </row>
    <row r="44" spans="1:19" s="17" customFormat="1" ht="33" customHeight="1">
      <c r="A44" s="431"/>
      <c r="B44" s="400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42" t="s">
        <v>3325</v>
      </c>
      <c r="P44" s="407"/>
    </row>
    <row r="45" spans="1:19" s="17" customFormat="1" ht="33" customHeight="1">
      <c r="A45" s="431"/>
      <c r="B45" s="400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35" t="s">
        <v>4395</v>
      </c>
      <c r="P45" s="407"/>
      <c r="Q45"/>
    </row>
    <row r="46" spans="1:19" s="17" customFormat="1" ht="33" customHeight="1">
      <c r="A46" s="431"/>
      <c r="B46" s="400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23" t="s">
        <v>4379</v>
      </c>
      <c r="M46" s="8">
        <v>2</v>
      </c>
      <c r="N46" s="31"/>
      <c r="O46" s="436" t="s">
        <v>4640</v>
      </c>
      <c r="P46" s="421"/>
      <c r="Q46"/>
    </row>
    <row r="47" spans="1:19" s="17" customFormat="1" ht="33" customHeight="1">
      <c r="A47" s="431"/>
      <c r="B47" s="400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9"/>
      <c r="O47" s="437" t="s">
        <v>4416</v>
      </c>
      <c r="P47" s="421"/>
      <c r="Q47"/>
    </row>
    <row r="48" spans="1:19" s="17" customFormat="1" ht="33" customHeight="1">
      <c r="A48" s="431"/>
      <c r="B48" s="400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9"/>
      <c r="O48" s="437" t="s">
        <v>4396</v>
      </c>
      <c r="P48" s="405"/>
      <c r="Q48" s="421"/>
    </row>
    <row r="49" spans="1:19" s="17" customFormat="1" ht="33" customHeight="1">
      <c r="A49" s="431"/>
      <c r="B49" s="400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9"/>
      <c r="O49" s="437" t="s">
        <v>4422</v>
      </c>
      <c r="P49" s="405"/>
      <c r="Q49" s="421"/>
    </row>
    <row r="50" spans="1:19" s="17" customFormat="1" ht="33" customHeight="1">
      <c r="A50" s="431"/>
      <c r="B50" s="400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9" t="s">
        <v>4332</v>
      </c>
      <c r="P50" s="405"/>
      <c r="Q50" s="320"/>
    </row>
    <row r="51" spans="1:19" s="17" customFormat="1" ht="33" customHeight="1">
      <c r="A51" s="431"/>
      <c r="B51" s="400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35" t="s">
        <v>4433</v>
      </c>
      <c r="P51" s="405"/>
      <c r="Q51" s="320"/>
    </row>
    <row r="52" spans="1:19" s="17" customFormat="1" ht="33" customHeight="1">
      <c r="A52" s="431"/>
      <c r="B52" s="400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9"/>
      <c r="O52" s="442" t="s">
        <v>4348</v>
      </c>
      <c r="P52" s="405"/>
    </row>
    <row r="53" spans="1:19" s="17" customFormat="1" ht="33" customHeight="1">
      <c r="A53" s="431"/>
      <c r="B53" s="400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9"/>
      <c r="O53" s="437" t="s">
        <v>4408</v>
      </c>
      <c r="P53" s="405"/>
    </row>
    <row r="54" spans="1:19" s="17" customFormat="1" ht="33" customHeight="1">
      <c r="A54" s="431"/>
      <c r="B54" s="400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9"/>
      <c r="O54" s="436" t="s">
        <v>4729</v>
      </c>
      <c r="P54" s="405"/>
    </row>
    <row r="55" spans="1:19" s="17" customFormat="1" ht="33" customHeight="1">
      <c r="A55" s="431"/>
      <c r="B55" s="400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9"/>
      <c r="O55" s="437" t="s">
        <v>4324</v>
      </c>
      <c r="P55" s="405"/>
    </row>
    <row r="56" spans="1:19" s="17" customFormat="1" ht="33" customHeight="1">
      <c r="A56" s="431"/>
      <c r="B56" s="400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9"/>
      <c r="O56" s="436" t="s">
        <v>4521</v>
      </c>
      <c r="P56" s="405"/>
    </row>
    <row r="57" spans="1:19" s="17" customFormat="1" ht="33" customHeight="1">
      <c r="A57" s="431"/>
      <c r="B57" s="400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9"/>
      <c r="O57" s="437" t="s">
        <v>4324</v>
      </c>
      <c r="P57" s="405"/>
      <c r="Q57" s="320"/>
    </row>
    <row r="58" spans="1:19" s="17" customFormat="1" ht="33" customHeight="1">
      <c r="A58" s="431"/>
      <c r="B58" s="400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9"/>
      <c r="O58" s="437"/>
    </row>
    <row r="59" spans="1:19" s="17" customFormat="1" ht="33" customHeight="1">
      <c r="A59" s="432"/>
      <c r="B59" s="400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9"/>
    </row>
    <row r="60" spans="1:19" s="17" customFormat="1" ht="33" customHeight="1">
      <c r="A60" s="433" t="s">
        <v>0</v>
      </c>
      <c r="B60" s="324" t="s">
        <v>1</v>
      </c>
      <c r="C60" s="323" t="s">
        <v>2</v>
      </c>
      <c r="D60" s="323" t="s">
        <v>3</v>
      </c>
      <c r="E60" s="323" t="s">
        <v>4</v>
      </c>
      <c r="F60" s="323" t="s">
        <v>5</v>
      </c>
      <c r="G60" s="323" t="s">
        <v>6</v>
      </c>
      <c r="H60" s="325" t="s">
        <v>7</v>
      </c>
      <c r="I60" s="323" t="s">
        <v>8</v>
      </c>
      <c r="J60" s="323" t="s">
        <v>9</v>
      </c>
      <c r="K60" s="326" t="s">
        <v>10</v>
      </c>
      <c r="L60" s="327" t="s">
        <v>11</v>
      </c>
      <c r="M60" s="323" t="s">
        <v>12</v>
      </c>
      <c r="N60" s="328" t="s">
        <v>13</v>
      </c>
      <c r="O60" s="434" t="s">
        <v>63</v>
      </c>
    </row>
    <row r="61" spans="1:19" s="17" customFormat="1" ht="33" customHeight="1">
      <c r="A61" s="430" t="s">
        <v>4448</v>
      </c>
      <c r="B61" s="400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9"/>
      <c r="O61" s="437" t="s">
        <v>4746</v>
      </c>
      <c r="P61" s="791"/>
      <c r="Q61" s="792"/>
      <c r="R61" s="792"/>
      <c r="S61" s="792"/>
    </row>
    <row r="62" spans="1:19" s="17" customFormat="1" ht="33" customHeight="1">
      <c r="A62" s="431"/>
      <c r="B62" s="400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8" t="s">
        <v>4406</v>
      </c>
    </row>
    <row r="63" spans="1:19" s="17" customFormat="1" ht="33" customHeight="1">
      <c r="A63" s="431"/>
      <c r="B63" s="400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35" t="s">
        <v>4447</v>
      </c>
    </row>
    <row r="64" spans="1:19" s="17" customFormat="1" ht="33" customHeight="1">
      <c r="A64" s="431"/>
      <c r="B64" s="400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8" t="s">
        <v>4436</v>
      </c>
      <c r="P64" s="791"/>
      <c r="Q64" s="792"/>
      <c r="R64" s="792"/>
      <c r="S64" s="792"/>
    </row>
    <row r="65" spans="1:19" s="17" customFormat="1" ht="33" customHeight="1">
      <c r="A65" s="431"/>
      <c r="B65" s="400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36" t="s">
        <v>4486</v>
      </c>
    </row>
    <row r="66" spans="1:19" s="17" customFormat="1" ht="33" customHeight="1">
      <c r="A66" s="431"/>
      <c r="B66" s="400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9"/>
      <c r="O66" s="436" t="s">
        <v>4462</v>
      </c>
    </row>
    <row r="67" spans="1:19" s="17" customFormat="1" ht="33" customHeight="1">
      <c r="A67" s="431"/>
      <c r="B67" s="400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35" t="s">
        <v>4585</v>
      </c>
      <c r="P67" s="791"/>
      <c r="Q67" s="792"/>
      <c r="R67" s="792"/>
      <c r="S67" s="792"/>
    </row>
    <row r="68" spans="1:19" s="17" customFormat="1" ht="33" customHeight="1">
      <c r="A68" s="431"/>
      <c r="B68" s="400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9"/>
    </row>
    <row r="69" spans="1:19" s="17" customFormat="1" ht="33" customHeight="1">
      <c r="A69" s="431"/>
      <c r="B69" s="400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8" t="s">
        <v>4404</v>
      </c>
    </row>
    <row r="70" spans="1:19" s="17" customFormat="1" ht="33" customHeight="1">
      <c r="A70" s="431"/>
      <c r="B70" s="400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35" t="s">
        <v>4481</v>
      </c>
    </row>
    <row r="71" spans="1:19" s="17" customFormat="1" ht="33" customHeight="1">
      <c r="A71" s="431"/>
      <c r="B71" s="400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8" t="s">
        <v>4483</v>
      </c>
    </row>
    <row r="72" spans="1:19" s="17" customFormat="1" ht="33" customHeight="1">
      <c r="A72" s="431"/>
      <c r="B72" s="400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22">
        <v>3</v>
      </c>
      <c r="N72" s="6"/>
      <c r="O72" s="444" t="s">
        <v>4491</v>
      </c>
    </row>
    <row r="73" spans="1:19" s="17" customFormat="1" ht="33" customHeight="1">
      <c r="A73" s="431"/>
      <c r="B73" s="400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45"/>
    </row>
    <row r="74" spans="1:19" s="17" customFormat="1" ht="33" customHeight="1">
      <c r="A74" s="431"/>
      <c r="B74" s="400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45"/>
      <c r="P74" s="791"/>
      <c r="Q74" s="792"/>
      <c r="R74" s="792"/>
      <c r="S74" s="792"/>
    </row>
    <row r="75" spans="1:19" s="17" customFormat="1" ht="33" customHeight="1">
      <c r="A75" s="432"/>
      <c r="B75" s="400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9"/>
    </row>
    <row r="76" spans="1:19" s="17" customFormat="1" ht="33" customHeight="1">
      <c r="A76" s="433" t="s">
        <v>0</v>
      </c>
      <c r="B76" s="324" t="s">
        <v>1</v>
      </c>
      <c r="C76" s="323" t="s">
        <v>2</v>
      </c>
      <c r="D76" s="323" t="s">
        <v>3</v>
      </c>
      <c r="E76" s="323" t="s">
        <v>4</v>
      </c>
      <c r="F76" s="323" t="s">
        <v>5</v>
      </c>
      <c r="G76" s="323" t="s">
        <v>6</v>
      </c>
      <c r="H76" s="325" t="s">
        <v>7</v>
      </c>
      <c r="I76" s="323" t="s">
        <v>8</v>
      </c>
      <c r="J76" s="323" t="s">
        <v>9</v>
      </c>
      <c r="K76" s="326" t="s">
        <v>10</v>
      </c>
      <c r="L76" s="327" t="s">
        <v>11</v>
      </c>
      <c r="M76" s="323" t="s">
        <v>12</v>
      </c>
      <c r="N76" s="328" t="s">
        <v>13</v>
      </c>
      <c r="O76" s="434" t="s">
        <v>63</v>
      </c>
    </row>
    <row r="77" spans="1:19" s="17" customFormat="1" ht="33" customHeight="1">
      <c r="A77" s="430" t="s">
        <v>4449</v>
      </c>
      <c r="B77" s="400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8" t="s">
        <v>4441</v>
      </c>
      <c r="P77" s="420" t="s">
        <v>4335</v>
      </c>
    </row>
    <row r="78" spans="1:19" s="17" customFormat="1" ht="33" customHeight="1">
      <c r="A78" s="431"/>
      <c r="B78" s="400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8" t="s">
        <v>4532</v>
      </c>
    </row>
    <row r="79" spans="1:19" s="17" customFormat="1" ht="33" customHeight="1">
      <c r="A79" s="431"/>
      <c r="B79" s="400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46" t="s">
        <v>4475</v>
      </c>
    </row>
    <row r="80" spans="1:19" s="17" customFormat="1" ht="33" customHeight="1">
      <c r="A80" s="431"/>
      <c r="B80" s="400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8" t="s">
        <v>4441</v>
      </c>
      <c r="P80" s="424"/>
    </row>
    <row r="81" spans="1:19" s="17" customFormat="1" ht="33" customHeight="1">
      <c r="A81" s="431"/>
      <c r="B81" s="400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8" t="s">
        <v>4530</v>
      </c>
      <c r="P81" s="424"/>
    </row>
    <row r="82" spans="1:19" s="17" customFormat="1" ht="33" customHeight="1">
      <c r="A82" s="431"/>
      <c r="B82" s="400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8" t="s">
        <v>4527</v>
      </c>
      <c r="P82" s="424"/>
    </row>
    <row r="83" spans="1:19" s="17" customFormat="1" ht="33" customHeight="1">
      <c r="A83" s="431"/>
      <c r="B83" s="400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9" t="s">
        <v>4471</v>
      </c>
      <c r="O83" s="447" t="s">
        <v>4537</v>
      </c>
      <c r="P83" s="791"/>
      <c r="Q83" s="792"/>
      <c r="R83" s="792"/>
      <c r="S83" s="792"/>
    </row>
    <row r="84" spans="1:19" s="17" customFormat="1" ht="33" customHeight="1">
      <c r="A84" s="431"/>
      <c r="B84" s="400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35" t="s">
        <v>4545</v>
      </c>
      <c r="P84" s="424"/>
    </row>
    <row r="85" spans="1:19" s="17" customFormat="1" ht="33" customHeight="1">
      <c r="A85" s="431"/>
      <c r="B85" s="400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36" t="s">
        <v>4538</v>
      </c>
      <c r="P85" s="791"/>
      <c r="Q85" s="792"/>
      <c r="R85" s="792"/>
      <c r="S85" s="792"/>
    </row>
    <row r="86" spans="1:19" s="17" customFormat="1" ht="33" customHeight="1">
      <c r="A86" s="431"/>
      <c r="B86" s="400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9" t="s">
        <v>4444</v>
      </c>
      <c r="O86" s="435" t="s">
        <v>4529</v>
      </c>
    </row>
    <row r="87" spans="1:19" s="17" customFormat="1" ht="33" customHeight="1">
      <c r="A87" s="431"/>
      <c r="B87" s="400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35" t="s">
        <v>4539</v>
      </c>
      <c r="P87" s="17" t="s">
        <v>4743</v>
      </c>
    </row>
    <row r="88" spans="1:19" s="17" customFormat="1" ht="33" customHeight="1">
      <c r="A88" s="431"/>
      <c r="B88" s="400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35" t="s">
        <v>4542</v>
      </c>
    </row>
    <row r="89" spans="1:19" s="17" customFormat="1" ht="33" customHeight="1">
      <c r="A89" s="431"/>
      <c r="B89" s="400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35" t="s">
        <v>4561</v>
      </c>
      <c r="P89" s="17" t="s">
        <v>4743</v>
      </c>
    </row>
    <row r="90" spans="1:19" s="17" customFormat="1" ht="33" customHeight="1">
      <c r="A90" s="431"/>
      <c r="B90" s="400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45"/>
    </row>
    <row r="91" spans="1:19" s="17" customFormat="1" ht="33" customHeight="1">
      <c r="A91" s="432"/>
      <c r="B91" s="400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9"/>
    </row>
    <row r="92" spans="1:19" s="17" customFormat="1" ht="33" customHeight="1">
      <c r="A92" s="433" t="s">
        <v>0</v>
      </c>
      <c r="B92" s="324" t="s">
        <v>1</v>
      </c>
      <c r="C92" s="323" t="s">
        <v>2</v>
      </c>
      <c r="D92" s="323" t="s">
        <v>3</v>
      </c>
      <c r="E92" s="323" t="s">
        <v>4</v>
      </c>
      <c r="F92" s="323" t="s">
        <v>5</v>
      </c>
      <c r="G92" s="323" t="s">
        <v>6</v>
      </c>
      <c r="H92" s="325" t="s">
        <v>7</v>
      </c>
      <c r="I92" s="323" t="s">
        <v>8</v>
      </c>
      <c r="J92" s="323" t="s">
        <v>9</v>
      </c>
      <c r="K92" s="326" t="s">
        <v>10</v>
      </c>
      <c r="L92" s="327" t="s">
        <v>11</v>
      </c>
      <c r="M92" s="323" t="s">
        <v>12</v>
      </c>
      <c r="N92" s="328" t="s">
        <v>13</v>
      </c>
      <c r="O92" s="434" t="s">
        <v>63</v>
      </c>
    </row>
    <row r="93" spans="1:19" s="17" customFormat="1" ht="33" customHeight="1">
      <c r="A93" s="430" t="s">
        <v>4450</v>
      </c>
      <c r="B93" s="400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7" t="s">
        <v>4324</v>
      </c>
      <c r="P93" s="791" t="s">
        <v>4390</v>
      </c>
      <c r="Q93" s="792"/>
      <c r="R93" s="792"/>
      <c r="S93" s="792"/>
    </row>
    <row r="94" spans="1:19" s="17" customFormat="1" ht="33" customHeight="1">
      <c r="A94" s="431"/>
      <c r="B94" s="400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8" t="s">
        <v>4564</v>
      </c>
    </row>
    <row r="95" spans="1:19" s="17" customFormat="1" ht="33" customHeight="1">
      <c r="A95" s="431"/>
      <c r="B95" s="400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7" t="s">
        <v>4563</v>
      </c>
    </row>
    <row r="96" spans="1:19" s="17" customFormat="1" ht="33" customHeight="1">
      <c r="A96" s="431"/>
      <c r="B96" s="400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9"/>
      <c r="O96" s="437" t="s">
        <v>4562</v>
      </c>
    </row>
    <row r="97" spans="1:16" s="17" customFormat="1" ht="33" customHeight="1">
      <c r="A97" s="431"/>
      <c r="B97" s="400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41" t="s">
        <v>4537</v>
      </c>
    </row>
    <row r="98" spans="1:16" s="17" customFormat="1" ht="33" customHeight="1">
      <c r="A98" s="431"/>
      <c r="B98" s="400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8" t="s">
        <v>4593</v>
      </c>
    </row>
    <row r="99" spans="1:16" s="17" customFormat="1" ht="33" customHeight="1">
      <c r="A99" s="431"/>
      <c r="B99" s="400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8" t="s">
        <v>4597</v>
      </c>
      <c r="P99" s="407" t="s">
        <v>4591</v>
      </c>
    </row>
    <row r="100" spans="1:16" s="17" customFormat="1" ht="33" customHeight="1">
      <c r="A100" s="431"/>
      <c r="B100" s="400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8" t="s">
        <v>4595</v>
      </c>
    </row>
    <row r="101" spans="1:16" s="17" customFormat="1" ht="33" customHeight="1">
      <c r="A101" s="431"/>
      <c r="B101" s="400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7" t="s">
        <v>4566</v>
      </c>
    </row>
    <row r="102" spans="1:16" s="17" customFormat="1" ht="33" customHeight="1">
      <c r="A102" s="431"/>
      <c r="B102" s="400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8" t="s">
        <v>4579</v>
      </c>
    </row>
    <row r="103" spans="1:16" s="17" customFormat="1" ht="33" customHeight="1">
      <c r="A103" s="431"/>
      <c r="B103" s="400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8" t="s">
        <v>4621</v>
      </c>
    </row>
    <row r="104" spans="1:16" s="17" customFormat="1" ht="33" customHeight="1">
      <c r="A104" s="431"/>
      <c r="B104" s="400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7" t="s">
        <v>4594</v>
      </c>
    </row>
    <row r="105" spans="1:16" s="17" customFormat="1" ht="33" customHeight="1">
      <c r="A105" s="431"/>
      <c r="B105" s="400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36" t="s">
        <v>4623</v>
      </c>
    </row>
    <row r="106" spans="1:16" s="17" customFormat="1" ht="33" customHeight="1">
      <c r="A106" s="431"/>
      <c r="B106" s="400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8"/>
    </row>
    <row r="107" spans="1:16" s="17" customFormat="1" ht="33" customHeight="1">
      <c r="A107" s="431"/>
      <c r="B107" s="400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7" t="s">
        <v>4633</v>
      </c>
    </row>
    <row r="108" spans="1:16" s="17" customFormat="1" ht="33" customHeight="1">
      <c r="A108" s="431"/>
      <c r="B108" s="400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35"/>
    </row>
    <row r="109" spans="1:16" s="17" customFormat="1" ht="33" customHeight="1">
      <c r="A109" s="431"/>
      <c r="B109" s="400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8" t="s">
        <v>4586</v>
      </c>
    </row>
    <row r="110" spans="1:16" s="17" customFormat="1" ht="33" customHeight="1">
      <c r="A110" s="432"/>
      <c r="B110" s="400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9"/>
    </row>
    <row r="111" spans="1:16" s="17" customFormat="1" ht="33" customHeight="1">
      <c r="A111" s="433" t="s">
        <v>0</v>
      </c>
      <c r="B111" s="324" t="s">
        <v>1</v>
      </c>
      <c r="C111" s="323" t="s">
        <v>2</v>
      </c>
      <c r="D111" s="323" t="s">
        <v>3</v>
      </c>
      <c r="E111" s="323" t="s">
        <v>4</v>
      </c>
      <c r="F111" s="323" t="s">
        <v>5</v>
      </c>
      <c r="G111" s="323" t="s">
        <v>6</v>
      </c>
      <c r="H111" s="325" t="s">
        <v>7</v>
      </c>
      <c r="I111" s="323" t="s">
        <v>8</v>
      </c>
      <c r="J111" s="323" t="s">
        <v>9</v>
      </c>
      <c r="K111" s="326" t="s">
        <v>10</v>
      </c>
      <c r="L111" s="327" t="s">
        <v>11</v>
      </c>
      <c r="M111" s="323" t="s">
        <v>12</v>
      </c>
      <c r="N111" s="328" t="s">
        <v>13</v>
      </c>
      <c r="O111" s="434" t="s">
        <v>63</v>
      </c>
    </row>
    <row r="112" spans="1:16" s="17" customFormat="1" ht="33" customHeight="1">
      <c r="A112" s="430" t="s">
        <v>3262</v>
      </c>
      <c r="B112" s="400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8" t="s">
        <v>4586</v>
      </c>
    </row>
    <row r="113" spans="1:16" s="17" customFormat="1" ht="33" customHeight="1">
      <c r="A113" s="431"/>
      <c r="B113" s="400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9"/>
    </row>
    <row r="114" spans="1:16" s="17" customFormat="1" ht="33" customHeight="1">
      <c r="A114" s="431"/>
      <c r="B114" s="400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35" t="s">
        <v>4629</v>
      </c>
    </row>
    <row r="115" spans="1:16" s="17" customFormat="1" ht="33" customHeight="1">
      <c r="A115" s="431"/>
      <c r="B115" s="400">
        <v>46063</v>
      </c>
      <c r="C115" s="59" t="s">
        <v>21</v>
      </c>
      <c r="D115" s="59" t="s">
        <v>4650</v>
      </c>
      <c r="E115" s="427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43" t="s">
        <v>4652</v>
      </c>
    </row>
    <row r="116" spans="1:16" s="17" customFormat="1" ht="33" customHeight="1">
      <c r="A116" s="431"/>
      <c r="B116" s="400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8" t="s">
        <v>4586</v>
      </c>
    </row>
    <row r="117" spans="1:16" s="17" customFormat="1" ht="33" customHeight="1">
      <c r="A117" s="431"/>
      <c r="B117" s="400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8" t="s">
        <v>4646</v>
      </c>
    </row>
    <row r="118" spans="1:16" s="17" customFormat="1" ht="33" customHeight="1">
      <c r="A118" s="431"/>
      <c r="B118" s="400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36" t="s">
        <v>4654</v>
      </c>
    </row>
    <row r="119" spans="1:16" s="17" customFormat="1" ht="33" customHeight="1">
      <c r="A119" s="431"/>
      <c r="B119" s="400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8" t="s">
        <v>4646</v>
      </c>
    </row>
    <row r="120" spans="1:16" s="17" customFormat="1" ht="33" customHeight="1">
      <c r="A120" s="431"/>
      <c r="B120" s="400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9"/>
    </row>
    <row r="121" spans="1:16" s="17" customFormat="1" ht="33" customHeight="1">
      <c r="A121" s="431"/>
      <c r="B121" s="400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8" t="s">
        <v>4586</v>
      </c>
    </row>
    <row r="122" spans="1:16" s="17" customFormat="1" ht="33" customHeight="1">
      <c r="A122" s="431"/>
      <c r="B122" s="400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26" t="s">
        <v>4639</v>
      </c>
      <c r="M122" s="8">
        <v>2</v>
      </c>
      <c r="N122" s="31"/>
      <c r="O122" s="435" t="s">
        <v>4642</v>
      </c>
      <c r="P122" s="407" t="s">
        <v>4663</v>
      </c>
    </row>
    <row r="123" spans="1:16" s="17" customFormat="1" ht="33" customHeight="1">
      <c r="A123" s="431"/>
      <c r="B123" s="400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9"/>
    </row>
    <row r="124" spans="1:16" s="17" customFormat="1" ht="33" customHeight="1">
      <c r="A124" s="432"/>
      <c r="B124" s="400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8"/>
    </row>
    <row r="125" spans="1:16" s="17" customFormat="1" ht="33" customHeight="1">
      <c r="A125" s="433" t="s">
        <v>0</v>
      </c>
      <c r="B125" s="324" t="s">
        <v>1</v>
      </c>
      <c r="C125" s="323" t="s">
        <v>2</v>
      </c>
      <c r="D125" s="323" t="s">
        <v>3</v>
      </c>
      <c r="E125" s="323" t="s">
        <v>4</v>
      </c>
      <c r="F125" s="323" t="s">
        <v>5</v>
      </c>
      <c r="G125" s="323" t="s">
        <v>6</v>
      </c>
      <c r="H125" s="325" t="s">
        <v>7</v>
      </c>
      <c r="I125" s="323" t="s">
        <v>8</v>
      </c>
      <c r="J125" s="323" t="s">
        <v>9</v>
      </c>
      <c r="K125" s="326" t="s">
        <v>10</v>
      </c>
      <c r="L125" s="327" t="s">
        <v>11</v>
      </c>
      <c r="M125" s="323" t="s">
        <v>12</v>
      </c>
      <c r="N125" s="328" t="s">
        <v>13</v>
      </c>
      <c r="O125" s="434" t="s">
        <v>63</v>
      </c>
    </row>
    <row r="126" spans="1:16" s="17" customFormat="1" ht="33" customHeight="1">
      <c r="A126" s="430" t="s">
        <v>3263</v>
      </c>
      <c r="B126" s="400">
        <v>46069</v>
      </c>
      <c r="C126" s="4"/>
      <c r="D126" s="4"/>
      <c r="E126" s="291"/>
      <c r="F126" s="31"/>
      <c r="G126" s="16"/>
      <c r="H126" s="408" t="s">
        <v>4580</v>
      </c>
      <c r="I126" s="31"/>
      <c r="J126" s="31"/>
      <c r="K126" s="125"/>
      <c r="L126" s="16"/>
      <c r="M126" s="8"/>
      <c r="N126" s="31"/>
      <c r="O126" s="438"/>
    </row>
    <row r="127" spans="1:16" s="17" customFormat="1" ht="33" customHeight="1">
      <c r="A127" s="431"/>
      <c r="B127" s="400">
        <v>46069</v>
      </c>
      <c r="C127" s="4"/>
      <c r="D127" s="4"/>
      <c r="E127" s="291"/>
      <c r="F127" s="31"/>
      <c r="G127" s="16"/>
      <c r="H127" s="408"/>
      <c r="I127" s="31"/>
      <c r="J127" s="31"/>
      <c r="K127" s="125"/>
      <c r="L127" s="16"/>
      <c r="M127" s="8"/>
      <c r="N127" s="31"/>
      <c r="O127" s="438"/>
    </row>
    <row r="128" spans="1:16" s="17" customFormat="1" ht="33" customHeight="1">
      <c r="A128" s="431"/>
      <c r="B128" s="400">
        <v>46070</v>
      </c>
      <c r="C128" s="4"/>
      <c r="D128" s="4"/>
      <c r="E128" s="31"/>
      <c r="F128" s="31"/>
      <c r="G128" s="16"/>
      <c r="H128" s="408" t="s">
        <v>4581</v>
      </c>
      <c r="I128" s="31"/>
      <c r="J128" s="193"/>
      <c r="K128" s="125"/>
      <c r="L128" s="16"/>
      <c r="M128" s="8"/>
      <c r="N128" s="429"/>
      <c r="O128" s="437"/>
    </row>
    <row r="129" spans="1:16" s="17" customFormat="1" ht="33" customHeight="1">
      <c r="A129" s="431"/>
      <c r="B129" s="400">
        <v>46070</v>
      </c>
      <c r="C129" s="4"/>
      <c r="D129" s="4"/>
      <c r="E129" s="31"/>
      <c r="F129" s="31"/>
      <c r="G129" s="16"/>
      <c r="H129" s="408"/>
      <c r="I129" s="31"/>
      <c r="J129" s="193"/>
      <c r="K129" s="125"/>
      <c r="L129" s="16"/>
      <c r="M129" s="8"/>
      <c r="N129" s="429"/>
      <c r="O129" s="437"/>
    </row>
    <row r="130" spans="1:16" s="17" customFormat="1" ht="33" customHeight="1">
      <c r="A130" s="431"/>
      <c r="B130" s="400">
        <v>46071</v>
      </c>
      <c r="C130" s="4"/>
      <c r="D130" s="4"/>
      <c r="E130" s="31"/>
      <c r="F130" s="31"/>
      <c r="G130" s="16"/>
      <c r="H130" s="408" t="s">
        <v>4582</v>
      </c>
      <c r="I130" s="31"/>
      <c r="J130" s="193"/>
      <c r="K130" s="125"/>
      <c r="L130" s="16"/>
      <c r="M130" s="8"/>
      <c r="N130" s="429"/>
      <c r="O130" s="437"/>
    </row>
    <row r="131" spans="1:16" s="17" customFormat="1" ht="33" customHeight="1">
      <c r="A131" s="431"/>
      <c r="B131" s="400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9"/>
    </row>
    <row r="132" spans="1:16" s="17" customFormat="1" ht="33" customHeight="1">
      <c r="A132" s="431"/>
      <c r="B132" s="400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9"/>
    </row>
    <row r="133" spans="1:16" s="17" customFormat="1" ht="33" customHeight="1">
      <c r="A133" s="431"/>
      <c r="B133" s="400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9" t="s">
        <v>4687</v>
      </c>
      <c r="O133" s="439"/>
    </row>
    <row r="134" spans="1:16" s="17" customFormat="1" ht="33" customHeight="1">
      <c r="A134" s="431"/>
      <c r="B134" s="400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9" t="s">
        <v>4698</v>
      </c>
      <c r="O134" s="437" t="s">
        <v>4710</v>
      </c>
    </row>
    <row r="135" spans="1:16" s="17" customFormat="1" ht="33" customHeight="1">
      <c r="A135" s="431"/>
      <c r="B135" s="400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7" t="s">
        <v>4666</v>
      </c>
    </row>
    <row r="136" spans="1:16" s="17" customFormat="1" ht="33" customHeight="1">
      <c r="A136" s="431"/>
      <c r="B136" s="400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9"/>
      <c r="O136" s="437" t="s">
        <v>4673</v>
      </c>
    </row>
    <row r="137" spans="1:16" s="17" customFormat="1" ht="33" customHeight="1">
      <c r="A137" s="431"/>
      <c r="B137" s="400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9"/>
      <c r="O137" s="437" t="s">
        <v>4711</v>
      </c>
    </row>
    <row r="138" spans="1:16" s="17" customFormat="1" ht="33" customHeight="1">
      <c r="A138" s="432"/>
      <c r="B138" s="400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35" t="s">
        <v>4683</v>
      </c>
    </row>
    <row r="139" spans="1:16" s="17" customFormat="1" ht="33" customHeight="1">
      <c r="A139" s="433" t="s">
        <v>0</v>
      </c>
      <c r="B139" s="324" t="s">
        <v>1</v>
      </c>
      <c r="C139" s="323" t="s">
        <v>2</v>
      </c>
      <c r="D139" s="323" t="s">
        <v>3</v>
      </c>
      <c r="E139" s="323" t="s">
        <v>4</v>
      </c>
      <c r="F139" s="323" t="s">
        <v>5</v>
      </c>
      <c r="G139" s="323" t="s">
        <v>6</v>
      </c>
      <c r="H139" s="325" t="s">
        <v>7</v>
      </c>
      <c r="I139" s="323" t="s">
        <v>8</v>
      </c>
      <c r="J139" s="323" t="s">
        <v>9</v>
      </c>
      <c r="K139" s="326" t="s">
        <v>10</v>
      </c>
      <c r="L139" s="327" t="s">
        <v>11</v>
      </c>
      <c r="M139" s="323" t="s">
        <v>12</v>
      </c>
      <c r="N139" s="328" t="s">
        <v>13</v>
      </c>
      <c r="O139" s="434" t="s">
        <v>63</v>
      </c>
    </row>
    <row r="140" spans="1:16" s="17" customFormat="1" ht="33" customHeight="1">
      <c r="A140" s="430" t="s">
        <v>4451</v>
      </c>
      <c r="B140" s="400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8" t="s">
        <v>3266</v>
      </c>
      <c r="P140" s="407"/>
    </row>
    <row r="141" spans="1:16" s="17" customFormat="1" ht="33" customHeight="1">
      <c r="A141" s="431"/>
      <c r="B141" s="400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9"/>
      <c r="O141" s="437" t="s">
        <v>4685</v>
      </c>
      <c r="P141" s="407"/>
    </row>
    <row r="142" spans="1:16" s="17" customFormat="1" ht="33" customHeight="1">
      <c r="A142" s="431"/>
      <c r="B142" s="400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8" t="s">
        <v>3266</v>
      </c>
    </row>
    <row r="143" spans="1:16" s="17" customFormat="1" ht="33" customHeight="1">
      <c r="A143" s="431"/>
      <c r="B143" s="400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9"/>
      <c r="O143" s="444" t="s">
        <v>4703</v>
      </c>
    </row>
    <row r="144" spans="1:16" s="17" customFormat="1" ht="33" customHeight="1">
      <c r="A144" s="431"/>
      <c r="B144" s="400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13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36" t="s">
        <v>4728</v>
      </c>
    </row>
    <row r="145" spans="1:19" s="17" customFormat="1" ht="33" customHeight="1">
      <c r="A145" s="431"/>
      <c r="B145" s="400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8" t="s">
        <v>3266</v>
      </c>
    </row>
    <row r="146" spans="1:19" s="17" customFormat="1" ht="33" customHeight="1">
      <c r="A146" s="431"/>
      <c r="B146" s="400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35" t="s">
        <v>4712</v>
      </c>
    </row>
    <row r="147" spans="1:19" s="17" customFormat="1" ht="33" customHeight="1">
      <c r="A147" s="431"/>
      <c r="B147" s="400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35" t="s">
        <v>4721</v>
      </c>
    </row>
    <row r="148" spans="1:19" s="17" customFormat="1" ht="33" customHeight="1">
      <c r="A148" s="431"/>
      <c r="B148" s="400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9"/>
    </row>
    <row r="149" spans="1:19" s="17" customFormat="1" ht="33" customHeight="1">
      <c r="A149" s="431"/>
      <c r="B149" s="400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9"/>
    </row>
    <row r="150" spans="1:19" s="17" customFormat="1" ht="33" customHeight="1">
      <c r="A150" s="431"/>
      <c r="B150" s="400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43" t="s">
        <v>4701</v>
      </c>
    </row>
    <row r="151" spans="1:19" s="17" customFormat="1" ht="33" customHeight="1">
      <c r="A151" s="431"/>
      <c r="B151" s="400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9"/>
      <c r="O151" s="437" t="s">
        <v>4747</v>
      </c>
    </row>
    <row r="152" spans="1:19" s="17" customFormat="1" ht="33" customHeight="1">
      <c r="A152" s="431"/>
      <c r="B152" s="400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35" t="s">
        <v>4701</v>
      </c>
    </row>
    <row r="153" spans="1:19" s="17" customFormat="1" ht="33" customHeight="1">
      <c r="A153" s="432"/>
      <c r="B153" s="370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9"/>
      <c r="P153" s="17" t="s">
        <v>4770</v>
      </c>
    </row>
    <row r="154" spans="1:19" s="17" customFormat="1" ht="33" customHeight="1">
      <c r="A154" s="433" t="s">
        <v>0</v>
      </c>
      <c r="B154" s="324" t="s">
        <v>1</v>
      </c>
      <c r="C154" s="323" t="s">
        <v>2</v>
      </c>
      <c r="D154" s="323" t="s">
        <v>3</v>
      </c>
      <c r="E154" s="323" t="s">
        <v>4</v>
      </c>
      <c r="F154" s="323" t="s">
        <v>5</v>
      </c>
      <c r="G154" s="323" t="s">
        <v>6</v>
      </c>
      <c r="H154" s="325" t="s">
        <v>7</v>
      </c>
      <c r="I154" s="323" t="s">
        <v>8</v>
      </c>
      <c r="J154" s="323" t="s">
        <v>9</v>
      </c>
      <c r="K154" s="326" t="s">
        <v>10</v>
      </c>
      <c r="L154" s="327" t="s">
        <v>11</v>
      </c>
      <c r="M154" s="323" t="s">
        <v>12</v>
      </c>
      <c r="N154" s="328" t="s">
        <v>13</v>
      </c>
      <c r="O154" s="434" t="s">
        <v>63</v>
      </c>
    </row>
    <row r="155" spans="1:19" s="17" customFormat="1" ht="33" customHeight="1">
      <c r="A155" s="430" t="s">
        <v>2712</v>
      </c>
      <c r="B155" s="400">
        <v>46083</v>
      </c>
      <c r="C155" s="4"/>
      <c r="D155" s="4"/>
      <c r="E155" s="291"/>
      <c r="F155" s="31"/>
      <c r="G155" s="16"/>
      <c r="H155" s="428" t="s">
        <v>4662</v>
      </c>
      <c r="I155" s="31"/>
      <c r="J155" s="31"/>
      <c r="K155" s="125"/>
      <c r="L155" s="16"/>
      <c r="M155" s="8"/>
      <c r="N155" s="31"/>
      <c r="O155" s="438"/>
      <c r="P155" s="454"/>
      <c r="Q155" s="455"/>
      <c r="R155" s="455"/>
      <c r="S155" s="455"/>
    </row>
    <row r="156" spans="1:19" s="17" customFormat="1" ht="33" customHeight="1">
      <c r="A156" s="431"/>
      <c r="B156" s="400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8"/>
      <c r="P156" s="454"/>
      <c r="Q156" s="455"/>
      <c r="R156" s="455"/>
      <c r="S156" s="455"/>
    </row>
    <row r="157" spans="1:19" s="17" customFormat="1" ht="33" customHeight="1">
      <c r="A157" s="431"/>
      <c r="B157" s="400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9" t="s">
        <v>4724</v>
      </c>
      <c r="O157" s="436" t="s">
        <v>4759</v>
      </c>
      <c r="P157" s="454"/>
    </row>
    <row r="158" spans="1:19" s="17" customFormat="1" ht="33" customHeight="1">
      <c r="A158" s="431"/>
      <c r="B158" s="400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36" t="s">
        <v>4769</v>
      </c>
    </row>
    <row r="159" spans="1:19" s="17" customFormat="1" ht="33" customHeight="1">
      <c r="A159" s="431"/>
      <c r="B159" s="400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53" t="s">
        <v>4760</v>
      </c>
    </row>
    <row r="160" spans="1:19" s="17" customFormat="1" ht="33" customHeight="1">
      <c r="A160" s="431"/>
      <c r="B160" s="400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35" t="s">
        <v>4779</v>
      </c>
    </row>
    <row r="161" spans="1:19" s="17" customFormat="1" ht="33" customHeight="1">
      <c r="A161" s="431"/>
      <c r="B161" s="400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9" t="s">
        <v>4780</v>
      </c>
    </row>
    <row r="162" spans="1:19" s="17" customFormat="1" ht="33" customHeight="1">
      <c r="A162" s="431"/>
      <c r="B162" s="400">
        <v>46085</v>
      </c>
      <c r="C162" s="4" t="s">
        <v>21</v>
      </c>
      <c r="D162" s="4" t="s">
        <v>14</v>
      </c>
      <c r="E162" s="31" t="s">
        <v>1787</v>
      </c>
      <c r="F162" s="456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35" t="s">
        <v>4790</v>
      </c>
    </row>
    <row r="163" spans="1:19" s="17" customFormat="1" ht="33" customHeight="1">
      <c r="A163" s="431"/>
      <c r="B163" s="400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8" t="s">
        <v>4758</v>
      </c>
    </row>
    <row r="164" spans="1:19" s="17" customFormat="1" ht="33" customHeight="1">
      <c r="A164" s="431"/>
      <c r="B164" s="400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35" t="s">
        <v>4789</v>
      </c>
    </row>
    <row r="165" spans="1:19" s="17" customFormat="1" ht="33" customHeight="1">
      <c r="A165" s="431"/>
      <c r="B165" s="400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36" t="s">
        <v>4777</v>
      </c>
    </row>
    <row r="166" spans="1:19" s="17" customFormat="1" ht="33" customHeight="1">
      <c r="A166" s="431"/>
      <c r="B166" s="400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8" t="s">
        <v>4796</v>
      </c>
    </row>
    <row r="167" spans="1:19" s="17" customFormat="1" ht="33" customHeight="1">
      <c r="A167" s="431"/>
      <c r="B167" s="400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44" t="s">
        <v>4801</v>
      </c>
    </row>
    <row r="168" spans="1:19" s="17" customFormat="1" ht="33" customHeight="1">
      <c r="A168" s="432"/>
      <c r="B168" s="370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9"/>
      <c r="P168" s="454"/>
      <c r="Q168" s="455"/>
      <c r="R168" s="455"/>
      <c r="S168" s="455"/>
    </row>
    <row r="169" spans="1:19" s="17" customFormat="1" ht="33" customHeight="1">
      <c r="A169" s="433" t="s">
        <v>0</v>
      </c>
      <c r="B169" s="324" t="s">
        <v>1</v>
      </c>
      <c r="C169" s="323" t="s">
        <v>2</v>
      </c>
      <c r="D169" s="323" t="s">
        <v>3</v>
      </c>
      <c r="E169" s="323" t="s">
        <v>4</v>
      </c>
      <c r="F169" s="323" t="s">
        <v>5</v>
      </c>
      <c r="G169" s="323" t="s">
        <v>6</v>
      </c>
      <c r="H169" s="325" t="s">
        <v>7</v>
      </c>
      <c r="I169" s="323" t="s">
        <v>8</v>
      </c>
      <c r="J169" s="323" t="s">
        <v>9</v>
      </c>
      <c r="K169" s="326" t="s">
        <v>10</v>
      </c>
      <c r="L169" s="327" t="s">
        <v>11</v>
      </c>
      <c r="M169" s="323" t="s">
        <v>12</v>
      </c>
      <c r="N169" s="460" t="s">
        <v>13</v>
      </c>
      <c r="O169" s="434" t="s">
        <v>63</v>
      </c>
      <c r="P169" s="789"/>
      <c r="Q169" s="790"/>
      <c r="R169" s="790"/>
      <c r="S169" s="790"/>
    </row>
    <row r="170" spans="1:19" s="17" customFormat="1" ht="33" customHeight="1">
      <c r="A170" s="430" t="s">
        <v>4452</v>
      </c>
      <c r="B170" s="400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9" t="s">
        <v>4665</v>
      </c>
      <c r="O170" s="438" t="s">
        <v>4799</v>
      </c>
    </row>
    <row r="171" spans="1:19" s="17" customFormat="1" ht="33" customHeight="1">
      <c r="A171" s="431"/>
      <c r="B171" s="400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9"/>
      <c r="O171" s="437"/>
    </row>
    <row r="172" spans="1:19" s="17" customFormat="1" ht="33" customHeight="1">
      <c r="A172" s="431"/>
      <c r="B172" s="400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8" t="s">
        <v>4788</v>
      </c>
    </row>
    <row r="173" spans="1:19" s="17" customFormat="1" ht="33" customHeight="1">
      <c r="A173" s="431"/>
      <c r="B173" s="400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9" t="s">
        <v>4787</v>
      </c>
    </row>
    <row r="174" spans="1:19" s="17" customFormat="1" ht="33" customHeight="1">
      <c r="A174" s="431"/>
      <c r="B174" s="400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62" t="s">
        <v>202</v>
      </c>
      <c r="J174" s="193" t="s">
        <v>487</v>
      </c>
      <c r="K174" s="125" t="s">
        <v>15</v>
      </c>
      <c r="L174" s="16">
        <v>9080</v>
      </c>
      <c r="M174" s="463">
        <v>3</v>
      </c>
      <c r="N174" s="464"/>
      <c r="O174" s="465" t="s">
        <v>4799</v>
      </c>
    </row>
    <row r="175" spans="1:19" s="17" customFormat="1" ht="33" customHeight="1">
      <c r="A175" s="431"/>
      <c r="B175" s="400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9"/>
      <c r="O175" s="436" t="s">
        <v>4802</v>
      </c>
    </row>
    <row r="176" spans="1:19" s="17" customFormat="1" ht="33" customHeight="1">
      <c r="A176" s="431"/>
      <c r="B176" s="400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61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9" t="s">
        <v>4773</v>
      </c>
      <c r="O176" s="457" t="s">
        <v>4804</v>
      </c>
    </row>
    <row r="177" spans="1:19" s="17" customFormat="1" ht="33" customHeight="1">
      <c r="A177" s="431"/>
      <c r="B177" s="400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9"/>
      <c r="P177" s="407"/>
    </row>
    <row r="178" spans="1:19" s="17" customFormat="1" ht="33" customHeight="1">
      <c r="A178" s="431"/>
      <c r="B178" s="400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52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36" t="s">
        <v>4805</v>
      </c>
    </row>
    <row r="179" spans="1:19" s="17" customFormat="1" ht="33" customHeight="1">
      <c r="A179" s="431"/>
      <c r="B179" s="400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35"/>
    </row>
    <row r="180" spans="1:19" s="17" customFormat="1" ht="33" customHeight="1">
      <c r="A180" s="431"/>
      <c r="B180" s="400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9"/>
    </row>
    <row r="181" spans="1:19" s="17" customFormat="1" ht="33" customHeight="1">
      <c r="A181" s="432"/>
      <c r="B181" s="370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8" t="s">
        <v>4847</v>
      </c>
    </row>
    <row r="182" spans="1:19" s="17" customFormat="1" ht="33" customHeight="1">
      <c r="A182" s="433" t="s">
        <v>0</v>
      </c>
      <c r="B182" s="324" t="s">
        <v>1</v>
      </c>
      <c r="C182" s="323" t="s">
        <v>2</v>
      </c>
      <c r="D182" s="323" t="s">
        <v>3</v>
      </c>
      <c r="E182" s="323" t="s">
        <v>4</v>
      </c>
      <c r="F182" s="323" t="s">
        <v>5</v>
      </c>
      <c r="G182" s="323" t="s">
        <v>6</v>
      </c>
      <c r="H182" s="325" t="s">
        <v>7</v>
      </c>
      <c r="I182" s="323" t="s">
        <v>8</v>
      </c>
      <c r="J182" s="323" t="s">
        <v>9</v>
      </c>
      <c r="K182" s="326" t="s">
        <v>10</v>
      </c>
      <c r="L182" s="327" t="s">
        <v>11</v>
      </c>
      <c r="M182" s="323" t="s">
        <v>12</v>
      </c>
      <c r="N182" s="328" t="s">
        <v>13</v>
      </c>
      <c r="O182" s="434" t="s">
        <v>63</v>
      </c>
      <c r="P182" s="787" t="s">
        <v>4688</v>
      </c>
      <c r="Q182" s="788"/>
      <c r="R182" s="788"/>
      <c r="S182" s="788"/>
    </row>
    <row r="183" spans="1:19" s="17" customFormat="1" ht="33" customHeight="1">
      <c r="A183" s="430" t="s">
        <v>4493</v>
      </c>
      <c r="B183" s="400">
        <v>46097</v>
      </c>
      <c r="C183" s="3" t="s">
        <v>21</v>
      </c>
      <c r="D183" s="3" t="s">
        <v>4820</v>
      </c>
      <c r="E183" s="466" t="s">
        <v>4836</v>
      </c>
      <c r="F183" s="462">
        <v>3306</v>
      </c>
      <c r="G183" s="467" t="s">
        <v>4837</v>
      </c>
      <c r="H183" s="466" t="s">
        <v>4845</v>
      </c>
      <c r="I183" s="462" t="s">
        <v>4849</v>
      </c>
      <c r="J183" s="461" t="s">
        <v>4848</v>
      </c>
      <c r="K183" s="136" t="s">
        <v>15</v>
      </c>
      <c r="L183" s="467"/>
      <c r="M183" s="8">
        <v>5</v>
      </c>
      <c r="N183" s="314" t="s">
        <v>4881</v>
      </c>
      <c r="O183" s="438"/>
      <c r="P183" s="468"/>
    </row>
    <row r="184" spans="1:19" s="17" customFormat="1" ht="33" customHeight="1">
      <c r="A184" s="431"/>
      <c r="B184" s="400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67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8"/>
      <c r="P184" s="468"/>
    </row>
    <row r="185" spans="1:19" s="17" customFormat="1" ht="33" customHeight="1">
      <c r="A185" s="431"/>
      <c r="B185" s="370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9"/>
      <c r="O185" s="437"/>
      <c r="P185" s="404" t="s">
        <v>4727</v>
      </c>
    </row>
    <row r="186" spans="1:19" s="17" customFormat="1" ht="33" customHeight="1">
      <c r="A186" s="431"/>
      <c r="B186" s="400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7"/>
      <c r="P186" s="404"/>
    </row>
    <row r="187" spans="1:19" s="17" customFormat="1" ht="33" customHeight="1">
      <c r="A187" s="431"/>
      <c r="B187" s="400">
        <v>46098</v>
      </c>
      <c r="C187" s="3" t="s">
        <v>4806</v>
      </c>
      <c r="D187" s="3" t="s">
        <v>4807</v>
      </c>
      <c r="E187" s="462" t="s">
        <v>4808</v>
      </c>
      <c r="F187" s="462" t="s">
        <v>4809</v>
      </c>
      <c r="G187" s="467" t="s">
        <v>4810</v>
      </c>
      <c r="H187" s="466" t="s">
        <v>4850</v>
      </c>
      <c r="I187" s="462" t="s">
        <v>4812</v>
      </c>
      <c r="J187" s="461" t="s">
        <v>4851</v>
      </c>
      <c r="K187" s="136" t="s">
        <v>15</v>
      </c>
      <c r="L187" s="467" t="s">
        <v>4813</v>
      </c>
      <c r="M187" s="8">
        <v>2</v>
      </c>
      <c r="N187" s="429"/>
      <c r="O187" s="437" t="s">
        <v>4811</v>
      </c>
    </row>
    <row r="188" spans="1:19" s="17" customFormat="1" ht="33" customHeight="1">
      <c r="A188" s="431"/>
      <c r="B188" s="400">
        <v>46098</v>
      </c>
      <c r="C188" s="3" t="s">
        <v>21</v>
      </c>
      <c r="D188" s="3" t="s">
        <v>17</v>
      </c>
      <c r="E188" s="466" t="s">
        <v>4836</v>
      </c>
      <c r="F188" s="462">
        <v>3306</v>
      </c>
      <c r="G188" s="467" t="s">
        <v>4837</v>
      </c>
      <c r="H188" s="466" t="s">
        <v>4845</v>
      </c>
      <c r="I188" s="462" t="s">
        <v>4849</v>
      </c>
      <c r="J188" s="461" t="s">
        <v>4848</v>
      </c>
      <c r="K188" s="136" t="s">
        <v>15</v>
      </c>
      <c r="L188" s="467"/>
      <c r="M188" s="8">
        <v>5</v>
      </c>
      <c r="N188" s="31"/>
      <c r="O188" s="437"/>
    </row>
    <row r="189" spans="1:19" s="17" customFormat="1" ht="33" customHeight="1">
      <c r="A189" s="431"/>
      <c r="B189" s="400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9"/>
    </row>
    <row r="190" spans="1:19" s="17" customFormat="1" ht="33" customHeight="1">
      <c r="A190" s="431"/>
      <c r="B190" s="400">
        <v>46099</v>
      </c>
      <c r="C190" s="3" t="s">
        <v>21</v>
      </c>
      <c r="D190" s="3" t="s">
        <v>17</v>
      </c>
      <c r="E190" s="466" t="s">
        <v>4836</v>
      </c>
      <c r="F190" s="462">
        <v>3306</v>
      </c>
      <c r="G190" s="467" t="s">
        <v>4837</v>
      </c>
      <c r="H190" s="466" t="s">
        <v>4845</v>
      </c>
      <c r="I190" s="462" t="s">
        <v>4849</v>
      </c>
      <c r="J190" s="461" t="s">
        <v>4848</v>
      </c>
      <c r="K190" s="136" t="s">
        <v>15</v>
      </c>
      <c r="L190" s="467"/>
      <c r="M190" s="8">
        <v>5</v>
      </c>
      <c r="N190" s="31"/>
      <c r="O190" s="439"/>
    </row>
    <row r="191" spans="1:19" s="17" customFormat="1" ht="33" customHeight="1">
      <c r="A191" s="431"/>
      <c r="B191" s="400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36"/>
    </row>
    <row r="192" spans="1:19" s="17" customFormat="1" ht="33" customHeight="1">
      <c r="A192" s="431"/>
      <c r="B192" s="400">
        <v>46100</v>
      </c>
      <c r="C192" s="3" t="s">
        <v>21</v>
      </c>
      <c r="D192" s="3" t="s">
        <v>17</v>
      </c>
      <c r="E192" s="466" t="s">
        <v>4836</v>
      </c>
      <c r="F192" s="462">
        <v>3306</v>
      </c>
      <c r="G192" s="467" t="s">
        <v>4837</v>
      </c>
      <c r="H192" s="466" t="s">
        <v>4845</v>
      </c>
      <c r="I192" s="462" t="s">
        <v>4849</v>
      </c>
      <c r="J192" s="461" t="s">
        <v>4848</v>
      </c>
      <c r="K192" s="136" t="s">
        <v>15</v>
      </c>
      <c r="L192" s="16"/>
      <c r="M192" s="8"/>
      <c r="N192" s="31"/>
      <c r="O192" s="436"/>
    </row>
    <row r="193" spans="1:17" s="17" customFormat="1" ht="33" customHeight="1">
      <c r="A193" s="431"/>
      <c r="B193" s="400">
        <v>46100</v>
      </c>
      <c r="C193" s="3" t="s">
        <v>4906</v>
      </c>
      <c r="D193" s="3"/>
      <c r="E193" s="462"/>
      <c r="F193" s="462"/>
      <c r="G193" s="467"/>
      <c r="H193" s="461" t="s">
        <v>4908</v>
      </c>
      <c r="I193" s="462"/>
      <c r="J193" s="461" t="s">
        <v>4909</v>
      </c>
      <c r="K193" s="136"/>
      <c r="L193" s="16"/>
      <c r="M193" s="8"/>
      <c r="N193" s="31"/>
      <c r="O193" s="436"/>
    </row>
    <row r="194" spans="1:17" s="17" customFormat="1" ht="33" customHeight="1">
      <c r="A194" s="431"/>
      <c r="B194" s="400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35"/>
    </row>
    <row r="195" spans="1:17" s="17" customFormat="1" ht="33" customHeight="1">
      <c r="A195" s="431"/>
      <c r="B195" s="400">
        <v>46101</v>
      </c>
      <c r="C195" s="3" t="s">
        <v>4906</v>
      </c>
      <c r="D195" s="3"/>
      <c r="E195" s="462"/>
      <c r="F195" s="462"/>
      <c r="G195" s="467"/>
      <c r="H195" s="461" t="s">
        <v>4908</v>
      </c>
      <c r="I195" s="462"/>
      <c r="J195" s="461" t="s">
        <v>4909</v>
      </c>
      <c r="K195" s="136"/>
      <c r="L195" s="16"/>
      <c r="M195" s="8"/>
      <c r="N195" s="31"/>
      <c r="O195" s="435"/>
    </row>
    <row r="196" spans="1:17" s="17" customFormat="1" ht="33" customHeight="1">
      <c r="A196" s="432"/>
      <c r="B196" s="400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9"/>
      <c r="P196" s="425" t="s">
        <v>4791</v>
      </c>
    </row>
    <row r="197" spans="1:17" s="17" customFormat="1" ht="33" customHeight="1">
      <c r="A197" s="433" t="s">
        <v>0</v>
      </c>
      <c r="B197" s="324" t="s">
        <v>1</v>
      </c>
      <c r="C197" s="323" t="s">
        <v>2</v>
      </c>
      <c r="D197" s="323" t="s">
        <v>3</v>
      </c>
      <c r="E197" s="323" t="s">
        <v>4</v>
      </c>
      <c r="F197" s="323" t="s">
        <v>5</v>
      </c>
      <c r="G197" s="323" t="s">
        <v>6</v>
      </c>
      <c r="H197" s="325" t="s">
        <v>7</v>
      </c>
      <c r="I197" s="323" t="s">
        <v>8</v>
      </c>
      <c r="J197" s="323" t="s">
        <v>9</v>
      </c>
      <c r="K197" s="326" t="s">
        <v>10</v>
      </c>
      <c r="L197" s="327" t="s">
        <v>11</v>
      </c>
      <c r="M197" s="323" t="s">
        <v>12</v>
      </c>
      <c r="N197" s="328" t="s">
        <v>13</v>
      </c>
      <c r="O197" s="434" t="s">
        <v>63</v>
      </c>
    </row>
    <row r="198" spans="1:17" s="17" customFormat="1" ht="33" customHeight="1">
      <c r="A198" s="430" t="s">
        <v>4494</v>
      </c>
      <c r="B198" s="370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8"/>
    </row>
    <row r="199" spans="1:17" s="17" customFormat="1" ht="33" customHeight="1">
      <c r="A199" s="431"/>
      <c r="B199" s="370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8"/>
    </row>
    <row r="200" spans="1:17" s="17" customFormat="1" ht="33" customHeight="1">
      <c r="A200" s="431"/>
      <c r="B200" s="400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8"/>
    </row>
    <row r="201" spans="1:17" s="17" customFormat="1" ht="33" customHeight="1">
      <c r="A201" s="431"/>
      <c r="B201" s="400">
        <v>46105</v>
      </c>
      <c r="C201" s="3" t="s">
        <v>4888</v>
      </c>
      <c r="D201" s="3" t="s">
        <v>4889</v>
      </c>
      <c r="E201" s="462" t="s">
        <v>4894</v>
      </c>
      <c r="F201" s="462" t="s">
        <v>4895</v>
      </c>
      <c r="G201" s="467" t="s">
        <v>4896</v>
      </c>
      <c r="H201" s="461" t="s">
        <v>4931</v>
      </c>
      <c r="I201" s="462" t="s">
        <v>4930</v>
      </c>
      <c r="J201" s="462" t="s">
        <v>4898</v>
      </c>
      <c r="K201" s="136" t="s">
        <v>4897</v>
      </c>
      <c r="L201" s="467">
        <v>9080</v>
      </c>
      <c r="M201" s="463">
        <v>2</v>
      </c>
      <c r="N201" s="464"/>
      <c r="O201" s="469"/>
    </row>
    <row r="202" spans="1:17" s="17" customFormat="1" ht="33" customHeight="1">
      <c r="A202" s="431"/>
      <c r="B202" s="400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9"/>
      <c r="O202" s="437"/>
    </row>
    <row r="203" spans="1:17" s="17" customFormat="1" ht="33" customHeight="1">
      <c r="A203" s="431"/>
      <c r="B203" s="400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82"/>
      <c r="P203" s="468"/>
      <c r="Q203" s="483"/>
    </row>
    <row r="204" spans="1:17" s="17" customFormat="1" ht="33" customHeight="1">
      <c r="A204" s="431"/>
      <c r="B204" s="400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9"/>
    </row>
    <row r="205" spans="1:17" s="17" customFormat="1" ht="33" customHeight="1">
      <c r="A205" s="431"/>
      <c r="B205" s="400">
        <v>46107</v>
      </c>
      <c r="C205" s="3" t="s">
        <v>4928</v>
      </c>
      <c r="D205" s="3" t="s">
        <v>17</v>
      </c>
      <c r="E205" s="462" t="s">
        <v>1788</v>
      </c>
      <c r="F205" s="461" t="s">
        <v>4613</v>
      </c>
      <c r="G205" s="467" t="s">
        <v>23</v>
      </c>
      <c r="H205" s="461" t="s">
        <v>4927</v>
      </c>
      <c r="I205" s="462"/>
      <c r="J205" s="461" t="s">
        <v>487</v>
      </c>
      <c r="K205" s="136" t="s">
        <v>42</v>
      </c>
      <c r="L205" s="467">
        <v>9080</v>
      </c>
      <c r="M205" s="463">
        <v>2</v>
      </c>
      <c r="N205" s="464"/>
      <c r="O205" s="437"/>
    </row>
    <row r="206" spans="1:17" s="17" customFormat="1" ht="33" customHeight="1">
      <c r="A206" s="431"/>
      <c r="B206" s="370">
        <v>46107</v>
      </c>
      <c r="C206" s="3" t="s">
        <v>5245</v>
      </c>
      <c r="D206" s="3" t="s">
        <v>5246</v>
      </c>
      <c r="E206" s="462" t="s">
        <v>5247</v>
      </c>
      <c r="F206" s="462" t="s">
        <v>5248</v>
      </c>
      <c r="G206" s="467" t="s">
        <v>5249</v>
      </c>
      <c r="H206" s="461" t="s">
        <v>5250</v>
      </c>
      <c r="I206" s="462" t="s">
        <v>5244</v>
      </c>
      <c r="J206" s="461" t="s">
        <v>5251</v>
      </c>
      <c r="K206" s="136" t="s">
        <v>5252</v>
      </c>
      <c r="L206" s="467" t="s">
        <v>5253</v>
      </c>
      <c r="M206" s="463">
        <v>1</v>
      </c>
      <c r="N206" s="462"/>
      <c r="O206" s="439"/>
    </row>
    <row r="207" spans="1:17" s="17" customFormat="1" ht="33" customHeight="1">
      <c r="A207" s="431"/>
      <c r="B207" s="370">
        <v>46107</v>
      </c>
      <c r="C207" s="3" t="s">
        <v>5245</v>
      </c>
      <c r="D207" s="3" t="s">
        <v>5246</v>
      </c>
      <c r="E207" s="462" t="s">
        <v>5247</v>
      </c>
      <c r="F207" s="462" t="s">
        <v>5269</v>
      </c>
      <c r="G207" s="16" t="s">
        <v>23</v>
      </c>
      <c r="H207" s="193" t="s">
        <v>5270</v>
      </c>
      <c r="I207" s="462" t="s">
        <v>5244</v>
      </c>
      <c r="J207" s="461" t="s">
        <v>5251</v>
      </c>
      <c r="K207" s="136" t="s">
        <v>5252</v>
      </c>
      <c r="L207" s="467" t="s">
        <v>5253</v>
      </c>
      <c r="M207" s="463">
        <v>1</v>
      </c>
      <c r="N207" s="462"/>
      <c r="O207" s="439"/>
    </row>
    <row r="208" spans="1:17" s="17" customFormat="1" ht="33" customHeight="1">
      <c r="A208" s="431"/>
      <c r="B208" s="370">
        <v>46108</v>
      </c>
      <c r="C208" s="3" t="s">
        <v>4929</v>
      </c>
      <c r="D208" s="3" t="s">
        <v>17</v>
      </c>
      <c r="E208" s="462" t="s">
        <v>1788</v>
      </c>
      <c r="F208" s="461" t="s">
        <v>4613</v>
      </c>
      <c r="G208" s="467" t="s">
        <v>23</v>
      </c>
      <c r="H208" s="461" t="s">
        <v>4927</v>
      </c>
      <c r="I208" s="462"/>
      <c r="J208" s="461" t="s">
        <v>487</v>
      </c>
      <c r="K208" s="136" t="s">
        <v>42</v>
      </c>
      <c r="L208" s="467">
        <v>9080</v>
      </c>
      <c r="M208" s="463">
        <v>2</v>
      </c>
      <c r="N208" s="462" t="s">
        <v>4776</v>
      </c>
      <c r="O208" s="469"/>
      <c r="P208" s="468"/>
    </row>
    <row r="209" spans="1:16" s="17" customFormat="1" ht="33" customHeight="1">
      <c r="A209" s="431"/>
      <c r="B209" s="400">
        <v>46108</v>
      </c>
      <c r="C209" s="3" t="s">
        <v>3650</v>
      </c>
      <c r="D209" s="3" t="s">
        <v>157</v>
      </c>
      <c r="E209" s="461" t="s">
        <v>179</v>
      </c>
      <c r="F209" s="462" t="s">
        <v>5243</v>
      </c>
      <c r="G209" s="467"/>
      <c r="H209" s="461" t="s">
        <v>5267</v>
      </c>
      <c r="I209" s="462" t="s">
        <v>5268</v>
      </c>
      <c r="J209" s="462"/>
      <c r="K209" s="136"/>
      <c r="L209" s="467" t="s">
        <v>5278</v>
      </c>
      <c r="M209" s="463">
        <v>2</v>
      </c>
      <c r="N209" s="31"/>
      <c r="O209" s="435"/>
    </row>
    <row r="210" spans="1:16" s="17" customFormat="1" ht="33" customHeight="1">
      <c r="A210" s="431"/>
      <c r="B210" s="400">
        <v>46109</v>
      </c>
      <c r="C210" s="4"/>
      <c r="D210" s="4"/>
      <c r="E210" s="31"/>
      <c r="F210" s="31"/>
      <c r="G210" s="16"/>
      <c r="H210" s="408" t="s">
        <v>5256</v>
      </c>
      <c r="I210" s="193"/>
      <c r="J210" s="193"/>
      <c r="K210" s="125"/>
      <c r="L210" s="16"/>
      <c r="M210" s="8"/>
      <c r="N210" s="193"/>
      <c r="O210" s="445"/>
    </row>
    <row r="211" spans="1:16" s="17" customFormat="1" ht="33" customHeight="1">
      <c r="A211" s="432"/>
      <c r="B211" s="400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9"/>
    </row>
    <row r="212" spans="1:16" s="17" customFormat="1" ht="33" customHeight="1">
      <c r="A212" s="433" t="s">
        <v>0</v>
      </c>
      <c r="B212" s="324" t="s">
        <v>1</v>
      </c>
      <c r="C212" s="323" t="s">
        <v>2</v>
      </c>
      <c r="D212" s="323" t="s">
        <v>3</v>
      </c>
      <c r="E212" s="323" t="s">
        <v>4</v>
      </c>
      <c r="F212" s="323" t="s">
        <v>5</v>
      </c>
      <c r="G212" s="323" t="s">
        <v>6</v>
      </c>
      <c r="H212" s="325" t="s">
        <v>7</v>
      </c>
      <c r="I212" s="323" t="s">
        <v>8</v>
      </c>
      <c r="J212" s="323" t="s">
        <v>9</v>
      </c>
      <c r="K212" s="326" t="s">
        <v>10</v>
      </c>
      <c r="L212" s="327" t="s">
        <v>11</v>
      </c>
      <c r="M212" s="323" t="s">
        <v>12</v>
      </c>
      <c r="N212" s="328" t="s">
        <v>13</v>
      </c>
      <c r="O212" s="434" t="s">
        <v>63</v>
      </c>
      <c r="P212" s="434" t="s">
        <v>5411</v>
      </c>
    </row>
    <row r="213" spans="1:16" s="17" customFormat="1" ht="33" customHeight="1">
      <c r="A213" s="430" t="s">
        <v>4495</v>
      </c>
      <c r="B213" s="400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61" t="s">
        <v>5259</v>
      </c>
      <c r="I213" s="461" t="s">
        <v>5280</v>
      </c>
      <c r="J213" s="461" t="s">
        <v>5260</v>
      </c>
      <c r="K213" s="136" t="s">
        <v>5261</v>
      </c>
      <c r="L213" s="467" t="s">
        <v>33</v>
      </c>
      <c r="M213" s="463">
        <v>6</v>
      </c>
      <c r="N213" s="31"/>
      <c r="O213" s="465"/>
      <c r="P213" s="571"/>
    </row>
    <row r="214" spans="1:16" s="17" customFormat="1" ht="33" customHeight="1">
      <c r="A214" s="431"/>
      <c r="B214" s="400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61" t="s">
        <v>5280</v>
      </c>
      <c r="J214" s="461" t="s">
        <v>5272</v>
      </c>
      <c r="K214" s="125" t="s">
        <v>15</v>
      </c>
      <c r="L214" s="16" t="s">
        <v>5283</v>
      </c>
      <c r="M214" s="8">
        <v>2</v>
      </c>
      <c r="N214" s="31"/>
      <c r="O214" s="581"/>
      <c r="P214" s="572"/>
    </row>
    <row r="215" spans="1:16" s="17" customFormat="1" ht="33" customHeight="1">
      <c r="A215" s="431"/>
      <c r="B215" s="400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61" t="s">
        <v>5259</v>
      </c>
      <c r="I215" s="461" t="s">
        <v>5280</v>
      </c>
      <c r="J215" s="461" t="s">
        <v>5260</v>
      </c>
      <c r="K215" s="136" t="s">
        <v>5261</v>
      </c>
      <c r="L215" s="467" t="s">
        <v>5282</v>
      </c>
      <c r="M215" s="463">
        <v>6</v>
      </c>
      <c r="N215" s="429"/>
      <c r="O215" s="435"/>
      <c r="P215" s="573" t="s">
        <v>5290</v>
      </c>
    </row>
    <row r="216" spans="1:16" s="17" customFormat="1" ht="33" customHeight="1">
      <c r="A216" s="431"/>
      <c r="B216" s="400">
        <v>46113</v>
      </c>
      <c r="C216" s="3" t="s">
        <v>21</v>
      </c>
      <c r="D216" s="3" t="s">
        <v>14</v>
      </c>
      <c r="E216" s="462" t="s">
        <v>5242</v>
      </c>
      <c r="F216" s="481" t="s">
        <v>3332</v>
      </c>
      <c r="G216" s="467" t="s">
        <v>23</v>
      </c>
      <c r="H216" s="461" t="s">
        <v>5399</v>
      </c>
      <c r="I216" s="462"/>
      <c r="J216" s="461" t="s">
        <v>5366</v>
      </c>
      <c r="K216" s="136" t="s">
        <v>15</v>
      </c>
      <c r="L216" s="467">
        <v>9080</v>
      </c>
      <c r="M216" s="463">
        <v>3</v>
      </c>
      <c r="N216" s="31"/>
      <c r="O216" s="435"/>
      <c r="P216" s="573" t="s">
        <v>5290</v>
      </c>
    </row>
    <row r="217" spans="1:16" s="17" customFormat="1" ht="33" customHeight="1">
      <c r="A217" s="431"/>
      <c r="B217" s="370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61" t="s">
        <v>5292</v>
      </c>
      <c r="I217" s="461" t="s">
        <v>5281</v>
      </c>
      <c r="J217" s="461" t="s">
        <v>5284</v>
      </c>
      <c r="K217" s="136" t="s">
        <v>5261</v>
      </c>
      <c r="L217" s="467" t="s">
        <v>33</v>
      </c>
      <c r="M217" s="463">
        <v>4</v>
      </c>
      <c r="N217" s="31"/>
      <c r="O217" s="582" t="s">
        <v>5414</v>
      </c>
      <c r="P217" s="321"/>
    </row>
    <row r="218" spans="1:16" s="17" customFormat="1" ht="33" customHeight="1">
      <c r="A218" s="431"/>
      <c r="B218" s="370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61" t="s">
        <v>5286</v>
      </c>
      <c r="I218" s="462"/>
      <c r="J218" s="461" t="s">
        <v>5285</v>
      </c>
      <c r="K218" s="136" t="s">
        <v>5261</v>
      </c>
      <c r="L218" s="467" t="s">
        <v>5262</v>
      </c>
      <c r="M218" s="463">
        <v>3</v>
      </c>
      <c r="N218" s="31"/>
      <c r="O218" s="439"/>
      <c r="P218" s="321"/>
    </row>
    <row r="219" spans="1:16" s="17" customFormat="1" ht="33" customHeight="1">
      <c r="A219" s="431"/>
      <c r="B219" s="370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61" t="s">
        <v>5292</v>
      </c>
      <c r="I219" s="461" t="s">
        <v>90</v>
      </c>
      <c r="J219" s="461" t="s">
        <v>5284</v>
      </c>
      <c r="K219" s="136" t="s">
        <v>105</v>
      </c>
      <c r="L219" s="467" t="s">
        <v>33</v>
      </c>
      <c r="M219" s="463">
        <v>4</v>
      </c>
      <c r="N219" s="429"/>
      <c r="O219" s="445" t="s">
        <v>5413</v>
      </c>
      <c r="P219" s="573" t="s">
        <v>5307</v>
      </c>
    </row>
    <row r="220" spans="1:16" s="17" customFormat="1" ht="33" customHeight="1">
      <c r="A220" s="431"/>
      <c r="B220" s="400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61" t="s">
        <v>5399</v>
      </c>
      <c r="I220" s="31"/>
      <c r="J220" s="461" t="s">
        <v>5366</v>
      </c>
      <c r="K220" s="136" t="s">
        <v>15</v>
      </c>
      <c r="L220" s="467">
        <v>9080</v>
      </c>
      <c r="M220" s="463">
        <v>3</v>
      </c>
      <c r="N220" s="31"/>
      <c r="O220" s="435"/>
      <c r="P220" s="573"/>
    </row>
    <row r="221" spans="1:16" s="17" customFormat="1" ht="33" customHeight="1">
      <c r="A221" s="431"/>
      <c r="B221" s="400">
        <v>46115</v>
      </c>
      <c r="C221" s="3" t="s">
        <v>5291</v>
      </c>
      <c r="D221" s="3" t="s">
        <v>5293</v>
      </c>
      <c r="E221" s="462" t="s">
        <v>5294</v>
      </c>
      <c r="F221" s="462" t="s">
        <v>4939</v>
      </c>
      <c r="G221" s="467" t="s">
        <v>5295</v>
      </c>
      <c r="H221" s="461" t="s">
        <v>5296</v>
      </c>
      <c r="I221" s="461" t="s">
        <v>5279</v>
      </c>
      <c r="J221" s="461" t="s">
        <v>5304</v>
      </c>
      <c r="K221" s="125" t="s">
        <v>15</v>
      </c>
      <c r="L221" s="463">
        <v>9080</v>
      </c>
      <c r="M221" s="463">
        <v>3</v>
      </c>
      <c r="N221" s="31" t="s">
        <v>5288</v>
      </c>
      <c r="O221" s="435"/>
      <c r="P221" s="573" t="s">
        <v>5290</v>
      </c>
    </row>
    <row r="222" spans="1:16" s="17" customFormat="1" ht="33" customHeight="1">
      <c r="A222" s="431"/>
      <c r="B222" s="400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61" t="s">
        <v>5287</v>
      </c>
      <c r="I222" s="462"/>
      <c r="J222" s="31" t="s">
        <v>5396</v>
      </c>
      <c r="K222" s="136" t="s">
        <v>105</v>
      </c>
      <c r="L222" s="467" t="s">
        <v>5395</v>
      </c>
      <c r="M222" s="8">
        <v>3</v>
      </c>
      <c r="N222" s="193"/>
      <c r="O222" s="445" t="s">
        <v>5415</v>
      </c>
      <c r="P222" s="574"/>
    </row>
    <row r="223" spans="1:16" s="17" customFormat="1" ht="33" customHeight="1">
      <c r="A223" s="432"/>
      <c r="B223" s="400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61" t="s">
        <v>5287</v>
      </c>
      <c r="I223" s="462"/>
      <c r="J223" s="31" t="s">
        <v>5396</v>
      </c>
      <c r="K223" s="136" t="s">
        <v>105</v>
      </c>
      <c r="L223" s="467" t="s">
        <v>4550</v>
      </c>
      <c r="M223" s="8">
        <v>3</v>
      </c>
      <c r="N223" s="31"/>
      <c r="O223" s="445" t="s">
        <v>5413</v>
      </c>
      <c r="P223" s="573" t="s">
        <v>5412</v>
      </c>
    </row>
    <row r="224" spans="1:16" s="17" customFormat="1" ht="33" customHeight="1">
      <c r="A224" s="433" t="s">
        <v>0</v>
      </c>
      <c r="B224" s="324" t="s">
        <v>1</v>
      </c>
      <c r="C224" s="323" t="s">
        <v>2</v>
      </c>
      <c r="D224" s="323" t="s">
        <v>3</v>
      </c>
      <c r="E224" s="323" t="s">
        <v>4</v>
      </c>
      <c r="F224" s="323" t="s">
        <v>5</v>
      </c>
      <c r="G224" s="323" t="s">
        <v>6</v>
      </c>
      <c r="H224" s="325" t="s">
        <v>7</v>
      </c>
      <c r="I224" s="323" t="s">
        <v>8</v>
      </c>
      <c r="J224" s="323" t="s">
        <v>9</v>
      </c>
      <c r="K224" s="326" t="s">
        <v>10</v>
      </c>
      <c r="L224" s="327" t="s">
        <v>11</v>
      </c>
      <c r="M224" s="323" t="s">
        <v>12</v>
      </c>
      <c r="N224" s="328" t="s">
        <v>13</v>
      </c>
      <c r="O224" s="434" t="s">
        <v>63</v>
      </c>
      <c r="P224" s="434" t="s">
        <v>5411</v>
      </c>
    </row>
    <row r="225" spans="1:16" s="17" customFormat="1" ht="33" customHeight="1">
      <c r="A225" s="430" t="s">
        <v>4496</v>
      </c>
      <c r="B225" s="370">
        <v>46118</v>
      </c>
      <c r="C225" s="3" t="s">
        <v>21</v>
      </c>
      <c r="D225" s="3" t="s">
        <v>30</v>
      </c>
      <c r="E225" s="462" t="s">
        <v>107</v>
      </c>
      <c r="F225" s="462" t="s">
        <v>2566</v>
      </c>
      <c r="G225" s="467" t="s">
        <v>5358</v>
      </c>
      <c r="H225" s="461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35"/>
      <c r="P225" s="573" t="s">
        <v>5290</v>
      </c>
    </row>
    <row r="226" spans="1:16" s="17" customFormat="1" ht="33" customHeight="1">
      <c r="A226" s="431"/>
      <c r="B226" s="370">
        <v>46119</v>
      </c>
      <c r="C226" s="3" t="s">
        <v>21</v>
      </c>
      <c r="D226" s="3" t="s">
        <v>14</v>
      </c>
      <c r="E226" s="462" t="s">
        <v>107</v>
      </c>
      <c r="F226" s="462" t="s">
        <v>2566</v>
      </c>
      <c r="G226" s="467" t="s">
        <v>67</v>
      </c>
      <c r="H226" s="461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35"/>
      <c r="P226" s="573"/>
    </row>
    <row r="227" spans="1:16" s="17" customFormat="1" ht="33" customHeight="1">
      <c r="A227" s="431"/>
      <c r="B227" s="370">
        <v>46119</v>
      </c>
      <c r="C227" s="3" t="s">
        <v>21</v>
      </c>
      <c r="D227" s="3" t="s">
        <v>31</v>
      </c>
      <c r="E227" s="462" t="s">
        <v>5276</v>
      </c>
      <c r="F227" s="462">
        <v>7064</v>
      </c>
      <c r="G227" s="467" t="s">
        <v>83</v>
      </c>
      <c r="H227" s="461" t="s">
        <v>5277</v>
      </c>
      <c r="I227" s="461"/>
      <c r="J227" s="461" t="s">
        <v>487</v>
      </c>
      <c r="K227" s="136" t="s">
        <v>15</v>
      </c>
      <c r="L227" s="467" t="s">
        <v>4550</v>
      </c>
      <c r="M227" s="463">
        <v>2</v>
      </c>
      <c r="N227" s="462"/>
      <c r="O227" s="435" t="s">
        <v>5421</v>
      </c>
      <c r="P227" s="573" t="s">
        <v>5290</v>
      </c>
    </row>
    <row r="228" spans="1:16" s="17" customFormat="1" ht="33" customHeight="1">
      <c r="A228" s="431"/>
      <c r="B228" s="400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9"/>
      <c r="O228" s="435" t="s">
        <v>5422</v>
      </c>
      <c r="P228" s="573"/>
    </row>
    <row r="229" spans="1:16" s="17" customFormat="1" ht="33" customHeight="1">
      <c r="A229" s="431"/>
      <c r="B229" s="400">
        <v>46120</v>
      </c>
      <c r="C229" s="3" t="s">
        <v>21</v>
      </c>
      <c r="D229" s="3" t="s">
        <v>31</v>
      </c>
      <c r="E229" s="462" t="s">
        <v>5276</v>
      </c>
      <c r="F229" s="462">
        <v>7064</v>
      </c>
      <c r="G229" s="467" t="s">
        <v>83</v>
      </c>
      <c r="H229" s="461" t="s">
        <v>5277</v>
      </c>
      <c r="I229" s="461"/>
      <c r="J229" s="461" t="s">
        <v>5430</v>
      </c>
      <c r="K229" s="136" t="s">
        <v>15</v>
      </c>
      <c r="L229" s="467" t="s">
        <v>4379</v>
      </c>
      <c r="M229" s="463">
        <v>3</v>
      </c>
      <c r="N229" s="31"/>
      <c r="O229" s="435"/>
      <c r="P229" s="573" t="s">
        <v>5290</v>
      </c>
    </row>
    <row r="230" spans="1:16" s="17" customFormat="1" ht="33" customHeight="1">
      <c r="A230" s="431"/>
      <c r="B230" s="370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9"/>
      <c r="P230" s="571"/>
    </row>
    <row r="231" spans="1:16" s="17" customFormat="1" ht="33" customHeight="1">
      <c r="A231" s="431"/>
      <c r="B231" s="370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35" t="s">
        <v>5416</v>
      </c>
      <c r="P231" s="571"/>
    </row>
    <row r="232" spans="1:16" s="17" customFormat="1" ht="33" customHeight="1">
      <c r="A232" s="431"/>
      <c r="B232" s="370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35"/>
      <c r="P232" s="571"/>
    </row>
    <row r="233" spans="1:16" s="17" customFormat="1" ht="33" customHeight="1">
      <c r="A233" s="431"/>
      <c r="B233" s="370">
        <v>46121</v>
      </c>
      <c r="C233" s="3" t="s">
        <v>21</v>
      </c>
      <c r="D233" s="3" t="s">
        <v>17</v>
      </c>
      <c r="E233" s="466" t="s">
        <v>5419</v>
      </c>
      <c r="F233" s="466" t="s">
        <v>4512</v>
      </c>
      <c r="G233" s="467" t="s">
        <v>35</v>
      </c>
      <c r="H233" s="461" t="s">
        <v>5306</v>
      </c>
      <c r="I233" s="461" t="s">
        <v>5418</v>
      </c>
      <c r="J233" s="461"/>
      <c r="K233" s="136" t="s">
        <v>15</v>
      </c>
      <c r="L233" s="16" t="s">
        <v>5476</v>
      </c>
      <c r="M233" s="8">
        <v>3</v>
      </c>
      <c r="N233" s="429"/>
      <c r="O233" s="435" t="s">
        <v>5420</v>
      </c>
      <c r="P233" s="573" t="s">
        <v>5290</v>
      </c>
    </row>
    <row r="234" spans="1:16" s="17" customFormat="1" ht="33" customHeight="1">
      <c r="A234" s="431"/>
      <c r="B234" s="370">
        <v>46121</v>
      </c>
      <c r="C234" s="4" t="s">
        <v>4888</v>
      </c>
      <c r="D234" s="4" t="s">
        <v>4889</v>
      </c>
      <c r="E234" s="462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9" t="s">
        <v>5423</v>
      </c>
      <c r="P234" s="321"/>
    </row>
    <row r="235" spans="1:16" s="17" customFormat="1" ht="33" customHeight="1">
      <c r="A235" s="431"/>
      <c r="B235" s="370">
        <v>46121</v>
      </c>
      <c r="C235" s="3" t="s">
        <v>21</v>
      </c>
      <c r="D235" s="3" t="s">
        <v>30</v>
      </c>
      <c r="E235" s="462" t="s">
        <v>1787</v>
      </c>
      <c r="F235" s="461" t="s">
        <v>5408</v>
      </c>
      <c r="G235" s="467" t="s">
        <v>143</v>
      </c>
      <c r="H235" s="461" t="s">
        <v>5471</v>
      </c>
      <c r="I235" s="31" t="s">
        <v>5405</v>
      </c>
      <c r="J235" s="31"/>
      <c r="K235" s="136" t="s">
        <v>15</v>
      </c>
      <c r="L235" s="467" t="s">
        <v>4550</v>
      </c>
      <c r="M235" s="463">
        <v>1</v>
      </c>
      <c r="N235" s="31"/>
      <c r="O235" s="439"/>
      <c r="P235" s="321"/>
    </row>
    <row r="236" spans="1:16" s="17" customFormat="1" ht="33" customHeight="1">
      <c r="A236" s="431"/>
      <c r="B236" s="370">
        <v>46121</v>
      </c>
      <c r="C236" s="3" t="s">
        <v>21</v>
      </c>
      <c r="D236" s="3" t="s">
        <v>14</v>
      </c>
      <c r="E236" s="462" t="s">
        <v>1787</v>
      </c>
      <c r="F236" s="461" t="s">
        <v>5409</v>
      </c>
      <c r="G236" s="467" t="s">
        <v>143</v>
      </c>
      <c r="H236" s="461" t="s">
        <v>5410</v>
      </c>
      <c r="I236" s="31"/>
      <c r="J236" s="31" t="s">
        <v>641</v>
      </c>
      <c r="K236" s="136" t="s">
        <v>15</v>
      </c>
      <c r="L236" s="467" t="s">
        <v>4550</v>
      </c>
      <c r="M236" s="463">
        <v>2</v>
      </c>
      <c r="N236" s="31"/>
      <c r="O236" s="439" t="s">
        <v>5522</v>
      </c>
      <c r="P236" s="321"/>
    </row>
    <row r="237" spans="1:16" s="17" customFormat="1" ht="33" customHeight="1">
      <c r="A237" s="431"/>
      <c r="B237" s="400">
        <v>46121</v>
      </c>
      <c r="C237" s="3" t="s">
        <v>21</v>
      </c>
      <c r="D237" s="3" t="s">
        <v>31</v>
      </c>
      <c r="E237" s="462" t="s">
        <v>5276</v>
      </c>
      <c r="F237" s="462">
        <v>7064</v>
      </c>
      <c r="G237" s="467" t="s">
        <v>83</v>
      </c>
      <c r="H237" s="461" t="s">
        <v>5277</v>
      </c>
      <c r="I237" s="461"/>
      <c r="J237" s="461" t="s">
        <v>487</v>
      </c>
      <c r="K237" s="136" t="s">
        <v>15</v>
      </c>
      <c r="L237" s="467" t="s">
        <v>5424</v>
      </c>
      <c r="M237" s="463">
        <v>2</v>
      </c>
      <c r="N237" s="31"/>
      <c r="O237" s="439"/>
      <c r="P237" s="321"/>
    </row>
    <row r="238" spans="1:16" s="17" customFormat="1" ht="33" customHeight="1">
      <c r="A238" s="431"/>
      <c r="B238" s="400">
        <v>46121</v>
      </c>
      <c r="C238" s="3" t="s">
        <v>21</v>
      </c>
      <c r="D238" s="3" t="s">
        <v>31</v>
      </c>
      <c r="E238" s="462" t="s">
        <v>5276</v>
      </c>
      <c r="F238" s="462" t="s">
        <v>2329</v>
      </c>
      <c r="G238" s="467" t="s">
        <v>23</v>
      </c>
      <c r="H238" s="461" t="s">
        <v>5440</v>
      </c>
      <c r="I238" s="462"/>
      <c r="J238" s="461" t="s">
        <v>487</v>
      </c>
      <c r="K238" s="136" t="s">
        <v>15</v>
      </c>
      <c r="L238" s="467" t="s">
        <v>5424</v>
      </c>
      <c r="M238" s="463">
        <v>2</v>
      </c>
      <c r="N238" s="31"/>
      <c r="O238" s="439"/>
      <c r="P238" s="321"/>
    </row>
    <row r="239" spans="1:16" s="17" customFormat="1" ht="33" customHeight="1">
      <c r="A239" s="431"/>
      <c r="B239" s="400">
        <v>46122</v>
      </c>
      <c r="C239" s="3" t="s">
        <v>21</v>
      </c>
      <c r="D239" s="3" t="s">
        <v>31</v>
      </c>
      <c r="E239" s="462" t="s">
        <v>5276</v>
      </c>
      <c r="F239" s="462">
        <v>7064</v>
      </c>
      <c r="G239" s="467" t="s">
        <v>83</v>
      </c>
      <c r="H239" s="461" t="s">
        <v>5277</v>
      </c>
      <c r="I239" s="461"/>
      <c r="J239" s="461" t="s">
        <v>5485</v>
      </c>
      <c r="K239" s="136" t="s">
        <v>15</v>
      </c>
      <c r="L239" s="467" t="s">
        <v>5424</v>
      </c>
      <c r="M239" s="463">
        <v>3</v>
      </c>
      <c r="N239" s="193" t="s">
        <v>5504</v>
      </c>
      <c r="O239" s="435"/>
      <c r="P239" s="573" t="s">
        <v>5290</v>
      </c>
    </row>
    <row r="240" spans="1:16" s="17" customFormat="1" ht="33" customHeight="1">
      <c r="A240" s="431"/>
      <c r="B240" s="370">
        <v>46122</v>
      </c>
      <c r="C240" s="4" t="s">
        <v>4888</v>
      </c>
      <c r="D240" s="4" t="s">
        <v>4889</v>
      </c>
      <c r="E240" s="462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35"/>
      <c r="P240" s="571" t="s">
        <v>5417</v>
      </c>
    </row>
    <row r="241" spans="1:16" s="17" customFormat="1" ht="33" customHeight="1">
      <c r="A241" s="431"/>
      <c r="B241" s="370">
        <v>46122</v>
      </c>
      <c r="C241" s="4" t="s">
        <v>4888</v>
      </c>
      <c r="D241" s="4" t="s">
        <v>4889</v>
      </c>
      <c r="E241" s="462" t="s">
        <v>1787</v>
      </c>
      <c r="F241" s="31" t="s">
        <v>5431</v>
      </c>
      <c r="G241" s="467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35" t="s">
        <v>5496</v>
      </c>
      <c r="P241" s="571"/>
    </row>
    <row r="242" spans="1:16" s="17" customFormat="1" ht="33" customHeight="1">
      <c r="A242" s="432"/>
      <c r="B242" s="400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9"/>
      <c r="P242" s="573" t="s">
        <v>5412</v>
      </c>
    </row>
    <row r="243" spans="1:16" s="17" customFormat="1" ht="33" customHeight="1">
      <c r="A243" s="433" t="s">
        <v>0</v>
      </c>
      <c r="B243" s="324" t="s">
        <v>1</v>
      </c>
      <c r="C243" s="323" t="s">
        <v>2</v>
      </c>
      <c r="D243" s="323" t="s">
        <v>3</v>
      </c>
      <c r="E243" s="323" t="s">
        <v>4</v>
      </c>
      <c r="F243" s="323" t="s">
        <v>5</v>
      </c>
      <c r="G243" s="323" t="s">
        <v>6</v>
      </c>
      <c r="H243" s="325" t="s">
        <v>7</v>
      </c>
      <c r="I243" s="323" t="s">
        <v>8</v>
      </c>
      <c r="J243" s="323" t="s">
        <v>9</v>
      </c>
      <c r="K243" s="326" t="s">
        <v>10</v>
      </c>
      <c r="L243" s="327" t="s">
        <v>11</v>
      </c>
      <c r="M243" s="323" t="s">
        <v>12</v>
      </c>
      <c r="N243" s="328" t="s">
        <v>13</v>
      </c>
      <c r="O243" s="434" t="s">
        <v>63</v>
      </c>
      <c r="P243" s="434" t="s">
        <v>5411</v>
      </c>
    </row>
    <row r="244" spans="1:16" s="17" customFormat="1" ht="33" customHeight="1">
      <c r="A244" s="430" t="s">
        <v>4497</v>
      </c>
      <c r="B244" s="400">
        <v>46125</v>
      </c>
      <c r="C244" s="4" t="s">
        <v>138</v>
      </c>
      <c r="D244" s="4" t="s">
        <v>14</v>
      </c>
      <c r="E244" s="462" t="s">
        <v>1787</v>
      </c>
      <c r="F244" s="461" t="s">
        <v>5266</v>
      </c>
      <c r="G244" s="467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35" t="s">
        <v>5495</v>
      </c>
      <c r="P244" s="573" t="s">
        <v>5516</v>
      </c>
    </row>
    <row r="245" spans="1:16" s="17" customFormat="1" ht="33" customHeight="1">
      <c r="A245" s="431"/>
      <c r="B245" s="370">
        <v>46125</v>
      </c>
      <c r="C245" s="4" t="s">
        <v>4888</v>
      </c>
      <c r="D245" s="4" t="s">
        <v>4889</v>
      </c>
      <c r="E245" s="462" t="s">
        <v>1787</v>
      </c>
      <c r="F245" s="31" t="s">
        <v>5435</v>
      </c>
      <c r="G245" s="467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35" t="s">
        <v>5499</v>
      </c>
      <c r="P245" s="571"/>
    </row>
    <row r="246" spans="1:16" s="17" customFormat="1" ht="33" customHeight="1">
      <c r="A246" s="431"/>
      <c r="B246" s="370">
        <v>46125</v>
      </c>
      <c r="C246" s="4" t="s">
        <v>4888</v>
      </c>
      <c r="D246" s="4" t="s">
        <v>4889</v>
      </c>
      <c r="E246" s="462" t="s">
        <v>1787</v>
      </c>
      <c r="F246" s="31" t="s">
        <v>5435</v>
      </c>
      <c r="G246" s="467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35" t="s">
        <v>5499</v>
      </c>
      <c r="P246" s="571"/>
    </row>
    <row r="247" spans="1:16" s="17" customFormat="1" ht="33" customHeight="1">
      <c r="A247" s="431"/>
      <c r="B247" s="370">
        <v>46125</v>
      </c>
      <c r="C247" s="4" t="s">
        <v>5517</v>
      </c>
      <c r="D247" s="4" t="s">
        <v>14</v>
      </c>
      <c r="E247" s="462" t="s">
        <v>1787</v>
      </c>
      <c r="F247" s="31" t="s">
        <v>5518</v>
      </c>
      <c r="G247" s="467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35"/>
      <c r="P247" s="571"/>
    </row>
    <row r="248" spans="1:16" s="17" customFormat="1" ht="33" customHeight="1">
      <c r="A248" s="431"/>
      <c r="B248" s="370">
        <v>46125</v>
      </c>
      <c r="C248" s="3" t="s">
        <v>21</v>
      </c>
      <c r="D248" s="3" t="s">
        <v>14</v>
      </c>
      <c r="E248" s="462" t="s">
        <v>1893</v>
      </c>
      <c r="F248" s="462" t="s">
        <v>4939</v>
      </c>
      <c r="G248" s="467" t="s">
        <v>5477</v>
      </c>
      <c r="H248" s="461" t="s">
        <v>5296</v>
      </c>
      <c r="I248" s="461" t="s">
        <v>5514</v>
      </c>
      <c r="J248" s="461" t="s">
        <v>5494</v>
      </c>
      <c r="K248" s="125" t="s">
        <v>15</v>
      </c>
      <c r="L248" s="570" t="s">
        <v>5493</v>
      </c>
      <c r="M248" s="8">
        <v>5</v>
      </c>
      <c r="N248" s="31"/>
      <c r="O248" s="435" t="s">
        <v>5500</v>
      </c>
      <c r="P248" s="571"/>
    </row>
    <row r="249" spans="1:16" s="17" customFormat="1" ht="33" customHeight="1">
      <c r="A249" s="431"/>
      <c r="B249" s="400">
        <v>46126</v>
      </c>
      <c r="C249" s="3" t="s">
        <v>21</v>
      </c>
      <c r="D249" s="3" t="s">
        <v>14</v>
      </c>
      <c r="E249" s="462" t="s">
        <v>1893</v>
      </c>
      <c r="F249" s="462" t="s">
        <v>4939</v>
      </c>
      <c r="G249" s="467" t="s">
        <v>5477</v>
      </c>
      <c r="H249" s="461" t="s">
        <v>5296</v>
      </c>
      <c r="I249" s="461"/>
      <c r="J249" s="461" t="s">
        <v>5534</v>
      </c>
      <c r="K249" s="125" t="s">
        <v>15</v>
      </c>
      <c r="L249" s="570" t="s">
        <v>5493</v>
      </c>
      <c r="M249" s="8">
        <v>3</v>
      </c>
      <c r="N249" s="31"/>
      <c r="O249" s="435"/>
      <c r="P249" s="573"/>
    </row>
    <row r="250" spans="1:16" s="17" customFormat="1" ht="33" customHeight="1">
      <c r="A250" s="431"/>
      <c r="B250" s="400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9"/>
      <c r="O250" s="435" t="s">
        <v>5501</v>
      </c>
      <c r="P250" s="571"/>
    </row>
    <row r="251" spans="1:16" s="17" customFormat="1" ht="33" customHeight="1">
      <c r="A251" s="431"/>
      <c r="B251" s="400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9" t="s">
        <v>5535</v>
      </c>
      <c r="P251" s="573"/>
    </row>
    <row r="252" spans="1:16" s="17" customFormat="1" ht="33" customHeight="1">
      <c r="A252" s="431"/>
      <c r="B252" s="400">
        <v>46127</v>
      </c>
      <c r="C252" s="3" t="s">
        <v>21</v>
      </c>
      <c r="D252" s="3" t="s">
        <v>14</v>
      </c>
      <c r="E252" s="462" t="s">
        <v>1893</v>
      </c>
      <c r="F252" s="462" t="s">
        <v>4939</v>
      </c>
      <c r="G252" s="467" t="s">
        <v>5477</v>
      </c>
      <c r="H252" s="461" t="s">
        <v>5296</v>
      </c>
      <c r="I252" s="461" t="s">
        <v>3545</v>
      </c>
      <c r="J252" s="461" t="s">
        <v>5478</v>
      </c>
      <c r="K252" s="125" t="s">
        <v>15</v>
      </c>
      <c r="L252" s="570">
        <v>9080</v>
      </c>
      <c r="M252" s="8">
        <v>3</v>
      </c>
      <c r="N252" s="31"/>
      <c r="O252" s="435"/>
      <c r="P252" s="571"/>
    </row>
    <row r="253" spans="1:16" s="17" customFormat="1" ht="33" customHeight="1">
      <c r="A253" s="431"/>
      <c r="B253" s="370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35" t="s">
        <v>5545</v>
      </c>
      <c r="P253" s="571"/>
    </row>
    <row r="254" spans="1:16" s="17" customFormat="1" ht="33" customHeight="1">
      <c r="A254" s="431"/>
      <c r="B254" s="370">
        <v>46128</v>
      </c>
      <c r="C254" s="3" t="s">
        <v>21</v>
      </c>
      <c r="D254" s="3" t="s">
        <v>14</v>
      </c>
      <c r="E254" s="462" t="s">
        <v>1893</v>
      </c>
      <c r="F254" s="462" t="s">
        <v>4939</v>
      </c>
      <c r="G254" s="467" t="s">
        <v>5477</v>
      </c>
      <c r="H254" s="461" t="s">
        <v>5296</v>
      </c>
      <c r="I254" s="461"/>
      <c r="J254" s="461" t="s">
        <v>5551</v>
      </c>
      <c r="K254" s="125" t="s">
        <v>15</v>
      </c>
      <c r="L254" s="570">
        <v>9080</v>
      </c>
      <c r="M254" s="8">
        <v>4</v>
      </c>
      <c r="N254" s="31"/>
      <c r="O254" s="435" t="s">
        <v>5550</v>
      </c>
      <c r="P254" s="571"/>
    </row>
    <row r="255" spans="1:16" s="17" customFormat="1" ht="33" customHeight="1">
      <c r="A255" s="431"/>
      <c r="B255" s="370">
        <v>46128</v>
      </c>
      <c r="C255" s="3" t="s">
        <v>24</v>
      </c>
      <c r="D255" s="3" t="s">
        <v>14</v>
      </c>
      <c r="E255" s="462" t="s">
        <v>78</v>
      </c>
      <c r="F255" s="461" t="s">
        <v>3008</v>
      </c>
      <c r="G255" s="467" t="s">
        <v>3801</v>
      </c>
      <c r="H255" s="461" t="s">
        <v>5359</v>
      </c>
      <c r="I255" s="462" t="s">
        <v>3545</v>
      </c>
      <c r="J255" s="462" t="s">
        <v>1300</v>
      </c>
      <c r="K255" s="136" t="s">
        <v>15</v>
      </c>
      <c r="L255" s="467" t="s">
        <v>4550</v>
      </c>
      <c r="M255" s="463">
        <v>2</v>
      </c>
      <c r="N255" s="462"/>
      <c r="O255" s="595" t="s">
        <v>4602</v>
      </c>
      <c r="P255" s="571"/>
    </row>
    <row r="256" spans="1:16" s="17" customFormat="1" ht="33" customHeight="1">
      <c r="A256" s="431"/>
      <c r="B256" s="370">
        <v>46128</v>
      </c>
      <c r="C256" s="3" t="s">
        <v>21</v>
      </c>
      <c r="D256" s="3" t="s">
        <v>14</v>
      </c>
      <c r="E256" s="462" t="s">
        <v>78</v>
      </c>
      <c r="F256" s="481" t="s">
        <v>5503</v>
      </c>
      <c r="G256" s="467" t="s">
        <v>5358</v>
      </c>
      <c r="H256" s="461" t="s">
        <v>3515</v>
      </c>
      <c r="I256" s="462" t="s">
        <v>3545</v>
      </c>
      <c r="J256" s="462" t="s">
        <v>686</v>
      </c>
      <c r="K256" s="136" t="s">
        <v>15</v>
      </c>
      <c r="L256" s="467" t="s">
        <v>4550</v>
      </c>
      <c r="M256" s="463">
        <v>2</v>
      </c>
      <c r="N256" s="462"/>
      <c r="O256" s="595" t="s">
        <v>5498</v>
      </c>
      <c r="P256" s="571"/>
    </row>
    <row r="257" spans="1:16" s="17" customFormat="1" ht="33" customHeight="1">
      <c r="A257" s="431"/>
      <c r="B257" s="400">
        <v>46129</v>
      </c>
      <c r="C257" s="3" t="s">
        <v>21</v>
      </c>
      <c r="D257" s="3" t="s">
        <v>14</v>
      </c>
      <c r="E257" s="462" t="s">
        <v>1893</v>
      </c>
      <c r="F257" s="462" t="s">
        <v>4939</v>
      </c>
      <c r="G257" s="467" t="s">
        <v>5477</v>
      </c>
      <c r="H257" s="461" t="s">
        <v>5296</v>
      </c>
      <c r="I257" s="461"/>
      <c r="J257" s="461" t="s">
        <v>5478</v>
      </c>
      <c r="K257" s="125" t="s">
        <v>15</v>
      </c>
      <c r="L257" s="570">
        <v>9080</v>
      </c>
      <c r="M257" s="8">
        <v>3</v>
      </c>
      <c r="N257" s="31" t="s">
        <v>5597</v>
      </c>
      <c r="O257" s="435"/>
      <c r="P257" s="571"/>
    </row>
    <row r="258" spans="1:16" s="17" customFormat="1" ht="33" customHeight="1">
      <c r="A258" s="431"/>
      <c r="B258" s="370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35" t="s">
        <v>5515</v>
      </c>
      <c r="P258" s="573"/>
    </row>
    <row r="259" spans="1:16" s="17" customFormat="1" ht="33" customHeight="1">
      <c r="A259" s="431"/>
      <c r="B259" s="370">
        <v>46129</v>
      </c>
      <c r="C259" s="3" t="s">
        <v>21</v>
      </c>
      <c r="D259" s="3" t="s">
        <v>31</v>
      </c>
      <c r="E259" s="461" t="s">
        <v>78</v>
      </c>
      <c r="F259" s="462" t="s">
        <v>2329</v>
      </c>
      <c r="G259" s="467" t="s">
        <v>23</v>
      </c>
      <c r="H259" s="461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35" t="s">
        <v>5502</v>
      </c>
      <c r="P259" s="573"/>
    </row>
    <row r="260" spans="1:16" s="17" customFormat="1" ht="33" customHeight="1">
      <c r="A260" s="431"/>
      <c r="B260" s="370">
        <v>46129</v>
      </c>
      <c r="C260" s="3" t="s">
        <v>24</v>
      </c>
      <c r="D260" s="3" t="s">
        <v>14</v>
      </c>
      <c r="E260" s="462" t="s">
        <v>1787</v>
      </c>
      <c r="F260" s="462" t="s">
        <v>2817</v>
      </c>
      <c r="G260" s="467" t="s">
        <v>23</v>
      </c>
      <c r="H260" s="461" t="s">
        <v>5434</v>
      </c>
      <c r="I260" s="462"/>
      <c r="J260" s="461" t="s">
        <v>1316</v>
      </c>
      <c r="K260" s="136" t="s">
        <v>15</v>
      </c>
      <c r="L260" s="467" t="s">
        <v>4550</v>
      </c>
      <c r="M260" s="463">
        <v>2</v>
      </c>
      <c r="N260" s="31"/>
      <c r="O260" s="435" t="s">
        <v>5565</v>
      </c>
      <c r="P260" s="573"/>
    </row>
    <row r="261" spans="1:16" s="17" customFormat="1" ht="33" customHeight="1">
      <c r="A261" s="431"/>
      <c r="B261" s="400">
        <v>46130</v>
      </c>
      <c r="C261" s="3" t="s">
        <v>21</v>
      </c>
      <c r="D261" s="3" t="s">
        <v>14</v>
      </c>
      <c r="E261" s="462" t="s">
        <v>107</v>
      </c>
      <c r="F261" s="462" t="s">
        <v>1968</v>
      </c>
      <c r="G261" s="467" t="s">
        <v>5358</v>
      </c>
      <c r="H261" s="461" t="s">
        <v>4843</v>
      </c>
      <c r="I261" s="462" t="s">
        <v>5546</v>
      </c>
      <c r="J261" s="462" t="s">
        <v>5547</v>
      </c>
      <c r="K261" s="136" t="s">
        <v>15</v>
      </c>
      <c r="L261" s="467" t="s">
        <v>4550</v>
      </c>
      <c r="M261" s="463">
        <v>2</v>
      </c>
      <c r="N261" s="31"/>
      <c r="O261" s="435" t="s">
        <v>5548</v>
      </c>
      <c r="P261" s="573"/>
    </row>
    <row r="262" spans="1:16" s="17" customFormat="1" ht="33" customHeight="1">
      <c r="A262" s="432"/>
      <c r="B262" s="400">
        <v>46130</v>
      </c>
      <c r="C262" s="3" t="s">
        <v>21</v>
      </c>
      <c r="D262" s="3" t="s">
        <v>14</v>
      </c>
      <c r="E262" s="462" t="s">
        <v>107</v>
      </c>
      <c r="F262" s="462" t="s">
        <v>1968</v>
      </c>
      <c r="G262" s="467" t="s">
        <v>3742</v>
      </c>
      <c r="H262" s="461" t="s">
        <v>4843</v>
      </c>
      <c r="I262" s="462" t="s">
        <v>5543</v>
      </c>
      <c r="J262" s="462" t="s">
        <v>5544</v>
      </c>
      <c r="K262" s="136" t="s">
        <v>15</v>
      </c>
      <c r="L262" s="467" t="s">
        <v>33</v>
      </c>
      <c r="M262" s="463">
        <v>4</v>
      </c>
      <c r="N262" s="31"/>
      <c r="O262" s="439" t="s">
        <v>5549</v>
      </c>
      <c r="P262" s="571"/>
    </row>
    <row r="263" spans="1:16" s="17" customFormat="1" ht="33" customHeight="1">
      <c r="A263" s="433" t="s">
        <v>0</v>
      </c>
      <c r="B263" s="324" t="s">
        <v>1</v>
      </c>
      <c r="C263" s="323" t="s">
        <v>2</v>
      </c>
      <c r="D263" s="323" t="s">
        <v>3</v>
      </c>
      <c r="E263" s="323" t="s">
        <v>4</v>
      </c>
      <c r="F263" s="323" t="s">
        <v>5</v>
      </c>
      <c r="G263" s="323" t="s">
        <v>6</v>
      </c>
      <c r="H263" s="325" t="s">
        <v>7</v>
      </c>
      <c r="I263" s="323" t="s">
        <v>8</v>
      </c>
      <c r="J263" s="323" t="s">
        <v>9</v>
      </c>
      <c r="K263" s="326" t="s">
        <v>10</v>
      </c>
      <c r="L263" s="327" t="s">
        <v>11</v>
      </c>
      <c r="M263" s="323" t="s">
        <v>12</v>
      </c>
      <c r="N263" s="328" t="s">
        <v>13</v>
      </c>
      <c r="O263" s="434" t="s">
        <v>63</v>
      </c>
      <c r="P263" s="434" t="s">
        <v>5411</v>
      </c>
    </row>
    <row r="264" spans="1:16" s="17" customFormat="1" ht="33" customHeight="1">
      <c r="A264" s="430" t="s">
        <v>4498</v>
      </c>
      <c r="B264" s="127">
        <v>46132</v>
      </c>
      <c r="C264" s="3" t="s">
        <v>5554</v>
      </c>
      <c r="D264" s="3" t="s">
        <v>14</v>
      </c>
      <c r="E264" s="462" t="s">
        <v>1787</v>
      </c>
      <c r="F264" s="462" t="s">
        <v>5559</v>
      </c>
      <c r="G264" s="467" t="s">
        <v>142</v>
      </c>
      <c r="H264" s="461" t="s">
        <v>5558</v>
      </c>
      <c r="I264" s="462" t="s">
        <v>5552</v>
      </c>
      <c r="J264" s="461" t="s">
        <v>3074</v>
      </c>
      <c r="K264" s="136" t="s">
        <v>5555</v>
      </c>
      <c r="L264" s="467" t="s">
        <v>4550</v>
      </c>
      <c r="M264" s="463">
        <v>3</v>
      </c>
      <c r="N264" s="31"/>
      <c r="O264" s="438" t="s">
        <v>5560</v>
      </c>
      <c r="P264" s="571"/>
    </row>
    <row r="265" spans="1:16" s="17" customFormat="1" ht="33" customHeight="1">
      <c r="A265" s="431"/>
      <c r="B265" s="127">
        <v>46132</v>
      </c>
      <c r="C265" s="3" t="s">
        <v>21</v>
      </c>
      <c r="D265" s="3" t="s">
        <v>14</v>
      </c>
      <c r="E265" s="462" t="s">
        <v>1893</v>
      </c>
      <c r="F265" s="462" t="s">
        <v>4939</v>
      </c>
      <c r="G265" s="467" t="s">
        <v>5477</v>
      </c>
      <c r="H265" s="461" t="s">
        <v>5569</v>
      </c>
      <c r="I265" s="461" t="s">
        <v>3545</v>
      </c>
      <c r="J265" s="461" t="s">
        <v>3282</v>
      </c>
      <c r="K265" s="136" t="s">
        <v>15</v>
      </c>
      <c r="L265" s="570">
        <v>9080</v>
      </c>
      <c r="M265" s="463">
        <v>4</v>
      </c>
      <c r="N265" s="31"/>
      <c r="O265" s="438"/>
      <c r="P265" s="571"/>
    </row>
    <row r="266" spans="1:16" s="17" customFormat="1" ht="33" customHeight="1">
      <c r="A266" s="431"/>
      <c r="B266" s="198">
        <v>46132</v>
      </c>
      <c r="C266" s="3" t="s">
        <v>5531</v>
      </c>
      <c r="D266" s="3" t="s">
        <v>5536</v>
      </c>
      <c r="E266" s="481" t="s">
        <v>107</v>
      </c>
      <c r="F266" s="462" t="s">
        <v>5541</v>
      </c>
      <c r="G266" s="467" t="s">
        <v>1306</v>
      </c>
      <c r="H266" s="461" t="s">
        <v>5570</v>
      </c>
      <c r="I266" s="462" t="s">
        <v>5556</v>
      </c>
      <c r="J266" s="462" t="s">
        <v>3010</v>
      </c>
      <c r="K266" s="136" t="s">
        <v>5542</v>
      </c>
      <c r="L266" s="467" t="s">
        <v>5521</v>
      </c>
      <c r="M266" s="463">
        <v>2</v>
      </c>
      <c r="N266" s="462"/>
      <c r="O266" s="438" t="s">
        <v>5557</v>
      </c>
      <c r="P266" s="571"/>
    </row>
    <row r="267" spans="1:16" s="17" customFormat="1" ht="33" customHeight="1">
      <c r="A267" s="431"/>
      <c r="B267" s="127">
        <v>46132</v>
      </c>
      <c r="C267" s="3" t="s">
        <v>113</v>
      </c>
      <c r="D267" s="3" t="s">
        <v>14</v>
      </c>
      <c r="E267" s="462" t="s">
        <v>1787</v>
      </c>
      <c r="F267" s="462" t="s">
        <v>2135</v>
      </c>
      <c r="G267" s="467" t="s">
        <v>143</v>
      </c>
      <c r="H267" s="461" t="s">
        <v>5561</v>
      </c>
      <c r="I267" s="462" t="s">
        <v>5577</v>
      </c>
      <c r="J267" s="461"/>
      <c r="K267" s="136" t="s">
        <v>15</v>
      </c>
      <c r="L267" s="467" t="s">
        <v>33</v>
      </c>
      <c r="M267" s="463">
        <v>1</v>
      </c>
      <c r="N267" s="31"/>
      <c r="O267" s="438"/>
      <c r="P267" s="571"/>
    </row>
    <row r="268" spans="1:16" s="17" customFormat="1" ht="33" customHeight="1">
      <c r="A268" s="431"/>
      <c r="B268" s="198">
        <v>46133</v>
      </c>
      <c r="C268" s="3" t="s">
        <v>138</v>
      </c>
      <c r="D268" s="3" t="s">
        <v>14</v>
      </c>
      <c r="E268" s="462" t="s">
        <v>1787</v>
      </c>
      <c r="F268" s="462" t="s">
        <v>2817</v>
      </c>
      <c r="G268" s="467" t="s">
        <v>142</v>
      </c>
      <c r="H268" s="461" t="s">
        <v>5259</v>
      </c>
      <c r="I268" s="461" t="s">
        <v>90</v>
      </c>
      <c r="J268" s="461" t="s">
        <v>5562</v>
      </c>
      <c r="K268" s="136" t="s">
        <v>105</v>
      </c>
      <c r="L268" s="467" t="s">
        <v>33</v>
      </c>
      <c r="M268" s="463">
        <v>7</v>
      </c>
      <c r="N268" s="429"/>
      <c r="O268" s="444" t="s">
        <v>5576</v>
      </c>
      <c r="P268" s="571"/>
    </row>
    <row r="269" spans="1:16" s="17" customFormat="1" ht="33" customHeight="1">
      <c r="A269" s="431"/>
      <c r="B269" s="198">
        <v>46134</v>
      </c>
      <c r="C269" s="3" t="s">
        <v>138</v>
      </c>
      <c r="D269" s="3" t="s">
        <v>14</v>
      </c>
      <c r="E269" s="462" t="s">
        <v>1787</v>
      </c>
      <c r="F269" s="462" t="s">
        <v>5553</v>
      </c>
      <c r="G269" s="467" t="s">
        <v>142</v>
      </c>
      <c r="H269" s="461" t="s">
        <v>5481</v>
      </c>
      <c r="I269" s="461" t="s">
        <v>90</v>
      </c>
      <c r="J269" s="461" t="s">
        <v>5562</v>
      </c>
      <c r="K269" s="136" t="s">
        <v>15</v>
      </c>
      <c r="L269" s="467" t="s">
        <v>33</v>
      </c>
      <c r="M269" s="463">
        <v>7</v>
      </c>
      <c r="N269" s="193" t="s">
        <v>5596</v>
      </c>
      <c r="O269" s="444"/>
      <c r="P269" s="571"/>
    </row>
    <row r="270" spans="1:16" s="17" customFormat="1" ht="33" customHeight="1">
      <c r="A270" s="431"/>
      <c r="B270" s="198">
        <v>46135</v>
      </c>
      <c r="C270" s="3" t="s">
        <v>138</v>
      </c>
      <c r="D270" s="3" t="s">
        <v>14</v>
      </c>
      <c r="E270" s="462" t="s">
        <v>1787</v>
      </c>
      <c r="F270" s="462" t="s">
        <v>5553</v>
      </c>
      <c r="G270" s="467" t="s">
        <v>142</v>
      </c>
      <c r="H270" s="461" t="s">
        <v>5292</v>
      </c>
      <c r="I270" s="461" t="s">
        <v>90</v>
      </c>
      <c r="J270" s="461" t="s">
        <v>5284</v>
      </c>
      <c r="K270" s="136" t="s">
        <v>105</v>
      </c>
      <c r="L270" s="467" t="s">
        <v>33</v>
      </c>
      <c r="M270" s="463">
        <v>4</v>
      </c>
      <c r="N270" s="429"/>
      <c r="O270" s="444" t="s">
        <v>5563</v>
      </c>
      <c r="P270" s="571"/>
    </row>
    <row r="271" spans="1:16" s="17" customFormat="1" ht="33" customHeight="1">
      <c r="A271" s="431"/>
      <c r="B271" s="127">
        <v>46135</v>
      </c>
      <c r="C271" s="3" t="s">
        <v>21</v>
      </c>
      <c r="D271" s="3" t="s">
        <v>14</v>
      </c>
      <c r="E271" s="462" t="s">
        <v>1893</v>
      </c>
      <c r="F271" s="462" t="s">
        <v>4939</v>
      </c>
      <c r="G271" s="467" t="s">
        <v>5477</v>
      </c>
      <c r="H271" s="461" t="s">
        <v>5296</v>
      </c>
      <c r="I271" s="461"/>
      <c r="J271" s="461" t="s">
        <v>3282</v>
      </c>
      <c r="K271" s="136" t="s">
        <v>15</v>
      </c>
      <c r="L271" s="570">
        <v>9080</v>
      </c>
      <c r="M271" s="463">
        <v>3</v>
      </c>
      <c r="N271" s="31"/>
      <c r="O271" s="596"/>
      <c r="P271" s="571"/>
    </row>
    <row r="272" spans="1:16" s="17" customFormat="1" ht="33" customHeight="1">
      <c r="A272" s="431"/>
      <c r="B272" s="127">
        <v>46135</v>
      </c>
      <c r="C272" s="3" t="s">
        <v>5578</v>
      </c>
      <c r="D272" s="3" t="s">
        <v>14</v>
      </c>
      <c r="E272" s="462" t="s">
        <v>5579</v>
      </c>
      <c r="F272" s="462" t="s">
        <v>5580</v>
      </c>
      <c r="G272" s="467" t="s">
        <v>142</v>
      </c>
      <c r="H272" s="461" t="s">
        <v>5581</v>
      </c>
      <c r="I272" s="462"/>
      <c r="J272" s="461" t="s">
        <v>5589</v>
      </c>
      <c r="K272" s="136" t="s">
        <v>15</v>
      </c>
      <c r="L272" s="467">
        <v>9080</v>
      </c>
      <c r="M272" s="463">
        <v>2</v>
      </c>
      <c r="N272" s="31"/>
      <c r="O272" s="444" t="s">
        <v>5592</v>
      </c>
      <c r="P272" s="571"/>
    </row>
    <row r="273" spans="1:16" s="17" customFormat="1" ht="33" customHeight="1">
      <c r="A273" s="431"/>
      <c r="B273" s="198">
        <v>46136</v>
      </c>
      <c r="C273" s="3" t="s">
        <v>138</v>
      </c>
      <c r="D273" s="3" t="s">
        <v>14</v>
      </c>
      <c r="E273" s="462" t="s">
        <v>1787</v>
      </c>
      <c r="F273" s="462" t="s">
        <v>2817</v>
      </c>
      <c r="G273" s="467" t="s">
        <v>142</v>
      </c>
      <c r="H273" s="461" t="s">
        <v>5292</v>
      </c>
      <c r="I273" s="461"/>
      <c r="J273" s="461" t="s">
        <v>5284</v>
      </c>
      <c r="K273" s="136" t="s">
        <v>15</v>
      </c>
      <c r="L273" s="467" t="s">
        <v>33</v>
      </c>
      <c r="M273" s="463">
        <v>3</v>
      </c>
      <c r="N273" s="31"/>
      <c r="O273" s="444"/>
      <c r="P273" s="571"/>
    </row>
    <row r="274" spans="1:16" s="17" customFormat="1" ht="33" customHeight="1">
      <c r="A274" s="431"/>
      <c r="B274" s="198">
        <v>46136</v>
      </c>
      <c r="C274" s="3" t="s">
        <v>21</v>
      </c>
      <c r="D274" s="3" t="s">
        <v>14</v>
      </c>
      <c r="E274" s="462" t="s">
        <v>107</v>
      </c>
      <c r="F274" s="462" t="s">
        <v>1968</v>
      </c>
      <c r="G274" s="467" t="s">
        <v>142</v>
      </c>
      <c r="H274" s="461" t="s">
        <v>5397</v>
      </c>
      <c r="I274" s="462" t="s">
        <v>90</v>
      </c>
      <c r="J274" s="462" t="s">
        <v>5595</v>
      </c>
      <c r="K274" s="136" t="s">
        <v>15</v>
      </c>
      <c r="L274" s="467" t="s">
        <v>33</v>
      </c>
      <c r="M274" s="463">
        <v>2</v>
      </c>
      <c r="N274" s="31" t="s">
        <v>5492</v>
      </c>
      <c r="O274" s="444" t="s">
        <v>5592</v>
      </c>
      <c r="P274" s="571"/>
    </row>
    <row r="275" spans="1:16" s="17" customFormat="1" ht="33" customHeight="1">
      <c r="A275" s="431"/>
      <c r="B275" s="127">
        <v>46136</v>
      </c>
      <c r="C275" s="3" t="s">
        <v>21</v>
      </c>
      <c r="D275" s="3" t="s">
        <v>30</v>
      </c>
      <c r="E275" s="462" t="s">
        <v>107</v>
      </c>
      <c r="F275" s="462" t="s">
        <v>1968</v>
      </c>
      <c r="G275" s="467" t="s">
        <v>376</v>
      </c>
      <c r="H275" s="461" t="s">
        <v>5397</v>
      </c>
      <c r="I275" s="462" t="s">
        <v>1277</v>
      </c>
      <c r="J275" s="462" t="s">
        <v>5590</v>
      </c>
      <c r="K275" s="136" t="s">
        <v>15</v>
      </c>
      <c r="L275" s="467" t="s">
        <v>5398</v>
      </c>
      <c r="M275" s="463">
        <v>2</v>
      </c>
      <c r="N275" s="31" t="s">
        <v>5598</v>
      </c>
      <c r="O275" s="444" t="s">
        <v>5591</v>
      </c>
      <c r="P275" s="571"/>
    </row>
    <row r="276" spans="1:16" s="17" customFormat="1" ht="33" customHeight="1">
      <c r="A276" s="431"/>
      <c r="B276" s="400">
        <v>46137</v>
      </c>
      <c r="C276" s="3" t="s">
        <v>138</v>
      </c>
      <c r="D276" s="3" t="s">
        <v>14</v>
      </c>
      <c r="E276" s="462" t="s">
        <v>1787</v>
      </c>
      <c r="F276" s="462" t="s">
        <v>2817</v>
      </c>
      <c r="G276" s="467" t="s">
        <v>142</v>
      </c>
      <c r="H276" s="461" t="s">
        <v>5292</v>
      </c>
      <c r="I276" s="461"/>
      <c r="J276" s="461" t="s">
        <v>5284</v>
      </c>
      <c r="K276" s="136" t="s">
        <v>15</v>
      </c>
      <c r="L276" s="467" t="s">
        <v>5610</v>
      </c>
      <c r="M276" s="463">
        <v>3</v>
      </c>
      <c r="N276" s="31"/>
      <c r="O276" s="444" t="s">
        <v>5611</v>
      </c>
      <c r="P276" s="571"/>
    </row>
    <row r="277" spans="1:16" s="17" customFormat="1" ht="33" customHeight="1">
      <c r="A277" s="432"/>
      <c r="B277" s="400">
        <v>46137</v>
      </c>
      <c r="C277" s="3" t="s">
        <v>21</v>
      </c>
      <c r="D277" s="3" t="s">
        <v>14</v>
      </c>
      <c r="E277" s="462" t="s">
        <v>107</v>
      </c>
      <c r="F277" s="462" t="s">
        <v>1968</v>
      </c>
      <c r="G277" s="467" t="s">
        <v>142</v>
      </c>
      <c r="H277" s="461" t="s">
        <v>5581</v>
      </c>
      <c r="I277" s="462" t="s">
        <v>5608</v>
      </c>
      <c r="J277" s="461" t="s">
        <v>5284</v>
      </c>
      <c r="K277" s="136" t="s">
        <v>15</v>
      </c>
      <c r="L277" s="467" t="s">
        <v>5612</v>
      </c>
      <c r="M277" s="463">
        <v>4</v>
      </c>
      <c r="N277" s="31"/>
      <c r="O277" s="444" t="s">
        <v>5609</v>
      </c>
      <c r="P277" s="571"/>
    </row>
    <row r="278" spans="1:16" s="17" customFormat="1" ht="33" customHeight="1">
      <c r="A278" s="433" t="s">
        <v>0</v>
      </c>
      <c r="B278" s="324" t="s">
        <v>1</v>
      </c>
      <c r="C278" s="323" t="s">
        <v>2</v>
      </c>
      <c r="D278" s="323" t="s">
        <v>3</v>
      </c>
      <c r="E278" s="323" t="s">
        <v>4</v>
      </c>
      <c r="F278" s="323" t="s">
        <v>5</v>
      </c>
      <c r="G278" s="323" t="s">
        <v>6</v>
      </c>
      <c r="H278" s="325" t="s">
        <v>7</v>
      </c>
      <c r="I278" s="323" t="s">
        <v>8</v>
      </c>
      <c r="J278" s="323" t="s">
        <v>9</v>
      </c>
      <c r="K278" s="326" t="s">
        <v>10</v>
      </c>
      <c r="L278" s="327" t="s">
        <v>11</v>
      </c>
      <c r="M278" s="323" t="s">
        <v>12</v>
      </c>
      <c r="N278" s="328" t="s">
        <v>13</v>
      </c>
      <c r="O278" s="434" t="s">
        <v>63</v>
      </c>
      <c r="P278" s="434" t="s">
        <v>5411</v>
      </c>
    </row>
    <row r="279" spans="1:16" s="17" customFormat="1" ht="33" customHeight="1">
      <c r="A279" s="430" t="s">
        <v>4499</v>
      </c>
      <c r="B279" s="370">
        <v>46139</v>
      </c>
      <c r="C279" s="3" t="s">
        <v>21</v>
      </c>
      <c r="D279" s="3" t="s">
        <v>14</v>
      </c>
      <c r="E279" s="462" t="s">
        <v>1893</v>
      </c>
      <c r="F279" s="462" t="s">
        <v>4939</v>
      </c>
      <c r="G279" s="467" t="s">
        <v>5477</v>
      </c>
      <c r="H279" s="461" t="s">
        <v>5296</v>
      </c>
      <c r="I279" s="461"/>
      <c r="J279" s="461" t="s">
        <v>506</v>
      </c>
      <c r="K279" s="136" t="s">
        <v>15</v>
      </c>
      <c r="L279" s="570">
        <v>9080</v>
      </c>
      <c r="M279" s="463">
        <v>3</v>
      </c>
      <c r="N279" s="193" t="s">
        <v>5607</v>
      </c>
      <c r="O279" s="441"/>
      <c r="P279" s="571"/>
    </row>
    <row r="280" spans="1:16" s="17" customFormat="1" ht="33" customHeight="1">
      <c r="A280" s="431"/>
      <c r="B280" s="370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62" t="s">
        <v>2828</v>
      </c>
      <c r="K280" s="125" t="s">
        <v>15</v>
      </c>
      <c r="L280" s="467" t="s">
        <v>33</v>
      </c>
      <c r="M280" s="8">
        <v>2</v>
      </c>
      <c r="N280" s="429"/>
      <c r="O280" s="444" t="s">
        <v>5603</v>
      </c>
      <c r="P280" s="571"/>
    </row>
    <row r="281" spans="1:16" s="17" customFormat="1" ht="33" customHeight="1">
      <c r="A281" s="431"/>
      <c r="B281" s="370">
        <v>46140</v>
      </c>
      <c r="C281" s="3" t="s">
        <v>21</v>
      </c>
      <c r="D281" s="3" t="s">
        <v>14</v>
      </c>
      <c r="E281" s="462" t="s">
        <v>1893</v>
      </c>
      <c r="F281" s="462" t="s">
        <v>4939</v>
      </c>
      <c r="G281" s="467" t="s">
        <v>5477</v>
      </c>
      <c r="H281" s="461" t="s">
        <v>5296</v>
      </c>
      <c r="I281" s="461"/>
      <c r="J281" s="461" t="s">
        <v>506</v>
      </c>
      <c r="K281" s="136" t="s">
        <v>15</v>
      </c>
      <c r="L281" s="570">
        <v>9080</v>
      </c>
      <c r="M281" s="463">
        <v>3</v>
      </c>
      <c r="N281" s="31"/>
      <c r="O281" s="444"/>
      <c r="P281" s="571"/>
    </row>
    <row r="282" spans="1:16" s="17" customFormat="1" ht="33" customHeight="1">
      <c r="A282" s="431"/>
      <c r="B282" s="370">
        <v>46140</v>
      </c>
      <c r="C282" s="4" t="s">
        <v>21</v>
      </c>
      <c r="D282" s="4" t="s">
        <v>14</v>
      </c>
      <c r="E282" s="607" t="s">
        <v>78</v>
      </c>
      <c r="F282" s="611" t="s">
        <v>3008</v>
      </c>
      <c r="G282" s="16" t="s">
        <v>1382</v>
      </c>
      <c r="H282" s="611" t="s">
        <v>5438</v>
      </c>
      <c r="I282" s="607" t="s">
        <v>202</v>
      </c>
      <c r="J282" s="607" t="s">
        <v>5623</v>
      </c>
      <c r="K282" s="125" t="s">
        <v>15</v>
      </c>
      <c r="L282" s="16" t="s">
        <v>4550</v>
      </c>
      <c r="M282" s="8">
        <v>2</v>
      </c>
      <c r="N282" s="607"/>
      <c r="O282" s="444" t="s">
        <v>5624</v>
      </c>
      <c r="P282" s="571"/>
    </row>
    <row r="283" spans="1:16" s="17" customFormat="1" ht="33" customHeight="1">
      <c r="A283" s="431"/>
      <c r="B283" s="370">
        <v>46141</v>
      </c>
      <c r="C283" s="3" t="s">
        <v>21</v>
      </c>
      <c r="D283" s="3" t="s">
        <v>14</v>
      </c>
      <c r="E283" s="462" t="s">
        <v>1893</v>
      </c>
      <c r="F283" s="462" t="s">
        <v>4939</v>
      </c>
      <c r="G283" s="467" t="s">
        <v>5477</v>
      </c>
      <c r="H283" s="461" t="s">
        <v>5296</v>
      </c>
      <c r="I283" s="461"/>
      <c r="J283" s="461" t="s">
        <v>506</v>
      </c>
      <c r="K283" s="136" t="s">
        <v>15</v>
      </c>
      <c r="L283" s="570">
        <v>9080</v>
      </c>
      <c r="M283" s="463">
        <v>3</v>
      </c>
      <c r="N283" s="607" t="s">
        <v>5649</v>
      </c>
      <c r="O283" s="444"/>
      <c r="P283" s="571"/>
    </row>
    <row r="284" spans="1:16" s="17" customFormat="1" ht="33" customHeight="1">
      <c r="A284" s="431"/>
      <c r="B284" s="400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13" t="s">
        <v>4665</v>
      </c>
      <c r="O284" s="444" t="s">
        <v>5645</v>
      </c>
      <c r="P284" s="571"/>
    </row>
    <row r="285" spans="1:16" s="17" customFormat="1" ht="33" customHeight="1">
      <c r="A285" s="431"/>
      <c r="B285" s="370">
        <v>46142</v>
      </c>
      <c r="C285" s="3" t="s">
        <v>5638</v>
      </c>
      <c r="D285" s="3" t="s">
        <v>5639</v>
      </c>
      <c r="E285" s="462" t="s">
        <v>5640</v>
      </c>
      <c r="F285" s="462" t="s">
        <v>5641</v>
      </c>
      <c r="G285" s="467" t="s">
        <v>5642</v>
      </c>
      <c r="H285" s="461" t="s">
        <v>481</v>
      </c>
      <c r="I285" s="462" t="s">
        <v>5643</v>
      </c>
      <c r="J285" s="461" t="s">
        <v>5644</v>
      </c>
      <c r="K285" s="136" t="s">
        <v>5634</v>
      </c>
      <c r="L285" s="467">
        <v>9080</v>
      </c>
      <c r="M285" s="463">
        <v>3</v>
      </c>
      <c r="N285" s="429"/>
      <c r="O285" s="596" t="s">
        <v>5648</v>
      </c>
      <c r="P285" s="571"/>
    </row>
    <row r="286" spans="1:16" s="17" customFormat="1" ht="33" customHeight="1">
      <c r="A286" s="431"/>
      <c r="B286" s="370">
        <v>46142</v>
      </c>
      <c r="C286" s="3" t="s">
        <v>21</v>
      </c>
      <c r="D286" s="3" t="s">
        <v>14</v>
      </c>
      <c r="E286" s="462" t="s">
        <v>1893</v>
      </c>
      <c r="F286" s="462" t="s">
        <v>4939</v>
      </c>
      <c r="G286" s="467" t="s">
        <v>5477</v>
      </c>
      <c r="H286" s="461" t="s">
        <v>5296</v>
      </c>
      <c r="I286" s="461"/>
      <c r="J286" s="461" t="s">
        <v>506</v>
      </c>
      <c r="K286" s="136" t="s">
        <v>15</v>
      </c>
      <c r="L286" s="570">
        <v>9080</v>
      </c>
      <c r="M286" s="463">
        <v>3</v>
      </c>
      <c r="N286" s="31"/>
      <c r="O286" s="596"/>
      <c r="P286" s="571"/>
    </row>
    <row r="287" spans="1:16" s="17" customFormat="1" ht="33" customHeight="1">
      <c r="A287" s="431"/>
      <c r="B287" s="370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44"/>
      <c r="P287" s="571"/>
    </row>
    <row r="288" spans="1:16" s="17" customFormat="1" ht="33" customHeight="1">
      <c r="A288" s="431"/>
      <c r="B288" s="370">
        <v>46142</v>
      </c>
      <c r="C288" s="4"/>
      <c r="D288" s="4"/>
      <c r="E288" s="607"/>
      <c r="F288" s="607"/>
      <c r="G288" s="16"/>
      <c r="H288" s="619" t="s">
        <v>5635</v>
      </c>
      <c r="I288" s="607"/>
      <c r="J288" s="611"/>
      <c r="K288" s="125"/>
      <c r="L288" s="16"/>
      <c r="M288" s="8"/>
      <c r="N288" s="607"/>
      <c r="O288" s="444"/>
      <c r="P288" s="571"/>
    </row>
    <row r="289" spans="1:16" s="17" customFormat="1" ht="33" customHeight="1">
      <c r="A289" s="431"/>
      <c r="B289" s="400">
        <v>46143</v>
      </c>
      <c r="C289" s="4"/>
      <c r="D289" s="4"/>
      <c r="E289" s="31"/>
      <c r="F289" s="31"/>
      <c r="G289" s="16"/>
      <c r="H289" s="408" t="s">
        <v>5271</v>
      </c>
      <c r="I289" s="31"/>
      <c r="J289" s="31"/>
      <c r="K289" s="125"/>
      <c r="L289" s="16"/>
      <c r="M289" s="8"/>
      <c r="N289" s="31"/>
      <c r="O289" s="444"/>
      <c r="P289" s="571"/>
    </row>
    <row r="290" spans="1:16" s="17" customFormat="1" ht="33" customHeight="1">
      <c r="A290" s="432"/>
      <c r="B290" s="400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96"/>
      <c r="P290" s="571"/>
    </row>
    <row r="291" spans="1:16" s="17" customFormat="1" ht="33" customHeight="1">
      <c r="A291" s="433" t="s">
        <v>0</v>
      </c>
      <c r="B291" s="324" t="s">
        <v>1</v>
      </c>
      <c r="C291" s="323" t="s">
        <v>2</v>
      </c>
      <c r="D291" s="323" t="s">
        <v>3</v>
      </c>
      <c r="E291" s="323" t="s">
        <v>4</v>
      </c>
      <c r="F291" s="323" t="s">
        <v>5</v>
      </c>
      <c r="G291" s="323" t="s">
        <v>6</v>
      </c>
      <c r="H291" s="325" t="s">
        <v>7</v>
      </c>
      <c r="I291" s="323" t="s">
        <v>8</v>
      </c>
      <c r="J291" s="323" t="s">
        <v>9</v>
      </c>
      <c r="K291" s="326" t="s">
        <v>10</v>
      </c>
      <c r="L291" s="327" t="s">
        <v>11</v>
      </c>
      <c r="M291" s="323" t="s">
        <v>12</v>
      </c>
      <c r="N291" s="328" t="s">
        <v>13</v>
      </c>
      <c r="O291" s="434" t="s">
        <v>63</v>
      </c>
      <c r="P291" s="434" t="s">
        <v>5411</v>
      </c>
    </row>
    <row r="292" spans="1:16" s="17" customFormat="1" ht="33" customHeight="1">
      <c r="A292" s="430" t="s">
        <v>4500</v>
      </c>
      <c r="B292" s="370">
        <v>46146</v>
      </c>
      <c r="C292" s="4"/>
      <c r="D292" s="4"/>
      <c r="E292" s="31"/>
      <c r="F292" s="193"/>
      <c r="G292" s="16"/>
      <c r="H292" s="408" t="s">
        <v>5620</v>
      </c>
      <c r="I292" s="31"/>
      <c r="J292" s="31"/>
      <c r="K292" s="125"/>
      <c r="L292" s="16"/>
      <c r="M292" s="8"/>
      <c r="N292" s="31"/>
      <c r="O292" s="438"/>
      <c r="P292" s="571"/>
    </row>
    <row r="293" spans="1:16" s="17" customFormat="1" ht="33" customHeight="1">
      <c r="A293" s="431"/>
      <c r="B293" s="370">
        <v>46146</v>
      </c>
      <c r="C293" s="4" t="s">
        <v>113</v>
      </c>
      <c r="D293" s="4" t="s">
        <v>550</v>
      </c>
      <c r="E293" s="613" t="s">
        <v>5632</v>
      </c>
      <c r="F293" s="614" t="s">
        <v>5652</v>
      </c>
      <c r="G293" s="16" t="s">
        <v>106</v>
      </c>
      <c r="H293" s="614" t="s">
        <v>5633</v>
      </c>
      <c r="I293" s="613"/>
      <c r="J293" s="614" t="s">
        <v>3075</v>
      </c>
      <c r="K293" s="125" t="s">
        <v>181</v>
      </c>
      <c r="L293" s="16" t="s">
        <v>4550</v>
      </c>
      <c r="M293" s="8">
        <v>1</v>
      </c>
      <c r="N293" s="613"/>
      <c r="O293" s="438" t="s">
        <v>5662</v>
      </c>
      <c r="P293" s="571"/>
    </row>
    <row r="294" spans="1:16" s="17" customFormat="1" ht="33" customHeight="1">
      <c r="A294" s="431"/>
      <c r="B294" s="400">
        <v>46147</v>
      </c>
      <c r="C294" s="4"/>
      <c r="D294" s="4"/>
      <c r="E294" s="31"/>
      <c r="F294" s="31"/>
      <c r="G294" s="16"/>
      <c r="H294" s="408" t="s">
        <v>4753</v>
      </c>
      <c r="I294" s="31"/>
      <c r="J294" s="193"/>
      <c r="K294" s="125"/>
      <c r="L294" s="16"/>
      <c r="M294" s="8"/>
      <c r="N294" s="429"/>
      <c r="O294" s="437"/>
      <c r="P294" s="571"/>
    </row>
    <row r="295" spans="1:16" s="17" customFormat="1" ht="33" customHeight="1">
      <c r="A295" s="431"/>
      <c r="B295" s="370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13" t="s">
        <v>4665</v>
      </c>
      <c r="O295" s="444"/>
      <c r="P295" s="571"/>
    </row>
    <row r="296" spans="1:16" s="17" customFormat="1" ht="33" customHeight="1">
      <c r="A296" s="431"/>
      <c r="B296" s="400">
        <v>46148</v>
      </c>
      <c r="C296" s="3" t="s">
        <v>21</v>
      </c>
      <c r="D296" s="3" t="s">
        <v>14</v>
      </c>
      <c r="E296" s="462" t="s">
        <v>1893</v>
      </c>
      <c r="F296" s="462" t="s">
        <v>4939</v>
      </c>
      <c r="G296" s="467" t="s">
        <v>5477</v>
      </c>
      <c r="H296" s="461" t="s">
        <v>5296</v>
      </c>
      <c r="I296" s="461" t="s">
        <v>5659</v>
      </c>
      <c r="J296" s="461" t="s">
        <v>5660</v>
      </c>
      <c r="K296" s="136" t="s">
        <v>15</v>
      </c>
      <c r="L296" s="570" t="s">
        <v>5661</v>
      </c>
      <c r="M296" s="463">
        <v>5</v>
      </c>
      <c r="N296" s="31"/>
      <c r="O296" s="439"/>
      <c r="P296" s="571"/>
    </row>
    <row r="297" spans="1:16" s="17" customFormat="1" ht="33" customHeight="1">
      <c r="A297" s="431"/>
      <c r="B297" s="400">
        <v>46148</v>
      </c>
      <c r="C297" s="3" t="s">
        <v>21</v>
      </c>
      <c r="D297" s="3" t="s">
        <v>14</v>
      </c>
      <c r="E297" s="481" t="s">
        <v>107</v>
      </c>
      <c r="F297" s="462" t="s">
        <v>2959</v>
      </c>
      <c r="G297" s="467" t="s">
        <v>143</v>
      </c>
      <c r="H297" s="461" t="s">
        <v>5570</v>
      </c>
      <c r="I297" s="462" t="s">
        <v>5637</v>
      </c>
      <c r="J297" s="462" t="s">
        <v>5606</v>
      </c>
      <c r="K297" s="136" t="s">
        <v>15</v>
      </c>
      <c r="L297" s="467" t="s">
        <v>4550</v>
      </c>
      <c r="M297" s="463">
        <v>3</v>
      </c>
      <c r="N297" s="31"/>
      <c r="O297" s="439" t="s">
        <v>5647</v>
      </c>
      <c r="P297" s="571"/>
    </row>
    <row r="298" spans="1:16" s="17" customFormat="1" ht="33" customHeight="1">
      <c r="A298" s="431"/>
      <c r="B298" s="400">
        <v>46149</v>
      </c>
      <c r="C298" s="3" t="s">
        <v>21</v>
      </c>
      <c r="D298" s="3" t="s">
        <v>14</v>
      </c>
      <c r="E298" s="462" t="s">
        <v>107</v>
      </c>
      <c r="F298" s="462" t="s">
        <v>3386</v>
      </c>
      <c r="G298" s="467" t="s">
        <v>23</v>
      </c>
      <c r="H298" s="461" t="s">
        <v>5588</v>
      </c>
      <c r="I298" s="462" t="s">
        <v>5636</v>
      </c>
      <c r="J298" s="462"/>
      <c r="K298" s="136" t="s">
        <v>15</v>
      </c>
      <c r="L298" s="467" t="s">
        <v>33</v>
      </c>
      <c r="M298" s="463">
        <v>2</v>
      </c>
      <c r="N298" s="31"/>
      <c r="O298" s="596" t="s">
        <v>5646</v>
      </c>
      <c r="P298" s="571"/>
    </row>
    <row r="299" spans="1:16" s="17" customFormat="1" ht="33" customHeight="1">
      <c r="A299" s="431"/>
      <c r="B299" s="370">
        <v>46149</v>
      </c>
      <c r="C299" s="3" t="s">
        <v>21</v>
      </c>
      <c r="D299" s="3" t="s">
        <v>14</v>
      </c>
      <c r="E299" s="481" t="s">
        <v>107</v>
      </c>
      <c r="F299" s="462" t="s">
        <v>2959</v>
      </c>
      <c r="G299" s="467" t="s">
        <v>143</v>
      </c>
      <c r="H299" s="461" t="s">
        <v>5570</v>
      </c>
      <c r="I299" s="462" t="s">
        <v>5637</v>
      </c>
      <c r="J299" s="462" t="s">
        <v>5606</v>
      </c>
      <c r="K299" s="136" t="s">
        <v>15</v>
      </c>
      <c r="L299" s="467" t="s">
        <v>4550</v>
      </c>
      <c r="M299" s="463">
        <v>3</v>
      </c>
      <c r="N299" s="31"/>
      <c r="O299" s="596"/>
      <c r="P299" s="571"/>
    </row>
    <row r="300" spans="1:16" s="17" customFormat="1" ht="33" customHeight="1">
      <c r="A300" s="431"/>
      <c r="B300" s="370">
        <v>46149</v>
      </c>
      <c r="C300" s="3" t="s">
        <v>21</v>
      </c>
      <c r="D300" s="3" t="s">
        <v>14</v>
      </c>
      <c r="E300" s="462" t="s">
        <v>1893</v>
      </c>
      <c r="F300" s="462" t="s">
        <v>4939</v>
      </c>
      <c r="G300" s="467" t="s">
        <v>5477</v>
      </c>
      <c r="H300" s="461" t="s">
        <v>5296</v>
      </c>
      <c r="I300" s="461"/>
      <c r="J300" s="461" t="s">
        <v>5695</v>
      </c>
      <c r="K300" s="136" t="s">
        <v>15</v>
      </c>
      <c r="L300" s="570">
        <v>9080</v>
      </c>
      <c r="M300" s="463">
        <v>3</v>
      </c>
      <c r="N300" s="607"/>
      <c r="O300" s="596"/>
      <c r="P300" s="571"/>
    </row>
    <row r="301" spans="1:16" s="17" customFormat="1" ht="33" customHeight="1">
      <c r="A301" s="431"/>
      <c r="B301" s="370">
        <v>46150</v>
      </c>
      <c r="C301" s="3" t="s">
        <v>21</v>
      </c>
      <c r="D301" s="3" t="s">
        <v>14</v>
      </c>
      <c r="E301" s="462" t="s">
        <v>1893</v>
      </c>
      <c r="F301" s="462" t="s">
        <v>4939</v>
      </c>
      <c r="G301" s="467" t="s">
        <v>5477</v>
      </c>
      <c r="H301" s="461" t="s">
        <v>5296</v>
      </c>
      <c r="I301" s="461"/>
      <c r="J301" s="461" t="s">
        <v>506</v>
      </c>
      <c r="K301" s="136" t="s">
        <v>15</v>
      </c>
      <c r="L301" s="570">
        <v>9080</v>
      </c>
      <c r="M301" s="463">
        <v>3</v>
      </c>
      <c r="N301" s="666" t="s">
        <v>5621</v>
      </c>
      <c r="O301" s="444"/>
      <c r="P301" s="571"/>
    </row>
    <row r="302" spans="1:16" s="17" customFormat="1" ht="33" customHeight="1">
      <c r="A302" s="431"/>
      <c r="B302" s="370">
        <v>46150</v>
      </c>
      <c r="C302" s="4" t="s">
        <v>21</v>
      </c>
      <c r="D302" s="4" t="s">
        <v>14</v>
      </c>
      <c r="E302" s="607" t="s">
        <v>1787</v>
      </c>
      <c r="F302" s="607" t="s">
        <v>2978</v>
      </c>
      <c r="G302" s="16" t="s">
        <v>143</v>
      </c>
      <c r="H302" s="611" t="s">
        <v>900</v>
      </c>
      <c r="I302" s="607" t="s">
        <v>120</v>
      </c>
      <c r="J302" s="611"/>
      <c r="K302" s="125"/>
      <c r="L302" s="16" t="s">
        <v>4379</v>
      </c>
      <c r="M302" s="8">
        <v>1</v>
      </c>
      <c r="N302" s="607"/>
      <c r="O302" s="444"/>
      <c r="P302" s="571"/>
    </row>
    <row r="303" spans="1:16" s="17" customFormat="1" ht="33" customHeight="1">
      <c r="A303" s="431"/>
      <c r="B303" s="370">
        <v>46150</v>
      </c>
      <c r="C303" s="4" t="s">
        <v>21</v>
      </c>
      <c r="D303" s="4" t="s">
        <v>14</v>
      </c>
      <c r="E303" s="607" t="s">
        <v>1787</v>
      </c>
      <c r="F303" s="607" t="s">
        <v>2817</v>
      </c>
      <c r="G303" s="16" t="s">
        <v>67</v>
      </c>
      <c r="H303" s="611" t="s">
        <v>5674</v>
      </c>
      <c r="I303" s="623" t="s">
        <v>5673</v>
      </c>
      <c r="J303" s="611" t="s">
        <v>5672</v>
      </c>
      <c r="K303" s="125" t="s">
        <v>105</v>
      </c>
      <c r="L303" s="16" t="s">
        <v>4550</v>
      </c>
      <c r="M303" s="8">
        <v>3</v>
      </c>
      <c r="N303" s="607"/>
      <c r="O303" s="596"/>
      <c r="P303" s="571"/>
    </row>
    <row r="304" spans="1:16" s="17" customFormat="1" ht="33" customHeight="1">
      <c r="A304" s="431"/>
      <c r="B304" s="400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45"/>
      <c r="P304" s="571"/>
    </row>
    <row r="305" spans="1:16" s="17" customFormat="1" ht="33" customHeight="1">
      <c r="A305" s="432"/>
      <c r="B305" s="400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9"/>
      <c r="P305" s="571"/>
    </row>
    <row r="306" spans="1:16" s="17" customFormat="1" ht="33" customHeight="1">
      <c r="A306" s="433" t="s">
        <v>0</v>
      </c>
      <c r="B306" s="324" t="s">
        <v>1</v>
      </c>
      <c r="C306" s="323" t="s">
        <v>2</v>
      </c>
      <c r="D306" s="323" t="s">
        <v>3</v>
      </c>
      <c r="E306" s="323" t="s">
        <v>4</v>
      </c>
      <c r="F306" s="323" t="s">
        <v>5</v>
      </c>
      <c r="G306" s="323" t="s">
        <v>6</v>
      </c>
      <c r="H306" s="325" t="s">
        <v>7</v>
      </c>
      <c r="I306" s="323" t="s">
        <v>8</v>
      </c>
      <c r="J306" s="323" t="s">
        <v>9</v>
      </c>
      <c r="K306" s="326" t="s">
        <v>10</v>
      </c>
      <c r="L306" s="327" t="s">
        <v>11</v>
      </c>
      <c r="M306" s="323" t="s">
        <v>12</v>
      </c>
      <c r="N306" s="328" t="s">
        <v>13</v>
      </c>
      <c r="O306" s="434" t="s">
        <v>63</v>
      </c>
      <c r="P306" s="434" t="s">
        <v>5411</v>
      </c>
    </row>
    <row r="307" spans="1:16" s="17" customFormat="1" ht="33" customHeight="1">
      <c r="A307" s="430" t="s">
        <v>4501</v>
      </c>
      <c r="B307" s="400">
        <v>46153</v>
      </c>
      <c r="C307" s="3" t="s">
        <v>21</v>
      </c>
      <c r="D307" s="3" t="s">
        <v>14</v>
      </c>
      <c r="E307" s="462" t="s">
        <v>1893</v>
      </c>
      <c r="F307" s="462" t="s">
        <v>4939</v>
      </c>
      <c r="G307" s="467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8"/>
      <c r="P307" s="571"/>
    </row>
    <row r="308" spans="1:16" s="17" customFormat="1" ht="33" customHeight="1">
      <c r="A308" s="431"/>
      <c r="B308" s="400">
        <v>46153</v>
      </c>
      <c r="C308" s="3" t="s">
        <v>24</v>
      </c>
      <c r="D308" s="3" t="s">
        <v>14</v>
      </c>
      <c r="E308" s="462" t="s">
        <v>5707</v>
      </c>
      <c r="F308" s="462" t="s">
        <v>1968</v>
      </c>
      <c r="G308" s="467" t="s">
        <v>142</v>
      </c>
      <c r="H308" s="461" t="s">
        <v>5706</v>
      </c>
      <c r="I308" s="462" t="s">
        <v>5669</v>
      </c>
      <c r="J308" s="462" t="s">
        <v>3074</v>
      </c>
      <c r="K308" s="136" t="s">
        <v>5670</v>
      </c>
      <c r="L308" s="467" t="s">
        <v>4550</v>
      </c>
      <c r="M308" s="463">
        <v>2</v>
      </c>
      <c r="N308" s="461" t="s">
        <v>5739</v>
      </c>
      <c r="O308" s="465"/>
      <c r="P308" s="571"/>
    </row>
    <row r="309" spans="1:16" s="17" customFormat="1" ht="33" customHeight="1">
      <c r="A309" s="431"/>
      <c r="B309" s="370">
        <v>46154</v>
      </c>
      <c r="C309" s="3" t="s">
        <v>21</v>
      </c>
      <c r="D309" s="3" t="s">
        <v>14</v>
      </c>
      <c r="E309" s="462" t="s">
        <v>1787</v>
      </c>
      <c r="F309" s="461" t="s">
        <v>2978</v>
      </c>
      <c r="G309" s="467" t="s">
        <v>143</v>
      </c>
      <c r="H309" s="461" t="s">
        <v>5593</v>
      </c>
      <c r="I309" s="462" t="s">
        <v>5671</v>
      </c>
      <c r="J309" s="462"/>
      <c r="K309" s="136" t="s">
        <v>15</v>
      </c>
      <c r="L309" s="467" t="s">
        <v>33</v>
      </c>
      <c r="M309" s="463">
        <v>2</v>
      </c>
      <c r="N309" s="462"/>
      <c r="O309" s="700"/>
      <c r="P309" s="571"/>
    </row>
    <row r="310" spans="1:16" s="17" customFormat="1" ht="33" customHeight="1">
      <c r="A310" s="431"/>
      <c r="B310" s="370">
        <v>46154</v>
      </c>
      <c r="C310" s="3" t="s">
        <v>21</v>
      </c>
      <c r="D310" s="3" t="s">
        <v>14</v>
      </c>
      <c r="E310" s="462" t="s">
        <v>1893</v>
      </c>
      <c r="F310" s="462" t="s">
        <v>4939</v>
      </c>
      <c r="G310" s="467" t="s">
        <v>5711</v>
      </c>
      <c r="H310" s="625" t="s">
        <v>271</v>
      </c>
      <c r="I310" s="623" t="s">
        <v>202</v>
      </c>
      <c r="J310" s="623" t="s">
        <v>5710</v>
      </c>
      <c r="K310" s="125" t="s">
        <v>15</v>
      </c>
      <c r="L310" s="16">
        <v>9080</v>
      </c>
      <c r="M310" s="8">
        <v>4</v>
      </c>
      <c r="N310" s="462"/>
      <c r="O310" s="700"/>
      <c r="P310" s="571"/>
    </row>
    <row r="311" spans="1:16" s="17" customFormat="1" ht="33" customHeight="1">
      <c r="A311" s="431"/>
      <c r="B311" s="400">
        <v>46154</v>
      </c>
      <c r="C311" s="4"/>
      <c r="D311" s="4"/>
      <c r="E311" s="625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9"/>
      <c r="O311" s="437"/>
      <c r="P311" s="571"/>
    </row>
    <row r="312" spans="1:16" s="17" customFormat="1" ht="33" customHeight="1">
      <c r="A312" s="431"/>
      <c r="B312" s="370">
        <v>46155</v>
      </c>
      <c r="C312" s="3" t="s">
        <v>21</v>
      </c>
      <c r="D312" s="3" t="s">
        <v>14</v>
      </c>
      <c r="E312" s="462" t="s">
        <v>1893</v>
      </c>
      <c r="F312" s="462" t="s">
        <v>4939</v>
      </c>
      <c r="G312" s="467" t="s">
        <v>5711</v>
      </c>
      <c r="H312" s="625" t="s">
        <v>5774</v>
      </c>
      <c r="I312" s="623"/>
      <c r="J312" s="623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7"/>
      <c r="P312" s="571"/>
    </row>
    <row r="313" spans="1:16" s="17" customFormat="1" ht="33" customHeight="1">
      <c r="A313" s="431"/>
      <c r="B313" s="400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9"/>
      <c r="O313" s="437"/>
      <c r="P313" s="571"/>
    </row>
    <row r="314" spans="1:16" s="17" customFormat="1" ht="33" customHeight="1">
      <c r="A314" s="431"/>
      <c r="B314" s="400">
        <v>46156</v>
      </c>
      <c r="C314" s="3" t="s">
        <v>21</v>
      </c>
      <c r="D314" s="3" t="s">
        <v>14</v>
      </c>
      <c r="E314" s="462" t="s">
        <v>1893</v>
      </c>
      <c r="F314" s="462" t="s">
        <v>4939</v>
      </c>
      <c r="G314" s="467" t="s">
        <v>2193</v>
      </c>
      <c r="H314" s="668" t="s">
        <v>5772</v>
      </c>
      <c r="I314" s="667" t="s">
        <v>202</v>
      </c>
      <c r="J314" s="667" t="s">
        <v>5773</v>
      </c>
      <c r="K314" s="125" t="s">
        <v>15</v>
      </c>
      <c r="L314" s="16">
        <v>9080</v>
      </c>
      <c r="M314" s="8">
        <v>4</v>
      </c>
      <c r="N314" s="31"/>
      <c r="O314" s="439"/>
      <c r="P314" s="571"/>
    </row>
    <row r="315" spans="1:16" s="17" customFormat="1" ht="33" customHeight="1">
      <c r="A315" s="431"/>
      <c r="B315" s="370">
        <v>46157</v>
      </c>
      <c r="C315" s="3" t="s">
        <v>4506</v>
      </c>
      <c r="D315" s="3" t="s">
        <v>4507</v>
      </c>
      <c r="E315" s="461" t="s">
        <v>5696</v>
      </c>
      <c r="F315" s="466" t="s">
        <v>5730</v>
      </c>
      <c r="G315" s="467" t="s">
        <v>5697</v>
      </c>
      <c r="H315" s="461" t="s">
        <v>5698</v>
      </c>
      <c r="I315" s="461" t="s">
        <v>5731</v>
      </c>
      <c r="J315" s="461"/>
      <c r="K315" s="136" t="s">
        <v>4508</v>
      </c>
      <c r="L315" s="467" t="s">
        <v>5737</v>
      </c>
      <c r="M315" s="463">
        <v>2</v>
      </c>
      <c r="N315" s="462" t="s">
        <v>5709</v>
      </c>
      <c r="O315" s="469"/>
      <c r="P315" s="571"/>
    </row>
    <row r="316" spans="1:16" s="17" customFormat="1" ht="33" customHeight="1">
      <c r="A316" s="431"/>
      <c r="B316" s="370">
        <v>46157</v>
      </c>
      <c r="C316" s="3" t="s">
        <v>4506</v>
      </c>
      <c r="D316" s="3" t="s">
        <v>4507</v>
      </c>
      <c r="E316" s="461" t="s">
        <v>2130</v>
      </c>
      <c r="F316" s="466" t="s">
        <v>5756</v>
      </c>
      <c r="G316" s="467" t="s">
        <v>5758</v>
      </c>
      <c r="H316" s="461" t="s">
        <v>5757</v>
      </c>
      <c r="I316" s="462" t="s">
        <v>5742</v>
      </c>
      <c r="J316" s="461"/>
      <c r="K316" s="136" t="s">
        <v>4508</v>
      </c>
      <c r="L316" s="467" t="s">
        <v>5737</v>
      </c>
      <c r="M316" s="463">
        <v>1</v>
      </c>
      <c r="N316" s="462"/>
      <c r="O316" s="469"/>
      <c r="P316" s="571"/>
    </row>
    <row r="317" spans="1:16" s="17" customFormat="1" ht="33" customHeight="1">
      <c r="A317" s="431"/>
      <c r="B317" s="400">
        <v>46157</v>
      </c>
      <c r="C317" s="3" t="s">
        <v>163</v>
      </c>
      <c r="D317" s="3" t="s">
        <v>5732</v>
      </c>
      <c r="E317" s="462" t="s">
        <v>5733</v>
      </c>
      <c r="F317" s="462" t="s">
        <v>5734</v>
      </c>
      <c r="G317" s="467" t="s">
        <v>5735</v>
      </c>
      <c r="H317" s="461" t="s">
        <v>5736</v>
      </c>
      <c r="I317" s="461" t="s">
        <v>5718</v>
      </c>
      <c r="J317" s="461" t="s">
        <v>5749</v>
      </c>
      <c r="K317" s="136" t="s">
        <v>181</v>
      </c>
      <c r="L317" s="467" t="s">
        <v>5720</v>
      </c>
      <c r="M317" s="463">
        <v>3</v>
      </c>
      <c r="N317" s="462" t="s">
        <v>5738</v>
      </c>
      <c r="O317" s="581" t="s">
        <v>5750</v>
      </c>
      <c r="P317" s="571"/>
    </row>
    <row r="318" spans="1:16" s="17" customFormat="1" ht="33" customHeight="1">
      <c r="A318" s="431"/>
      <c r="B318" s="400">
        <v>46157</v>
      </c>
      <c r="C318" s="3" t="s">
        <v>21</v>
      </c>
      <c r="D318" s="3" t="s">
        <v>14</v>
      </c>
      <c r="E318" s="462" t="s">
        <v>1893</v>
      </c>
      <c r="F318" s="462" t="s">
        <v>4939</v>
      </c>
      <c r="G318" s="467" t="s">
        <v>2193</v>
      </c>
      <c r="H318" s="461" t="s">
        <v>5784</v>
      </c>
      <c r="I318" s="462" t="s">
        <v>5785</v>
      </c>
      <c r="J318" s="461" t="s">
        <v>5786</v>
      </c>
      <c r="K318" s="136" t="s">
        <v>181</v>
      </c>
      <c r="L318" s="467">
        <v>9080</v>
      </c>
      <c r="M318" s="463">
        <v>2</v>
      </c>
      <c r="N318" s="462"/>
      <c r="O318" s="581"/>
      <c r="P318" s="571"/>
    </row>
    <row r="319" spans="1:16" s="17" customFormat="1" ht="33" customHeight="1">
      <c r="A319" s="431"/>
      <c r="B319" s="400">
        <v>46158</v>
      </c>
      <c r="C319" s="3" t="s">
        <v>24</v>
      </c>
      <c r="D319" s="3" t="s">
        <v>14</v>
      </c>
      <c r="E319" s="462" t="s">
        <v>899</v>
      </c>
      <c r="F319" s="462" t="s">
        <v>1968</v>
      </c>
      <c r="G319" s="467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35" t="s">
        <v>5751</v>
      </c>
      <c r="P319" s="571"/>
    </row>
    <row r="320" spans="1:16" s="17" customFormat="1" ht="33" customHeight="1">
      <c r="A320" s="432"/>
      <c r="B320" s="400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9"/>
      <c r="P320" s="571"/>
    </row>
    <row r="321" spans="1:16" s="17" customFormat="1" ht="33" customHeight="1">
      <c r="A321" s="433" t="s">
        <v>0</v>
      </c>
      <c r="B321" s="324" t="s">
        <v>1</v>
      </c>
      <c r="C321" s="323" t="s">
        <v>2</v>
      </c>
      <c r="D321" s="323" t="s">
        <v>3</v>
      </c>
      <c r="E321" s="323" t="s">
        <v>4</v>
      </c>
      <c r="F321" s="323" t="s">
        <v>5</v>
      </c>
      <c r="G321" s="323" t="s">
        <v>6</v>
      </c>
      <c r="H321" s="325" t="s">
        <v>7</v>
      </c>
      <c r="I321" s="323" t="s">
        <v>8</v>
      </c>
      <c r="J321" s="323" t="s">
        <v>9</v>
      </c>
      <c r="K321" s="326" t="s">
        <v>10</v>
      </c>
      <c r="L321" s="327" t="s">
        <v>11</v>
      </c>
      <c r="M321" s="323" t="s">
        <v>12</v>
      </c>
      <c r="N321" s="328" t="s">
        <v>13</v>
      </c>
      <c r="O321" s="434" t="s">
        <v>63</v>
      </c>
      <c r="P321" s="434" t="s">
        <v>5411</v>
      </c>
    </row>
    <row r="322" spans="1:16" s="17" customFormat="1" ht="33" customHeight="1">
      <c r="A322" s="430" t="s">
        <v>4502</v>
      </c>
      <c r="B322" s="400">
        <v>46160</v>
      </c>
      <c r="C322" s="3" t="s">
        <v>21</v>
      </c>
      <c r="D322" s="3" t="s">
        <v>14</v>
      </c>
      <c r="E322" s="462" t="s">
        <v>1787</v>
      </c>
      <c r="F322" s="461" t="s">
        <v>2462</v>
      </c>
      <c r="G322" s="467" t="s">
        <v>23</v>
      </c>
      <c r="H322" s="461" t="s">
        <v>5584</v>
      </c>
      <c r="I322" s="462" t="s">
        <v>5484</v>
      </c>
      <c r="J322" s="462"/>
      <c r="K322" s="136" t="s">
        <v>15</v>
      </c>
      <c r="L322" s="467" t="s">
        <v>33</v>
      </c>
      <c r="M322" s="463">
        <v>2</v>
      </c>
      <c r="N322" s="31" t="s">
        <v>5778</v>
      </c>
      <c r="O322" s="435"/>
      <c r="P322" s="571"/>
    </row>
    <row r="323" spans="1:16" s="17" customFormat="1" ht="33" customHeight="1">
      <c r="A323" s="431"/>
      <c r="B323" s="400">
        <v>46160</v>
      </c>
      <c r="C323" s="3" t="s">
        <v>163</v>
      </c>
      <c r="D323" s="3" t="s">
        <v>5721</v>
      </c>
      <c r="E323" s="462" t="s">
        <v>5722</v>
      </c>
      <c r="F323" s="466" t="s">
        <v>3332</v>
      </c>
      <c r="G323" s="467" t="s">
        <v>5723</v>
      </c>
      <c r="H323" s="461" t="s">
        <v>5753</v>
      </c>
      <c r="I323" s="462"/>
      <c r="J323" s="462" t="s">
        <v>5740</v>
      </c>
      <c r="K323" s="136" t="s">
        <v>5724</v>
      </c>
      <c r="L323" s="467" t="s">
        <v>5725</v>
      </c>
      <c r="M323" s="463">
        <v>2</v>
      </c>
      <c r="N323" s="667"/>
      <c r="O323" s="435" t="s">
        <v>5752</v>
      </c>
      <c r="P323" s="571"/>
    </row>
    <row r="324" spans="1:16" s="17" customFormat="1" ht="33" customHeight="1">
      <c r="A324" s="431"/>
      <c r="B324" s="400">
        <v>46160</v>
      </c>
      <c r="C324" s="3" t="s">
        <v>138</v>
      </c>
      <c r="D324" s="3" t="s">
        <v>17</v>
      </c>
      <c r="E324" s="462" t="s">
        <v>5276</v>
      </c>
      <c r="F324" s="462">
        <v>7064</v>
      </c>
      <c r="G324" s="467" t="s">
        <v>83</v>
      </c>
      <c r="H324" s="461" t="s">
        <v>5564</v>
      </c>
      <c r="I324" s="461" t="s">
        <v>2017</v>
      </c>
      <c r="J324" s="461" t="s">
        <v>68</v>
      </c>
      <c r="K324" s="136" t="s">
        <v>15</v>
      </c>
      <c r="L324" s="467" t="s">
        <v>4550</v>
      </c>
      <c r="M324" s="463">
        <v>2</v>
      </c>
      <c r="N324" s="31"/>
      <c r="O324" s="438"/>
      <c r="P324" s="571"/>
    </row>
    <row r="325" spans="1:16" s="17" customFormat="1" ht="33" customHeight="1">
      <c r="A325" s="431"/>
      <c r="B325" s="400">
        <v>46161</v>
      </c>
      <c r="C325" s="3" t="s">
        <v>138</v>
      </c>
      <c r="D325" s="3" t="s">
        <v>17</v>
      </c>
      <c r="E325" s="462" t="s">
        <v>5276</v>
      </c>
      <c r="F325" s="462">
        <v>7064</v>
      </c>
      <c r="G325" s="467" t="s">
        <v>83</v>
      </c>
      <c r="H325" s="461" t="s">
        <v>5564</v>
      </c>
      <c r="I325" s="461" t="s">
        <v>2017</v>
      </c>
      <c r="J325" s="461" t="s">
        <v>68</v>
      </c>
      <c r="K325" s="136" t="s">
        <v>15</v>
      </c>
      <c r="L325" s="467" t="s">
        <v>4550</v>
      </c>
      <c r="M325" s="463">
        <v>2</v>
      </c>
      <c r="N325" s="667"/>
      <c r="O325" s="438"/>
      <c r="P325" s="571"/>
    </row>
    <row r="326" spans="1:16" s="17" customFormat="1" ht="33" customHeight="1">
      <c r="A326" s="431"/>
      <c r="B326" s="400">
        <v>46161</v>
      </c>
      <c r="C326" s="3" t="s">
        <v>138</v>
      </c>
      <c r="D326" s="3" t="s">
        <v>14</v>
      </c>
      <c r="E326" s="462" t="s">
        <v>1787</v>
      </c>
      <c r="F326" s="462" t="s">
        <v>2135</v>
      </c>
      <c r="G326" s="467" t="s">
        <v>142</v>
      </c>
      <c r="H326" s="461" t="s">
        <v>3466</v>
      </c>
      <c r="I326" s="462" t="s">
        <v>5484</v>
      </c>
      <c r="J326" s="461"/>
      <c r="K326" s="136" t="s">
        <v>15</v>
      </c>
      <c r="L326" s="467" t="s">
        <v>33</v>
      </c>
      <c r="M326" s="463">
        <v>2</v>
      </c>
      <c r="N326" s="429"/>
      <c r="O326" s="444"/>
      <c r="P326" s="571"/>
    </row>
    <row r="327" spans="1:16" s="17" customFormat="1" ht="33" customHeight="1">
      <c r="A327" s="431"/>
      <c r="B327" s="370">
        <v>46161</v>
      </c>
      <c r="C327" s="3" t="s">
        <v>21</v>
      </c>
      <c r="D327" s="3" t="s">
        <v>14</v>
      </c>
      <c r="E327" s="462" t="s">
        <v>1893</v>
      </c>
      <c r="F327" s="462" t="s">
        <v>4939</v>
      </c>
      <c r="G327" s="467" t="s">
        <v>5787</v>
      </c>
      <c r="H327" s="461" t="s">
        <v>5788</v>
      </c>
      <c r="I327" s="461" t="s">
        <v>5792</v>
      </c>
      <c r="J327" s="461"/>
      <c r="K327" s="136" t="s">
        <v>5789</v>
      </c>
      <c r="L327" s="467">
        <v>9080</v>
      </c>
      <c r="M327" s="463">
        <v>3</v>
      </c>
      <c r="N327" s="429"/>
      <c r="O327" s="437"/>
      <c r="P327" s="571"/>
    </row>
    <row r="328" spans="1:16" s="17" customFormat="1" ht="33" customHeight="1">
      <c r="A328" s="431"/>
      <c r="B328" s="198">
        <v>46162</v>
      </c>
      <c r="C328" s="3"/>
      <c r="D328" s="3"/>
      <c r="E328" s="461"/>
      <c r="F328" s="466"/>
      <c r="G328" s="467"/>
      <c r="H328" s="461"/>
      <c r="I328" s="462"/>
      <c r="J328" s="462"/>
      <c r="K328" s="136"/>
      <c r="L328" s="467"/>
      <c r="M328" s="463"/>
      <c r="N328" s="31" t="s">
        <v>5741</v>
      </c>
      <c r="O328" s="437"/>
      <c r="P328" s="571"/>
    </row>
    <row r="329" spans="1:16" s="17" customFormat="1" ht="33" customHeight="1">
      <c r="A329" s="431"/>
      <c r="B329" s="400">
        <v>46163</v>
      </c>
      <c r="C329" s="3" t="s">
        <v>21</v>
      </c>
      <c r="D329" s="3" t="s">
        <v>14</v>
      </c>
      <c r="E329" s="462" t="s">
        <v>2241</v>
      </c>
      <c r="F329" s="720" t="s">
        <v>5794</v>
      </c>
      <c r="G329" s="16" t="s">
        <v>5726</v>
      </c>
      <c r="H329" s="721" t="s">
        <v>5820</v>
      </c>
      <c r="I329" s="667" t="s">
        <v>5779</v>
      </c>
      <c r="J329" s="668"/>
      <c r="K329" s="125" t="s">
        <v>5780</v>
      </c>
      <c r="L329" s="16" t="s">
        <v>5781</v>
      </c>
      <c r="M329" s="8">
        <v>2</v>
      </c>
      <c r="N329" s="429"/>
      <c r="O329" s="437"/>
      <c r="P329" s="571"/>
    </row>
    <row r="330" spans="1:16" s="17" customFormat="1" ht="33" customHeight="1">
      <c r="A330" s="431"/>
      <c r="B330" s="400">
        <v>46164</v>
      </c>
      <c r="C330" s="3" t="s">
        <v>19</v>
      </c>
      <c r="D330" s="3" t="s">
        <v>25</v>
      </c>
      <c r="E330" s="462" t="s">
        <v>1069</v>
      </c>
      <c r="F330" s="462" t="s">
        <v>5754</v>
      </c>
      <c r="G330" s="467" t="s">
        <v>18</v>
      </c>
      <c r="H330" s="461" t="s">
        <v>5777</v>
      </c>
      <c r="I330" s="462"/>
      <c r="J330" s="461" t="s">
        <v>5821</v>
      </c>
      <c r="K330" s="136"/>
      <c r="L330" s="467" t="s">
        <v>5838</v>
      </c>
      <c r="M330" s="463">
        <v>2</v>
      </c>
      <c r="N330" s="31"/>
      <c r="O330" s="439"/>
      <c r="P330" s="571"/>
    </row>
    <row r="331" spans="1:16" s="17" customFormat="1" ht="33" customHeight="1">
      <c r="A331" s="431"/>
      <c r="B331" s="400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5807</v>
      </c>
      <c r="I331" s="31" t="s">
        <v>5827</v>
      </c>
      <c r="J331" s="31"/>
      <c r="K331" s="125" t="s">
        <v>5746</v>
      </c>
      <c r="L331" s="16" t="s">
        <v>5720</v>
      </c>
      <c r="M331" s="8">
        <v>1</v>
      </c>
      <c r="N331" s="31"/>
      <c r="O331" s="435"/>
      <c r="P331" s="571"/>
    </row>
    <row r="332" spans="1:16" s="17" customFormat="1" ht="33" customHeight="1">
      <c r="A332" s="432"/>
      <c r="B332" s="400">
        <v>46165</v>
      </c>
      <c r="C332" s="4" t="s">
        <v>5801</v>
      </c>
      <c r="D332" s="4" t="s">
        <v>5802</v>
      </c>
      <c r="E332" s="719" t="s">
        <v>5803</v>
      </c>
      <c r="F332" s="719" t="s">
        <v>5804</v>
      </c>
      <c r="G332" s="16" t="s">
        <v>5805</v>
      </c>
      <c r="H332" s="720" t="s">
        <v>5806</v>
      </c>
      <c r="I332" s="720" t="s">
        <v>5811</v>
      </c>
      <c r="J332" s="720" t="s">
        <v>5810</v>
      </c>
      <c r="K332" s="125" t="s">
        <v>15</v>
      </c>
      <c r="L332" s="16" t="s">
        <v>5809</v>
      </c>
      <c r="M332" s="8">
        <v>4</v>
      </c>
      <c r="N332" s="31"/>
      <c r="O332" s="439"/>
      <c r="P332" s="571"/>
    </row>
    <row r="333" spans="1:16" s="17" customFormat="1" ht="33" customHeight="1">
      <c r="A333" s="433" t="s">
        <v>0</v>
      </c>
      <c r="B333" s="324" t="s">
        <v>1</v>
      </c>
      <c r="C333" s="323" t="s">
        <v>2</v>
      </c>
      <c r="D333" s="323" t="s">
        <v>3</v>
      </c>
      <c r="E333" s="323" t="s">
        <v>4</v>
      </c>
      <c r="F333" s="323" t="s">
        <v>5</v>
      </c>
      <c r="G333" s="323" t="s">
        <v>6</v>
      </c>
      <c r="H333" s="325" t="s">
        <v>7</v>
      </c>
      <c r="I333" s="323" t="s">
        <v>8</v>
      </c>
      <c r="J333" s="323" t="s">
        <v>9</v>
      </c>
      <c r="K333" s="326" t="s">
        <v>10</v>
      </c>
      <c r="L333" s="327" t="s">
        <v>11</v>
      </c>
      <c r="M333" s="323" t="s">
        <v>12</v>
      </c>
      <c r="N333" s="328" t="s">
        <v>13</v>
      </c>
      <c r="O333" s="434" t="s">
        <v>63</v>
      </c>
      <c r="P333" s="434" t="s">
        <v>5411</v>
      </c>
    </row>
    <row r="334" spans="1:16" s="17" customFormat="1" ht="33" customHeight="1">
      <c r="A334" s="430" t="s">
        <v>4503</v>
      </c>
      <c r="B334" s="370">
        <v>46167</v>
      </c>
      <c r="C334" s="4"/>
      <c r="D334" s="4"/>
      <c r="E334" s="31"/>
      <c r="F334" s="193"/>
      <c r="G334" s="16"/>
      <c r="H334" s="408" t="s">
        <v>4664</v>
      </c>
      <c r="I334" s="31"/>
      <c r="J334" s="31"/>
      <c r="K334" s="125"/>
      <c r="L334" s="16"/>
      <c r="M334" s="8"/>
      <c r="N334" s="31"/>
      <c r="O334" s="438"/>
      <c r="P334" s="571"/>
    </row>
    <row r="335" spans="1:16" s="17" customFormat="1" ht="33" customHeight="1">
      <c r="A335" s="431"/>
      <c r="B335" s="400">
        <v>46168</v>
      </c>
      <c r="C335" s="4" t="s">
        <v>21</v>
      </c>
      <c r="D335" s="4" t="s">
        <v>14</v>
      </c>
      <c r="E335" s="719" t="s">
        <v>107</v>
      </c>
      <c r="F335" s="719" t="s">
        <v>3386</v>
      </c>
      <c r="G335" s="16" t="s">
        <v>23</v>
      </c>
      <c r="H335" s="720" t="s">
        <v>5829</v>
      </c>
      <c r="I335" s="719"/>
      <c r="J335" s="720" t="s">
        <v>5825</v>
      </c>
      <c r="K335" s="125" t="s">
        <v>5818</v>
      </c>
      <c r="L335" s="16" t="s">
        <v>5800</v>
      </c>
      <c r="M335" s="8">
        <v>3</v>
      </c>
      <c r="N335" s="719"/>
      <c r="O335" s="438" t="s">
        <v>5837</v>
      </c>
      <c r="P335" s="571"/>
    </row>
    <row r="336" spans="1:16" s="17" customFormat="1" ht="33" customHeight="1">
      <c r="A336" s="431"/>
      <c r="B336" s="370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5828</v>
      </c>
      <c r="I336" s="720"/>
      <c r="J336" s="193" t="s">
        <v>5817</v>
      </c>
      <c r="K336" s="125" t="s">
        <v>5812</v>
      </c>
      <c r="L336" s="16" t="s">
        <v>5831</v>
      </c>
      <c r="M336" s="8">
        <v>2</v>
      </c>
      <c r="N336" s="429"/>
      <c r="O336" s="444" t="s">
        <v>5836</v>
      </c>
      <c r="P336" s="571"/>
    </row>
    <row r="337" spans="1:16" s="17" customFormat="1" ht="33" customHeight="1">
      <c r="A337" s="431"/>
      <c r="B337" s="370">
        <v>46168</v>
      </c>
      <c r="C337" s="4" t="s">
        <v>5801</v>
      </c>
      <c r="D337" s="4" t="s">
        <v>5802</v>
      </c>
      <c r="E337" s="719" t="s">
        <v>5803</v>
      </c>
      <c r="F337" s="719" t="s">
        <v>5804</v>
      </c>
      <c r="G337" s="16" t="s">
        <v>5805</v>
      </c>
      <c r="H337" s="720" t="s">
        <v>5813</v>
      </c>
      <c r="I337" s="719" t="s">
        <v>5808</v>
      </c>
      <c r="J337" s="720" t="s">
        <v>5816</v>
      </c>
      <c r="K337" s="125" t="s">
        <v>5814</v>
      </c>
      <c r="L337" s="16" t="s">
        <v>5800</v>
      </c>
      <c r="M337" s="8">
        <v>2</v>
      </c>
      <c r="N337" s="719"/>
      <c r="O337" s="437"/>
      <c r="P337" s="571"/>
    </row>
    <row r="338" spans="1:16" s="17" customFormat="1" ht="33" customHeight="1">
      <c r="A338" s="431"/>
      <c r="B338" s="370">
        <v>46169</v>
      </c>
      <c r="C338" s="3" t="s">
        <v>5795</v>
      </c>
      <c r="D338" s="3" t="s">
        <v>5796</v>
      </c>
      <c r="E338" s="461" t="s">
        <v>5815</v>
      </c>
      <c r="F338" s="462" t="s">
        <v>5797</v>
      </c>
      <c r="G338" s="467" t="s">
        <v>5798</v>
      </c>
      <c r="H338" s="461" t="s">
        <v>5927</v>
      </c>
      <c r="I338" s="462" t="s">
        <v>5878</v>
      </c>
      <c r="J338" s="461"/>
      <c r="K338" s="136" t="s">
        <v>5799</v>
      </c>
      <c r="L338" s="467" t="s">
        <v>5800</v>
      </c>
      <c r="M338" s="463">
        <v>1</v>
      </c>
      <c r="N338" s="719"/>
      <c r="O338" s="437"/>
      <c r="P338" s="571"/>
    </row>
    <row r="339" spans="1:16" s="17" customFormat="1" ht="33" customHeight="1">
      <c r="A339" s="431"/>
      <c r="B339" s="370">
        <v>46169</v>
      </c>
      <c r="C339" s="4" t="s">
        <v>21</v>
      </c>
      <c r="D339" s="4" t="s">
        <v>14</v>
      </c>
      <c r="E339" s="719" t="s">
        <v>107</v>
      </c>
      <c r="F339" s="719" t="s">
        <v>2959</v>
      </c>
      <c r="G339" s="16" t="s">
        <v>1895</v>
      </c>
      <c r="H339" s="720" t="s">
        <v>5886</v>
      </c>
      <c r="I339" s="720"/>
      <c r="J339" s="720" t="s">
        <v>5817</v>
      </c>
      <c r="K339" s="125" t="s">
        <v>5812</v>
      </c>
      <c r="L339" s="16" t="s">
        <v>5809</v>
      </c>
      <c r="M339" s="8">
        <v>2</v>
      </c>
      <c r="N339" s="719"/>
      <c r="O339" s="444" t="s">
        <v>5836</v>
      </c>
      <c r="P339" s="571"/>
    </row>
    <row r="340" spans="1:16" s="17" customFormat="1" ht="33" customHeight="1">
      <c r="A340" s="431"/>
      <c r="B340" s="370">
        <v>46169</v>
      </c>
      <c r="C340" s="4" t="s">
        <v>21</v>
      </c>
      <c r="D340" s="4" t="s">
        <v>14</v>
      </c>
      <c r="E340" s="719" t="s">
        <v>107</v>
      </c>
      <c r="F340" s="719" t="s">
        <v>3386</v>
      </c>
      <c r="G340" s="16" t="s">
        <v>23</v>
      </c>
      <c r="H340" s="720" t="s">
        <v>5887</v>
      </c>
      <c r="I340" s="720" t="s">
        <v>5811</v>
      </c>
      <c r="J340" s="720"/>
      <c r="K340" s="125" t="s">
        <v>5812</v>
      </c>
      <c r="L340" s="16" t="s">
        <v>5809</v>
      </c>
      <c r="M340" s="8">
        <v>1</v>
      </c>
      <c r="N340" s="719"/>
      <c r="O340" s="437"/>
      <c r="P340" s="571"/>
    </row>
    <row r="341" spans="1:16" s="17" customFormat="1" ht="33" customHeight="1">
      <c r="A341" s="431"/>
      <c r="B341" s="370">
        <v>46169</v>
      </c>
      <c r="C341" s="3" t="s">
        <v>163</v>
      </c>
      <c r="D341" s="3" t="s">
        <v>5748</v>
      </c>
      <c r="E341" s="462" t="s">
        <v>5755</v>
      </c>
      <c r="F341" s="461" t="s">
        <v>5747</v>
      </c>
      <c r="G341" s="467" t="s">
        <v>5822</v>
      </c>
      <c r="H341" s="461" t="s">
        <v>5824</v>
      </c>
      <c r="I341" s="462" t="s">
        <v>202</v>
      </c>
      <c r="J341" s="462" t="s">
        <v>5823</v>
      </c>
      <c r="K341" s="125" t="s">
        <v>5812</v>
      </c>
      <c r="L341" s="467" t="s">
        <v>5720</v>
      </c>
      <c r="M341" s="8">
        <v>2</v>
      </c>
      <c r="N341" s="31"/>
      <c r="O341" s="439" t="s">
        <v>5835</v>
      </c>
      <c r="P341" s="571"/>
    </row>
    <row r="342" spans="1:16" s="17" customFormat="1" ht="33" customHeight="1">
      <c r="A342" s="431"/>
      <c r="B342" s="370">
        <v>46169</v>
      </c>
      <c r="C342" s="3" t="s">
        <v>2064</v>
      </c>
      <c r="D342" s="3" t="s">
        <v>3264</v>
      </c>
      <c r="E342" s="461" t="s">
        <v>5815</v>
      </c>
      <c r="F342" s="462" t="s">
        <v>5797</v>
      </c>
      <c r="G342" s="467" t="s">
        <v>4091</v>
      </c>
      <c r="H342" s="461" t="s">
        <v>442</v>
      </c>
      <c r="I342" s="462" t="s">
        <v>5883</v>
      </c>
      <c r="J342" s="461" t="s">
        <v>5884</v>
      </c>
      <c r="K342" s="136" t="s">
        <v>3265</v>
      </c>
      <c r="L342" s="467" t="s">
        <v>4550</v>
      </c>
      <c r="M342" s="8">
        <v>3</v>
      </c>
      <c r="N342" s="725"/>
      <c r="O342" s="439" t="s">
        <v>5885</v>
      </c>
      <c r="P342" s="571"/>
    </row>
    <row r="343" spans="1:16" s="17" customFormat="1" ht="33" customHeight="1">
      <c r="A343" s="431"/>
      <c r="B343" s="370">
        <v>46169</v>
      </c>
      <c r="C343" s="4"/>
      <c r="D343" s="4"/>
      <c r="E343" s="720" t="s">
        <v>5602</v>
      </c>
      <c r="F343" s="719"/>
      <c r="G343" s="16"/>
      <c r="H343" s="720" t="s">
        <v>5604</v>
      </c>
      <c r="I343" s="719" t="s">
        <v>226</v>
      </c>
      <c r="J343" s="720"/>
      <c r="K343" s="125"/>
      <c r="L343" s="16" t="s">
        <v>4550</v>
      </c>
      <c r="M343" s="8">
        <v>1</v>
      </c>
      <c r="N343" s="719"/>
      <c r="O343" s="439"/>
      <c r="P343" s="571"/>
    </row>
    <row r="344" spans="1:16" s="17" customFormat="1" ht="33" customHeight="1">
      <c r="A344" s="431"/>
      <c r="B344" s="400">
        <v>46170</v>
      </c>
      <c r="C344" s="3" t="s">
        <v>2064</v>
      </c>
      <c r="D344" s="3" t="s">
        <v>3264</v>
      </c>
      <c r="E344" s="461" t="s">
        <v>5815</v>
      </c>
      <c r="F344" s="462" t="s">
        <v>5797</v>
      </c>
      <c r="G344" s="467" t="s">
        <v>4091</v>
      </c>
      <c r="H344" s="461" t="s">
        <v>442</v>
      </c>
      <c r="I344" s="462" t="s">
        <v>5883</v>
      </c>
      <c r="J344" s="461" t="s">
        <v>5884</v>
      </c>
      <c r="K344" s="136" t="s">
        <v>3265</v>
      </c>
      <c r="L344" s="467" t="s">
        <v>4550</v>
      </c>
      <c r="M344" s="8">
        <v>3</v>
      </c>
      <c r="N344" s="723"/>
      <c r="O344" s="439" t="s">
        <v>5926</v>
      </c>
      <c r="P344" s="571"/>
    </row>
    <row r="345" spans="1:16" s="17" customFormat="1" ht="33" customHeight="1">
      <c r="A345" s="431"/>
      <c r="B345" s="370">
        <v>46170</v>
      </c>
      <c r="C345" s="3" t="s">
        <v>21</v>
      </c>
      <c r="D345" s="3" t="s">
        <v>17</v>
      </c>
      <c r="E345" s="461" t="s">
        <v>2206</v>
      </c>
      <c r="F345" s="466" t="s">
        <v>5879</v>
      </c>
      <c r="G345" s="467" t="s">
        <v>5880</v>
      </c>
      <c r="H345" s="461" t="s">
        <v>5881</v>
      </c>
      <c r="I345" s="462" t="s">
        <v>5830</v>
      </c>
      <c r="J345" s="461" t="s">
        <v>5882</v>
      </c>
      <c r="K345" s="125" t="s">
        <v>5812</v>
      </c>
      <c r="L345" s="467" t="s">
        <v>5819</v>
      </c>
      <c r="M345" s="463">
        <v>3</v>
      </c>
      <c r="N345" s="429"/>
      <c r="O345" s="444" t="s">
        <v>5925</v>
      </c>
      <c r="P345" s="571"/>
    </row>
    <row r="346" spans="1:16" s="17" customFormat="1" ht="33" customHeight="1">
      <c r="A346" s="431"/>
      <c r="B346" s="370">
        <v>46171</v>
      </c>
      <c r="C346" s="3" t="s">
        <v>21</v>
      </c>
      <c r="D346" s="3" t="s">
        <v>14</v>
      </c>
      <c r="E346" s="462" t="s">
        <v>1893</v>
      </c>
      <c r="F346" s="462" t="s">
        <v>4939</v>
      </c>
      <c r="G346" s="467" t="s">
        <v>482</v>
      </c>
      <c r="H346" s="727" t="s">
        <v>5911</v>
      </c>
      <c r="I346" s="725" t="s">
        <v>202</v>
      </c>
      <c r="J346" s="727" t="s">
        <v>5912</v>
      </c>
      <c r="K346" s="125" t="s">
        <v>3265</v>
      </c>
      <c r="L346" s="16">
        <v>9080</v>
      </c>
      <c r="M346" s="8">
        <v>2</v>
      </c>
      <c r="N346" s="725"/>
      <c r="O346" s="444"/>
      <c r="P346" s="571"/>
    </row>
    <row r="347" spans="1:16" s="17" customFormat="1" ht="33" customHeight="1">
      <c r="A347" s="431"/>
      <c r="B347" s="370">
        <v>46171</v>
      </c>
      <c r="C347" s="3" t="s">
        <v>21</v>
      </c>
      <c r="D347" s="3" t="s">
        <v>17</v>
      </c>
      <c r="E347" s="461" t="s">
        <v>2206</v>
      </c>
      <c r="F347" s="466" t="s">
        <v>5879</v>
      </c>
      <c r="G347" s="467" t="s">
        <v>5880</v>
      </c>
      <c r="H347" s="461" t="s">
        <v>5881</v>
      </c>
      <c r="I347" s="462" t="s">
        <v>3274</v>
      </c>
      <c r="J347" s="461" t="s">
        <v>5924</v>
      </c>
      <c r="K347" s="125" t="s">
        <v>3265</v>
      </c>
      <c r="L347" s="467" t="s">
        <v>4379</v>
      </c>
      <c r="M347" s="463">
        <v>3</v>
      </c>
      <c r="N347" s="726"/>
      <c r="O347" s="444" t="s">
        <v>5923</v>
      </c>
      <c r="P347" s="571"/>
    </row>
    <row r="348" spans="1:16" s="17" customFormat="1" ht="33" customHeight="1">
      <c r="A348" s="431"/>
      <c r="B348" s="370">
        <v>46171</v>
      </c>
      <c r="C348" s="3" t="s">
        <v>24</v>
      </c>
      <c r="D348" s="3" t="s">
        <v>31</v>
      </c>
      <c r="E348" s="462" t="s">
        <v>5891</v>
      </c>
      <c r="F348" s="462">
        <v>3307</v>
      </c>
      <c r="G348" s="467" t="s">
        <v>1328</v>
      </c>
      <c r="H348" s="461" t="s">
        <v>5892</v>
      </c>
      <c r="I348" s="461" t="s">
        <v>5893</v>
      </c>
      <c r="J348" s="461" t="s">
        <v>686</v>
      </c>
      <c r="K348" s="125" t="s">
        <v>5894</v>
      </c>
      <c r="L348" s="467" t="s">
        <v>5895</v>
      </c>
      <c r="M348" s="463">
        <v>4</v>
      </c>
      <c r="N348" s="725"/>
      <c r="O348" s="444" t="s">
        <v>5922</v>
      </c>
      <c r="P348" s="571"/>
    </row>
    <row r="349" spans="1:16" s="17" customFormat="1" ht="33" customHeight="1">
      <c r="A349" s="432"/>
      <c r="B349" s="400">
        <v>46172</v>
      </c>
      <c r="C349" s="3" t="s">
        <v>24</v>
      </c>
      <c r="D349" s="3" t="s">
        <v>31</v>
      </c>
      <c r="E349" s="462" t="s">
        <v>5891</v>
      </c>
      <c r="F349" s="462">
        <v>3307</v>
      </c>
      <c r="G349" s="467" t="s">
        <v>1328</v>
      </c>
      <c r="H349" s="461" t="s">
        <v>5892</v>
      </c>
      <c r="I349" s="461" t="s">
        <v>5893</v>
      </c>
      <c r="J349" s="461" t="s">
        <v>686</v>
      </c>
      <c r="K349" s="125" t="s">
        <v>5894</v>
      </c>
      <c r="L349" s="467" t="s">
        <v>5895</v>
      </c>
      <c r="M349" s="463">
        <v>4</v>
      </c>
      <c r="N349" s="31"/>
      <c r="O349" s="444" t="s">
        <v>5922</v>
      </c>
      <c r="P349" s="571"/>
    </row>
    <row r="350" spans="1:16" s="17" customFormat="1" ht="33" customHeight="1">
      <c r="A350" s="433" t="s">
        <v>0</v>
      </c>
      <c r="B350" s="324" t="s">
        <v>1</v>
      </c>
      <c r="C350" s="323" t="s">
        <v>2</v>
      </c>
      <c r="D350" s="323" t="s">
        <v>3</v>
      </c>
      <c r="E350" s="323" t="s">
        <v>4</v>
      </c>
      <c r="F350" s="323" t="s">
        <v>5</v>
      </c>
      <c r="G350" s="323" t="s">
        <v>6</v>
      </c>
      <c r="H350" s="325" t="s">
        <v>7</v>
      </c>
      <c r="I350" s="323" t="s">
        <v>8</v>
      </c>
      <c r="J350" s="323" t="s">
        <v>9</v>
      </c>
      <c r="K350" s="326" t="s">
        <v>10</v>
      </c>
      <c r="L350" s="327" t="s">
        <v>11</v>
      </c>
      <c r="M350" s="323" t="s">
        <v>12</v>
      </c>
      <c r="N350" s="328" t="s">
        <v>13</v>
      </c>
      <c r="O350" s="434" t="s">
        <v>63</v>
      </c>
      <c r="P350" s="434" t="s">
        <v>5411</v>
      </c>
    </row>
    <row r="351" spans="1:16" s="17" customFormat="1" ht="33" customHeight="1">
      <c r="A351" s="430" t="s">
        <v>4504</v>
      </c>
      <c r="B351" s="400">
        <v>46174</v>
      </c>
      <c r="C351" s="3" t="s">
        <v>21</v>
      </c>
      <c r="D351" s="3" t="s">
        <v>14</v>
      </c>
      <c r="E351" s="462" t="s">
        <v>211</v>
      </c>
      <c r="F351" s="462" t="s">
        <v>2916</v>
      </c>
      <c r="G351" s="467" t="s">
        <v>2917</v>
      </c>
      <c r="H351" s="461" t="s">
        <v>5834</v>
      </c>
      <c r="I351" s="462" t="s">
        <v>3274</v>
      </c>
      <c r="J351" s="462" t="s">
        <v>3454</v>
      </c>
      <c r="K351" s="125" t="s">
        <v>3265</v>
      </c>
      <c r="L351" s="467" t="s">
        <v>4379</v>
      </c>
      <c r="M351" s="463">
        <v>2</v>
      </c>
      <c r="N351" s="31"/>
      <c r="O351" s="435" t="s">
        <v>4393</v>
      </c>
      <c r="P351" s="571"/>
    </row>
    <row r="352" spans="1:16" s="17" customFormat="1" ht="33" customHeight="1">
      <c r="A352" s="431"/>
      <c r="B352" s="370">
        <v>46174</v>
      </c>
      <c r="C352" s="3" t="s">
        <v>21</v>
      </c>
      <c r="D352" s="3" t="s">
        <v>14</v>
      </c>
      <c r="E352" s="462" t="s">
        <v>211</v>
      </c>
      <c r="F352" s="462" t="s">
        <v>5754</v>
      </c>
      <c r="G352" s="467" t="s">
        <v>5833</v>
      </c>
      <c r="H352" s="461" t="s">
        <v>5832</v>
      </c>
      <c r="I352" s="462" t="s">
        <v>3274</v>
      </c>
      <c r="J352" s="462" t="s">
        <v>3454</v>
      </c>
      <c r="K352" s="125" t="s">
        <v>3265</v>
      </c>
      <c r="L352" s="467" t="s">
        <v>4379</v>
      </c>
      <c r="M352" s="463">
        <v>2</v>
      </c>
      <c r="N352" s="31"/>
      <c r="O352" s="435" t="s">
        <v>4393</v>
      </c>
      <c r="P352" s="571"/>
    </row>
    <row r="353" spans="1:16" s="17" customFormat="1" ht="33" customHeight="1">
      <c r="A353" s="431"/>
      <c r="B353" s="370">
        <v>46174</v>
      </c>
      <c r="C353" s="3" t="s">
        <v>21</v>
      </c>
      <c r="D353" s="3" t="s">
        <v>17</v>
      </c>
      <c r="E353" s="461" t="s">
        <v>2206</v>
      </c>
      <c r="F353" s="466" t="s">
        <v>5879</v>
      </c>
      <c r="G353" s="467" t="s">
        <v>5880</v>
      </c>
      <c r="H353" s="461" t="s">
        <v>5888</v>
      </c>
      <c r="I353" s="462"/>
      <c r="J353" s="461" t="s">
        <v>3074</v>
      </c>
      <c r="K353" s="125" t="s">
        <v>15</v>
      </c>
      <c r="L353" s="467" t="s">
        <v>5909</v>
      </c>
      <c r="M353" s="463">
        <v>1</v>
      </c>
      <c r="N353" s="725"/>
      <c r="O353" s="435" t="s">
        <v>5910</v>
      </c>
      <c r="P353" s="571"/>
    </row>
    <row r="354" spans="1:16" s="17" customFormat="1" ht="33" customHeight="1">
      <c r="A354" s="431"/>
      <c r="B354" s="370">
        <v>46174</v>
      </c>
      <c r="C354" s="3" t="s">
        <v>21</v>
      </c>
      <c r="D354" s="3" t="s">
        <v>14</v>
      </c>
      <c r="E354" s="462" t="s">
        <v>1893</v>
      </c>
      <c r="F354" s="462" t="s">
        <v>4939</v>
      </c>
      <c r="G354" s="467" t="s">
        <v>482</v>
      </c>
      <c r="H354" s="727" t="s">
        <v>5911</v>
      </c>
      <c r="I354" s="725" t="s">
        <v>202</v>
      </c>
      <c r="J354" s="727" t="s">
        <v>5913</v>
      </c>
      <c r="K354" s="125" t="s">
        <v>3265</v>
      </c>
      <c r="L354" s="16">
        <v>9080</v>
      </c>
      <c r="M354" s="8">
        <v>3</v>
      </c>
      <c r="N354" s="725"/>
      <c r="O354" s="435"/>
      <c r="P354" s="571"/>
    </row>
    <row r="355" spans="1:16" s="17" customFormat="1" ht="33" customHeight="1">
      <c r="A355" s="431"/>
      <c r="B355" s="370">
        <v>46174</v>
      </c>
      <c r="C355" s="3" t="s">
        <v>5928</v>
      </c>
      <c r="D355" s="3" t="s">
        <v>5929</v>
      </c>
      <c r="E355" s="462" t="s">
        <v>5930</v>
      </c>
      <c r="F355" s="462">
        <v>7064</v>
      </c>
      <c r="G355" s="467" t="s">
        <v>5931</v>
      </c>
      <c r="H355" s="727" t="s">
        <v>5932</v>
      </c>
      <c r="I355" s="725"/>
      <c r="J355" s="727" t="s">
        <v>5933</v>
      </c>
      <c r="K355" s="125" t="s">
        <v>15</v>
      </c>
      <c r="L355" s="16" t="s">
        <v>5909</v>
      </c>
      <c r="M355" s="8">
        <v>4</v>
      </c>
      <c r="N355" s="725"/>
      <c r="O355" s="435" t="s">
        <v>5934</v>
      </c>
      <c r="P355" s="571"/>
    </row>
    <row r="356" spans="1:16" s="17" customFormat="1" ht="33" customHeight="1">
      <c r="A356" s="431"/>
      <c r="B356" s="400">
        <v>46175</v>
      </c>
      <c r="C356" s="3" t="s">
        <v>24</v>
      </c>
      <c r="D356" s="3" t="s">
        <v>31</v>
      </c>
      <c r="E356" s="462" t="s">
        <v>5891</v>
      </c>
      <c r="F356" s="462">
        <v>3307</v>
      </c>
      <c r="G356" s="467" t="s">
        <v>1328</v>
      </c>
      <c r="H356" s="461" t="s">
        <v>5892</v>
      </c>
      <c r="I356" s="461" t="s">
        <v>5893</v>
      </c>
      <c r="J356" s="461" t="s">
        <v>686</v>
      </c>
      <c r="K356" s="125" t="s">
        <v>5894</v>
      </c>
      <c r="L356" s="467" t="s">
        <v>5895</v>
      </c>
      <c r="M356" s="463">
        <v>4</v>
      </c>
      <c r="N356" s="429"/>
      <c r="O356" s="444" t="s">
        <v>5922</v>
      </c>
      <c r="P356" s="571"/>
    </row>
    <row r="357" spans="1:16" s="17" customFormat="1" ht="33" customHeight="1">
      <c r="A357" s="431"/>
      <c r="B357" s="370">
        <v>46175</v>
      </c>
      <c r="C357" s="3" t="s">
        <v>21</v>
      </c>
      <c r="D357" s="3" t="s">
        <v>17</v>
      </c>
      <c r="E357" s="461" t="s">
        <v>1893</v>
      </c>
      <c r="F357" s="466" t="s">
        <v>1323</v>
      </c>
      <c r="G357" s="467" t="s">
        <v>1391</v>
      </c>
      <c r="H357" s="461" t="s">
        <v>5791</v>
      </c>
      <c r="I357" s="462" t="s">
        <v>3274</v>
      </c>
      <c r="J357" s="461" t="s">
        <v>5897</v>
      </c>
      <c r="K357" s="125" t="s">
        <v>3265</v>
      </c>
      <c r="L357" s="467" t="s">
        <v>4379</v>
      </c>
      <c r="M357" s="463">
        <v>2</v>
      </c>
      <c r="N357" s="429"/>
      <c r="O357" s="435" t="s">
        <v>5898</v>
      </c>
      <c r="P357" s="571"/>
    </row>
    <row r="358" spans="1:16" s="17" customFormat="1" ht="33" customHeight="1">
      <c r="A358" s="431"/>
      <c r="B358" s="370">
        <v>46175</v>
      </c>
      <c r="C358" s="3" t="s">
        <v>2064</v>
      </c>
      <c r="D358" s="3" t="s">
        <v>3264</v>
      </c>
      <c r="E358" s="461" t="s">
        <v>5815</v>
      </c>
      <c r="F358" s="462" t="s">
        <v>5978</v>
      </c>
      <c r="G358" s="467" t="s">
        <v>4091</v>
      </c>
      <c r="H358" s="461" t="s">
        <v>5995</v>
      </c>
      <c r="I358" s="462" t="s">
        <v>5899</v>
      </c>
      <c r="J358" s="461" t="s">
        <v>5884</v>
      </c>
      <c r="K358" s="136" t="s">
        <v>3265</v>
      </c>
      <c r="L358" s="467" t="s">
        <v>4550</v>
      </c>
      <c r="M358" s="8">
        <v>2</v>
      </c>
      <c r="N358" s="725"/>
      <c r="O358" s="435" t="s">
        <v>5900</v>
      </c>
      <c r="P358" s="571"/>
    </row>
    <row r="359" spans="1:16" s="17" customFormat="1" ht="33" customHeight="1">
      <c r="A359" s="431"/>
      <c r="B359" s="370">
        <v>46175</v>
      </c>
      <c r="C359" s="3" t="s">
        <v>5928</v>
      </c>
      <c r="D359" s="3" t="s">
        <v>5929</v>
      </c>
      <c r="E359" s="462" t="s">
        <v>5930</v>
      </c>
      <c r="F359" s="462">
        <v>7064</v>
      </c>
      <c r="G359" s="467" t="s">
        <v>5931</v>
      </c>
      <c r="H359" s="727" t="s">
        <v>5932</v>
      </c>
      <c r="I359" s="725"/>
      <c r="J359" s="727" t="s">
        <v>5933</v>
      </c>
      <c r="K359" s="125" t="s">
        <v>15</v>
      </c>
      <c r="L359" s="16" t="s">
        <v>5909</v>
      </c>
      <c r="M359" s="8">
        <v>4</v>
      </c>
      <c r="N359" s="725"/>
      <c r="O359" s="435" t="s">
        <v>5934</v>
      </c>
      <c r="P359" s="571"/>
    </row>
    <row r="360" spans="1:16" s="17" customFormat="1" ht="33" customHeight="1">
      <c r="A360" s="431"/>
      <c r="B360" s="370">
        <v>46175</v>
      </c>
      <c r="C360" s="3" t="s">
        <v>21</v>
      </c>
      <c r="D360" s="3" t="s">
        <v>14</v>
      </c>
      <c r="E360" s="462" t="s">
        <v>1893</v>
      </c>
      <c r="F360" s="462" t="s">
        <v>4939</v>
      </c>
      <c r="G360" s="467" t="s">
        <v>482</v>
      </c>
      <c r="H360" s="773" t="s">
        <v>6034</v>
      </c>
      <c r="I360" s="771" t="s">
        <v>6035</v>
      </c>
      <c r="J360" s="773" t="s">
        <v>6036</v>
      </c>
      <c r="K360" s="125" t="s">
        <v>6032</v>
      </c>
      <c r="L360" s="16">
        <v>9080</v>
      </c>
      <c r="M360" s="8">
        <v>4</v>
      </c>
      <c r="N360" s="771"/>
      <c r="O360" s="435"/>
      <c r="P360" s="571"/>
    </row>
    <row r="361" spans="1:16" s="17" customFormat="1" ht="33" customHeight="1">
      <c r="A361" s="431"/>
      <c r="B361" s="400">
        <v>46176</v>
      </c>
      <c r="C361" s="4"/>
      <c r="D361" s="4"/>
      <c r="E361" s="31"/>
      <c r="F361" s="31"/>
      <c r="G361" s="16"/>
      <c r="H361" s="408" t="s">
        <v>4752</v>
      </c>
      <c r="I361" s="31"/>
      <c r="J361" s="193"/>
      <c r="K361" s="125"/>
      <c r="L361" s="16"/>
      <c r="M361" s="8"/>
      <c r="N361" s="429"/>
      <c r="O361" s="437"/>
      <c r="P361" s="571"/>
    </row>
    <row r="362" spans="1:16" s="17" customFormat="1" ht="33" customHeight="1">
      <c r="A362" s="431"/>
      <c r="B362" s="400">
        <v>46176</v>
      </c>
      <c r="C362" s="3" t="s">
        <v>24</v>
      </c>
      <c r="D362" s="3" t="s">
        <v>31</v>
      </c>
      <c r="E362" s="462" t="s">
        <v>5891</v>
      </c>
      <c r="F362" s="462">
        <v>3307</v>
      </c>
      <c r="G362" s="467" t="s">
        <v>1328</v>
      </c>
      <c r="H362" s="461" t="s">
        <v>5892</v>
      </c>
      <c r="I362" s="461" t="s">
        <v>5893</v>
      </c>
      <c r="J362" s="461" t="s">
        <v>686</v>
      </c>
      <c r="K362" s="125" t="s">
        <v>5894</v>
      </c>
      <c r="L362" s="467" t="s">
        <v>5895</v>
      </c>
      <c r="M362" s="463">
        <v>4</v>
      </c>
      <c r="N362" s="725"/>
      <c r="O362" s="444" t="s">
        <v>5922</v>
      </c>
      <c r="P362" s="571"/>
    </row>
    <row r="363" spans="1:16" s="17" customFormat="1" ht="33" customHeight="1">
      <c r="A363" s="431"/>
      <c r="B363" s="400">
        <v>46177</v>
      </c>
      <c r="C363" s="3" t="s">
        <v>5901</v>
      </c>
      <c r="D363" s="3" t="s">
        <v>14</v>
      </c>
      <c r="E363" s="462" t="s">
        <v>5902</v>
      </c>
      <c r="F363" s="462" t="s">
        <v>5903</v>
      </c>
      <c r="G363" s="467" t="s">
        <v>6015</v>
      </c>
      <c r="H363" s="461" t="s">
        <v>5905</v>
      </c>
      <c r="I363" s="462" t="s">
        <v>5906</v>
      </c>
      <c r="J363" s="462" t="s">
        <v>5992</v>
      </c>
      <c r="K363" s="125" t="s">
        <v>5894</v>
      </c>
      <c r="L363" s="467" t="s">
        <v>5908</v>
      </c>
      <c r="M363" s="463">
        <v>4</v>
      </c>
      <c r="N363" s="31"/>
      <c r="O363" s="439" t="s">
        <v>5993</v>
      </c>
      <c r="P363" s="571"/>
    </row>
    <row r="364" spans="1:16" s="17" customFormat="1" ht="33" customHeight="1">
      <c r="A364" s="431"/>
      <c r="B364" s="400">
        <v>46177</v>
      </c>
      <c r="C364" s="3" t="s">
        <v>24</v>
      </c>
      <c r="D364" s="3" t="s">
        <v>31</v>
      </c>
      <c r="E364" s="462" t="s">
        <v>5891</v>
      </c>
      <c r="F364" s="462">
        <v>3307</v>
      </c>
      <c r="G364" s="467" t="s">
        <v>1328</v>
      </c>
      <c r="H364" s="461" t="s">
        <v>5892</v>
      </c>
      <c r="I364" s="461" t="s">
        <v>5893</v>
      </c>
      <c r="J364" s="461" t="s">
        <v>686</v>
      </c>
      <c r="K364" s="125" t="s">
        <v>5894</v>
      </c>
      <c r="L364" s="467" t="s">
        <v>5895</v>
      </c>
      <c r="M364" s="463">
        <v>4</v>
      </c>
      <c r="N364" s="31"/>
      <c r="O364" s="444" t="s">
        <v>5922</v>
      </c>
      <c r="P364" s="571"/>
    </row>
    <row r="365" spans="1:16" s="17" customFormat="1" ht="33" customHeight="1">
      <c r="A365" s="431"/>
      <c r="B365" s="400">
        <v>46177</v>
      </c>
      <c r="C365" s="3" t="s">
        <v>21</v>
      </c>
      <c r="D365" s="3" t="s">
        <v>14</v>
      </c>
      <c r="E365" s="462" t="s">
        <v>1893</v>
      </c>
      <c r="F365" s="462" t="s">
        <v>4939</v>
      </c>
      <c r="G365" s="467" t="s">
        <v>6017</v>
      </c>
      <c r="H365" s="773" t="s">
        <v>6037</v>
      </c>
      <c r="I365" s="771" t="s">
        <v>6035</v>
      </c>
      <c r="J365" s="773" t="s">
        <v>6038</v>
      </c>
      <c r="K365" s="125" t="s">
        <v>6032</v>
      </c>
      <c r="L365" s="16">
        <v>9080</v>
      </c>
      <c r="M365" s="8">
        <v>3</v>
      </c>
      <c r="N365" s="771"/>
      <c r="O365" s="444"/>
      <c r="P365" s="571"/>
    </row>
    <row r="366" spans="1:16" s="17" customFormat="1" ht="33" customHeight="1">
      <c r="A366" s="431"/>
      <c r="B366" s="400">
        <v>46177</v>
      </c>
      <c r="C366" s="3" t="s">
        <v>21</v>
      </c>
      <c r="D366" s="3" t="s">
        <v>14</v>
      </c>
      <c r="E366" s="462" t="s">
        <v>1893</v>
      </c>
      <c r="F366" s="462" t="s">
        <v>4939</v>
      </c>
      <c r="G366" s="467" t="s">
        <v>482</v>
      </c>
      <c r="H366" s="773" t="s">
        <v>6039</v>
      </c>
      <c r="I366" s="771" t="s">
        <v>6035</v>
      </c>
      <c r="J366" s="773" t="s">
        <v>6040</v>
      </c>
      <c r="K366" s="125" t="s">
        <v>6041</v>
      </c>
      <c r="L366" s="16">
        <v>9080</v>
      </c>
      <c r="M366" s="8">
        <v>2</v>
      </c>
      <c r="N366" s="771"/>
      <c r="O366" s="444"/>
      <c r="P366" s="571"/>
    </row>
    <row r="367" spans="1:16" s="17" customFormat="1" ht="33" customHeight="1">
      <c r="A367" s="431"/>
      <c r="B367" s="400">
        <v>46178</v>
      </c>
      <c r="C367" s="3" t="s">
        <v>24</v>
      </c>
      <c r="D367" s="3" t="s">
        <v>31</v>
      </c>
      <c r="E367" s="462" t="s">
        <v>5891</v>
      </c>
      <c r="F367" s="462">
        <v>3307</v>
      </c>
      <c r="G367" s="467" t="s">
        <v>1328</v>
      </c>
      <c r="H367" s="461" t="s">
        <v>5892</v>
      </c>
      <c r="I367" s="461" t="s">
        <v>5893</v>
      </c>
      <c r="J367" s="461" t="s">
        <v>686</v>
      </c>
      <c r="K367" s="125" t="s">
        <v>5894</v>
      </c>
      <c r="L367" s="467" t="s">
        <v>5895</v>
      </c>
      <c r="M367" s="463">
        <v>4</v>
      </c>
      <c r="N367" s="31"/>
      <c r="O367" s="444" t="s">
        <v>5922</v>
      </c>
      <c r="P367" s="571"/>
    </row>
    <row r="368" spans="1:16" s="17" customFormat="1" ht="33" customHeight="1">
      <c r="A368" s="431"/>
      <c r="B368" s="370">
        <v>46178</v>
      </c>
      <c r="C368" s="4" t="s">
        <v>5914</v>
      </c>
      <c r="D368" s="4" t="s">
        <v>5915</v>
      </c>
      <c r="E368" s="31" t="s">
        <v>5916</v>
      </c>
      <c r="F368" s="31" t="s">
        <v>5917</v>
      </c>
      <c r="G368" s="16" t="s">
        <v>553</v>
      </c>
      <c r="H368" s="193" t="s">
        <v>5975</v>
      </c>
      <c r="I368" s="31"/>
      <c r="J368" s="727" t="s">
        <v>5921</v>
      </c>
      <c r="K368" s="125" t="s">
        <v>15</v>
      </c>
      <c r="L368" s="16">
        <v>9080</v>
      </c>
      <c r="M368" s="8">
        <v>2</v>
      </c>
      <c r="N368" s="31"/>
      <c r="O368" s="435"/>
      <c r="P368" s="571"/>
    </row>
    <row r="369" spans="1:16" s="17" customFormat="1" ht="33" customHeight="1">
      <c r="A369" s="431"/>
      <c r="B369" s="370">
        <v>46178</v>
      </c>
      <c r="C369" s="4" t="s">
        <v>5914</v>
      </c>
      <c r="D369" s="4" t="s">
        <v>5915</v>
      </c>
      <c r="E369" s="725" t="s">
        <v>5916</v>
      </c>
      <c r="F369" s="725" t="s">
        <v>5917</v>
      </c>
      <c r="G369" s="16" t="s">
        <v>5918</v>
      </c>
      <c r="H369" s="727" t="s">
        <v>5920</v>
      </c>
      <c r="I369" s="725"/>
      <c r="J369" s="727" t="s">
        <v>5921</v>
      </c>
      <c r="K369" s="125" t="s">
        <v>15</v>
      </c>
      <c r="L369" s="16">
        <v>9080</v>
      </c>
      <c r="M369" s="8">
        <v>2</v>
      </c>
      <c r="N369" s="725"/>
      <c r="O369" s="435"/>
      <c r="P369" s="571"/>
    </row>
    <row r="370" spans="1:16" s="17" customFormat="1" ht="33" customHeight="1">
      <c r="A370" s="431"/>
      <c r="B370" s="370">
        <v>46178</v>
      </c>
      <c r="C370" s="3" t="s">
        <v>21</v>
      </c>
      <c r="D370" s="3" t="s">
        <v>14</v>
      </c>
      <c r="E370" s="462" t="s">
        <v>107</v>
      </c>
      <c r="F370" s="462" t="s">
        <v>3386</v>
      </c>
      <c r="G370" s="467" t="s">
        <v>6015</v>
      </c>
      <c r="H370" s="461" t="s">
        <v>5905</v>
      </c>
      <c r="I370" s="462" t="s">
        <v>90</v>
      </c>
      <c r="J370" s="462" t="s">
        <v>6014</v>
      </c>
      <c r="K370" s="125" t="s">
        <v>15</v>
      </c>
      <c r="L370" s="467" t="s">
        <v>33</v>
      </c>
      <c r="M370" s="463">
        <v>2</v>
      </c>
      <c r="N370" s="771"/>
      <c r="O370" s="435"/>
      <c r="P370" s="571"/>
    </row>
    <row r="371" spans="1:16" s="17" customFormat="1" ht="33" customHeight="1">
      <c r="A371" s="431"/>
      <c r="B371" s="370">
        <v>46178</v>
      </c>
      <c r="C371" s="4" t="s">
        <v>21</v>
      </c>
      <c r="D371" s="4" t="s">
        <v>6003</v>
      </c>
      <c r="E371" s="755" t="s">
        <v>6004</v>
      </c>
      <c r="F371" s="462" t="s">
        <v>4939</v>
      </c>
      <c r="G371" s="16" t="s">
        <v>6017</v>
      </c>
      <c r="H371" s="756" t="s">
        <v>6005</v>
      </c>
      <c r="I371" s="755" t="s">
        <v>6042</v>
      </c>
      <c r="J371" s="756" t="s">
        <v>6016</v>
      </c>
      <c r="K371" s="125" t="s">
        <v>6006</v>
      </c>
      <c r="L371" s="16">
        <v>9080</v>
      </c>
      <c r="M371" s="8">
        <v>1</v>
      </c>
      <c r="N371" s="755"/>
      <c r="O371" s="435"/>
      <c r="P371" s="571"/>
    </row>
    <row r="372" spans="1:16" s="17" customFormat="1" ht="33" customHeight="1">
      <c r="A372" s="432"/>
      <c r="B372" s="400">
        <v>46179</v>
      </c>
      <c r="C372" s="3" t="s">
        <v>24</v>
      </c>
      <c r="D372" s="3" t="s">
        <v>31</v>
      </c>
      <c r="E372" s="462" t="s">
        <v>5891</v>
      </c>
      <c r="F372" s="462">
        <v>3307</v>
      </c>
      <c r="G372" s="467" t="s">
        <v>1328</v>
      </c>
      <c r="H372" s="461" t="s">
        <v>5892</v>
      </c>
      <c r="I372" s="461" t="s">
        <v>5893</v>
      </c>
      <c r="J372" s="461" t="s">
        <v>686</v>
      </c>
      <c r="K372" s="125" t="s">
        <v>5894</v>
      </c>
      <c r="L372" s="467" t="s">
        <v>5895</v>
      </c>
      <c r="M372" s="463">
        <v>4</v>
      </c>
      <c r="N372" s="31"/>
      <c r="O372" s="444" t="s">
        <v>5922</v>
      </c>
      <c r="P372" s="571"/>
    </row>
    <row r="373" spans="1:16" s="17" customFormat="1" ht="33" customHeight="1">
      <c r="A373" s="323" t="s">
        <v>0</v>
      </c>
      <c r="B373" s="324" t="s">
        <v>1</v>
      </c>
      <c r="C373" s="323" t="s">
        <v>2</v>
      </c>
      <c r="D373" s="323" t="s">
        <v>3</v>
      </c>
      <c r="E373" s="323" t="s">
        <v>4</v>
      </c>
      <c r="F373" s="323" t="s">
        <v>5</v>
      </c>
      <c r="G373" s="323" t="s">
        <v>6</v>
      </c>
      <c r="H373" s="325" t="s">
        <v>7</v>
      </c>
      <c r="I373" s="323" t="s">
        <v>8</v>
      </c>
      <c r="J373" s="323" t="s">
        <v>9</v>
      </c>
      <c r="K373" s="326" t="s">
        <v>10</v>
      </c>
      <c r="L373" s="327" t="s">
        <v>11</v>
      </c>
      <c r="M373" s="323" t="s">
        <v>12</v>
      </c>
      <c r="N373" s="328" t="s">
        <v>13</v>
      </c>
      <c r="O373" s="434" t="s">
        <v>63</v>
      </c>
      <c r="P373" s="323" t="s">
        <v>5411</v>
      </c>
    </row>
    <row r="374" spans="1:16" s="17" customFormat="1" ht="33" customHeight="1">
      <c r="A374" s="616" t="s">
        <v>4505</v>
      </c>
      <c r="B374" s="400">
        <v>46181</v>
      </c>
      <c r="C374" s="3" t="s">
        <v>6009</v>
      </c>
      <c r="D374" s="3" t="s">
        <v>6010</v>
      </c>
      <c r="E374" s="462" t="s">
        <v>6011</v>
      </c>
      <c r="F374" s="461" t="s">
        <v>6020</v>
      </c>
      <c r="G374" s="467" t="s">
        <v>6008</v>
      </c>
      <c r="H374" s="461" t="s">
        <v>6018</v>
      </c>
      <c r="I374" s="771" t="s">
        <v>90</v>
      </c>
      <c r="J374" s="607" t="s">
        <v>6012</v>
      </c>
      <c r="K374" s="136" t="s">
        <v>15</v>
      </c>
      <c r="L374" s="16" t="s">
        <v>6013</v>
      </c>
      <c r="M374" s="8">
        <v>2</v>
      </c>
      <c r="N374" s="607" t="s">
        <v>6086</v>
      </c>
      <c r="O374" s="438" t="s">
        <v>6019</v>
      </c>
      <c r="P374" s="571"/>
    </row>
    <row r="375" spans="1:16" s="17" customFormat="1" ht="33" customHeight="1">
      <c r="A375" s="431"/>
      <c r="B375" s="400">
        <v>46181</v>
      </c>
      <c r="C375" s="4" t="s">
        <v>21</v>
      </c>
      <c r="D375" s="4" t="s">
        <v>17</v>
      </c>
      <c r="E375" s="771" t="s">
        <v>78</v>
      </c>
      <c r="F375" s="461" t="s">
        <v>6020</v>
      </c>
      <c r="G375" s="16" t="s">
        <v>37</v>
      </c>
      <c r="H375" s="773" t="s">
        <v>6001</v>
      </c>
      <c r="I375" s="771" t="s">
        <v>90</v>
      </c>
      <c r="J375" s="771" t="s">
        <v>6012</v>
      </c>
      <c r="K375" s="136" t="s">
        <v>15</v>
      </c>
      <c r="L375" s="16" t="s">
        <v>6013</v>
      </c>
      <c r="M375" s="8">
        <v>2</v>
      </c>
      <c r="N375" s="771"/>
      <c r="O375" s="438" t="s">
        <v>6019</v>
      </c>
      <c r="P375" s="571"/>
    </row>
    <row r="376" spans="1:16" s="483" customFormat="1" ht="33" customHeight="1">
      <c r="A376" s="760"/>
      <c r="B376" s="198">
        <v>46181</v>
      </c>
      <c r="C376" s="3" t="s">
        <v>163</v>
      </c>
      <c r="D376" s="3" t="s">
        <v>5727</v>
      </c>
      <c r="E376" s="481" t="s">
        <v>5728</v>
      </c>
      <c r="F376" s="462" t="s">
        <v>5998</v>
      </c>
      <c r="G376" s="467" t="s">
        <v>5999</v>
      </c>
      <c r="H376" s="461" t="s">
        <v>6088</v>
      </c>
      <c r="I376" s="462" t="s">
        <v>6007</v>
      </c>
      <c r="J376" s="462" t="s">
        <v>6087</v>
      </c>
      <c r="K376" s="136" t="s">
        <v>5982</v>
      </c>
      <c r="L376" s="467" t="s">
        <v>5895</v>
      </c>
      <c r="M376" s="463">
        <v>3</v>
      </c>
      <c r="N376" s="462"/>
      <c r="O376" s="465" t="s">
        <v>6091</v>
      </c>
      <c r="P376" s="761"/>
    </row>
    <row r="377" spans="1:16" s="17" customFormat="1" ht="33" customHeight="1">
      <c r="A377" s="617"/>
      <c r="B377" s="370">
        <v>46181</v>
      </c>
      <c r="C377" s="3" t="s">
        <v>24</v>
      </c>
      <c r="D377" s="3" t="s">
        <v>31</v>
      </c>
      <c r="E377" s="462" t="s">
        <v>5891</v>
      </c>
      <c r="F377" s="462">
        <v>3307</v>
      </c>
      <c r="G377" s="467" t="s">
        <v>1328</v>
      </c>
      <c r="H377" s="461" t="s">
        <v>5892</v>
      </c>
      <c r="I377" s="461" t="s">
        <v>5893</v>
      </c>
      <c r="J377" s="461" t="s">
        <v>686</v>
      </c>
      <c r="K377" s="125" t="s">
        <v>5894</v>
      </c>
      <c r="L377" s="467" t="s">
        <v>5895</v>
      </c>
      <c r="M377" s="463">
        <v>4</v>
      </c>
      <c r="N377" s="608"/>
      <c r="O377" s="437"/>
      <c r="P377" s="571"/>
    </row>
    <row r="378" spans="1:16" s="17" customFormat="1" ht="33" customHeight="1">
      <c r="A378" s="431"/>
      <c r="B378" s="370">
        <v>46181</v>
      </c>
      <c r="C378" s="3" t="s">
        <v>6025</v>
      </c>
      <c r="D378" s="3" t="s">
        <v>6026</v>
      </c>
      <c r="E378" s="462" t="s">
        <v>6027</v>
      </c>
      <c r="F378" s="462" t="s">
        <v>6028</v>
      </c>
      <c r="G378" s="467" t="s">
        <v>6029</v>
      </c>
      <c r="H378" s="461" t="s">
        <v>6030</v>
      </c>
      <c r="I378" s="462"/>
      <c r="J378" s="461" t="s">
        <v>6031</v>
      </c>
      <c r="K378" s="125" t="s">
        <v>6032</v>
      </c>
      <c r="L378" s="467" t="s">
        <v>5262</v>
      </c>
      <c r="M378" s="463">
        <v>1</v>
      </c>
      <c r="N378" s="771"/>
      <c r="O378" s="444" t="s">
        <v>6033</v>
      </c>
      <c r="P378" s="571"/>
    </row>
    <row r="379" spans="1:16" s="17" customFormat="1" ht="33" customHeight="1">
      <c r="A379" s="431"/>
      <c r="B379" s="370">
        <v>46181</v>
      </c>
      <c r="C379" s="3" t="s">
        <v>21</v>
      </c>
      <c r="D379" s="3" t="s">
        <v>14</v>
      </c>
      <c r="E379" s="462" t="s">
        <v>1893</v>
      </c>
      <c r="F379" s="462" t="s">
        <v>4939</v>
      </c>
      <c r="G379" s="467" t="s">
        <v>482</v>
      </c>
      <c r="H379" s="461" t="s">
        <v>6043</v>
      </c>
      <c r="I379" s="462" t="s">
        <v>6044</v>
      </c>
      <c r="J379" s="461" t="s">
        <v>6045</v>
      </c>
      <c r="K379" s="125" t="s">
        <v>6046</v>
      </c>
      <c r="L379" s="467">
        <v>9080</v>
      </c>
      <c r="M379" s="463">
        <v>2</v>
      </c>
      <c r="N379" s="771"/>
      <c r="O379" s="444" t="s">
        <v>6059</v>
      </c>
      <c r="P379" s="571"/>
    </row>
    <row r="380" spans="1:16" s="483" customFormat="1" ht="33" customHeight="1">
      <c r="A380" s="760"/>
      <c r="B380" s="198">
        <v>46182</v>
      </c>
      <c r="C380" s="3" t="s">
        <v>163</v>
      </c>
      <c r="D380" s="3" t="s">
        <v>5727</v>
      </c>
      <c r="E380" s="481" t="s">
        <v>5728</v>
      </c>
      <c r="F380" s="462" t="s">
        <v>5998</v>
      </c>
      <c r="G380" s="467" t="s">
        <v>5999</v>
      </c>
      <c r="H380" s="461" t="s">
        <v>6089</v>
      </c>
      <c r="I380" s="462" t="s">
        <v>6007</v>
      </c>
      <c r="J380" s="462" t="s">
        <v>6090</v>
      </c>
      <c r="K380" s="136" t="s">
        <v>15</v>
      </c>
      <c r="L380" s="467" t="s">
        <v>5262</v>
      </c>
      <c r="M380" s="463">
        <v>2</v>
      </c>
      <c r="N380" s="464"/>
      <c r="O380" s="444" t="s">
        <v>6059</v>
      </c>
      <c r="P380" s="761"/>
    </row>
    <row r="381" spans="1:16" s="17" customFormat="1" ht="33" customHeight="1">
      <c r="A381" s="431"/>
      <c r="B381" s="400">
        <v>46182</v>
      </c>
      <c r="C381" s="3" t="s">
        <v>24</v>
      </c>
      <c r="D381" s="3" t="s">
        <v>31</v>
      </c>
      <c r="E381" s="462" t="s">
        <v>5891</v>
      </c>
      <c r="F381" s="462">
        <v>3307</v>
      </c>
      <c r="G381" s="467" t="s">
        <v>1328</v>
      </c>
      <c r="H381" s="461" t="s">
        <v>5892</v>
      </c>
      <c r="I381" s="461" t="s">
        <v>5893</v>
      </c>
      <c r="J381" s="461" t="s">
        <v>686</v>
      </c>
      <c r="K381" s="125" t="s">
        <v>5894</v>
      </c>
      <c r="L381" s="467" t="s">
        <v>5895</v>
      </c>
      <c r="M381" s="463">
        <v>4</v>
      </c>
      <c r="N381" s="725"/>
      <c r="O381" s="437"/>
      <c r="P381" s="571"/>
    </row>
    <row r="382" spans="1:16" s="17" customFormat="1" ht="33" customHeight="1">
      <c r="A382" s="431"/>
      <c r="B382" s="370">
        <v>46182</v>
      </c>
      <c r="C382" s="3" t="s">
        <v>21</v>
      </c>
      <c r="D382" s="3" t="s">
        <v>14</v>
      </c>
      <c r="E382" s="462" t="s">
        <v>107</v>
      </c>
      <c r="F382" s="462" t="s">
        <v>3386</v>
      </c>
      <c r="G382" s="467" t="s">
        <v>6015</v>
      </c>
      <c r="H382" s="773" t="s">
        <v>6048</v>
      </c>
      <c r="I382" s="771" t="s">
        <v>6054</v>
      </c>
      <c r="J382" s="773" t="s">
        <v>6053</v>
      </c>
      <c r="K382" s="125" t="s">
        <v>6049</v>
      </c>
      <c r="L382" s="16" t="s">
        <v>6050</v>
      </c>
      <c r="M382" s="8">
        <v>2</v>
      </c>
      <c r="N382" s="771"/>
      <c r="O382" s="437"/>
      <c r="P382" s="571"/>
    </row>
    <row r="383" spans="1:16" s="17" customFormat="1" ht="33" customHeight="1">
      <c r="A383" s="431"/>
      <c r="B383" s="400">
        <v>46183</v>
      </c>
      <c r="C383" s="3" t="s">
        <v>21</v>
      </c>
      <c r="D383" s="3" t="s">
        <v>14</v>
      </c>
      <c r="E383" s="481" t="s">
        <v>149</v>
      </c>
      <c r="F383" s="462" t="s">
        <v>4090</v>
      </c>
      <c r="G383" s="467" t="s">
        <v>4091</v>
      </c>
      <c r="H383" s="461" t="s">
        <v>6089</v>
      </c>
      <c r="I383" s="462" t="s">
        <v>6007</v>
      </c>
      <c r="J383" s="462" t="s">
        <v>6090</v>
      </c>
      <c r="K383" s="136" t="s">
        <v>15</v>
      </c>
      <c r="L383" s="467" t="s">
        <v>5262</v>
      </c>
      <c r="M383" s="463">
        <v>2</v>
      </c>
      <c r="N383" s="771" t="s">
        <v>6085</v>
      </c>
      <c r="O383" s="437"/>
      <c r="P383" s="571"/>
    </row>
    <row r="384" spans="1:16" s="17" customFormat="1" ht="33" customHeight="1">
      <c r="A384" s="431"/>
      <c r="B384" s="400">
        <v>46183</v>
      </c>
      <c r="C384" s="3" t="s">
        <v>21</v>
      </c>
      <c r="D384" s="3" t="s">
        <v>14</v>
      </c>
      <c r="E384" s="462" t="s">
        <v>1893</v>
      </c>
      <c r="F384" s="462" t="s">
        <v>4939</v>
      </c>
      <c r="G384" s="467" t="s">
        <v>482</v>
      </c>
      <c r="H384" s="461" t="s">
        <v>6043</v>
      </c>
      <c r="I384" s="462" t="s">
        <v>6044</v>
      </c>
      <c r="J384" s="461" t="s">
        <v>6047</v>
      </c>
      <c r="K384" s="125" t="s">
        <v>6046</v>
      </c>
      <c r="L384" s="467">
        <v>9080</v>
      </c>
      <c r="M384" s="463">
        <v>4</v>
      </c>
      <c r="N384" s="771" t="s">
        <v>6155</v>
      </c>
      <c r="O384" s="437"/>
      <c r="P384" s="571"/>
    </row>
    <row r="385" spans="1:16" s="17" customFormat="1" ht="33" customHeight="1">
      <c r="A385" s="617"/>
      <c r="B385" s="400">
        <v>46183</v>
      </c>
      <c r="C385" s="3" t="s">
        <v>24</v>
      </c>
      <c r="D385" s="3" t="s">
        <v>31</v>
      </c>
      <c r="E385" s="462" t="s">
        <v>5996</v>
      </c>
      <c r="F385" s="462">
        <v>3306</v>
      </c>
      <c r="G385" s="467" t="s">
        <v>1328</v>
      </c>
      <c r="H385" s="461" t="s">
        <v>5892</v>
      </c>
      <c r="I385" s="461" t="s">
        <v>5893</v>
      </c>
      <c r="J385" s="461" t="s">
        <v>686</v>
      </c>
      <c r="K385" s="125" t="s">
        <v>5894</v>
      </c>
      <c r="L385" s="467" t="s">
        <v>5895</v>
      </c>
      <c r="M385" s="463">
        <v>4</v>
      </c>
      <c r="N385" s="608"/>
      <c r="O385" s="437"/>
      <c r="P385" s="571"/>
    </row>
    <row r="386" spans="1:16" s="17" customFormat="1" ht="33" customHeight="1">
      <c r="A386" s="617"/>
      <c r="B386" s="400">
        <v>46183</v>
      </c>
      <c r="C386" s="3" t="s">
        <v>21</v>
      </c>
      <c r="D386" s="3" t="s">
        <v>14</v>
      </c>
      <c r="E386" s="462" t="s">
        <v>2241</v>
      </c>
      <c r="F386" s="752" t="s">
        <v>5794</v>
      </c>
      <c r="G386" s="16" t="s">
        <v>2963</v>
      </c>
      <c r="H386" s="611" t="s">
        <v>6002</v>
      </c>
      <c r="I386" s="607" t="s">
        <v>5984</v>
      </c>
      <c r="J386" s="771"/>
      <c r="K386" s="136" t="s">
        <v>15</v>
      </c>
      <c r="L386" s="16" t="s">
        <v>6013</v>
      </c>
      <c r="M386" s="8">
        <v>1</v>
      </c>
      <c r="N386" s="607"/>
      <c r="O386" s="439"/>
      <c r="P386" s="571"/>
    </row>
    <row r="387" spans="1:16" s="17" customFormat="1" ht="33" customHeight="1">
      <c r="A387" s="431"/>
      <c r="B387" s="370">
        <v>46184</v>
      </c>
      <c r="C387" s="3" t="s">
        <v>21</v>
      </c>
      <c r="D387" s="3" t="s">
        <v>14</v>
      </c>
      <c r="E387" s="462" t="s">
        <v>1893</v>
      </c>
      <c r="F387" s="462" t="s">
        <v>4939</v>
      </c>
      <c r="G387" s="467" t="s">
        <v>482</v>
      </c>
      <c r="H387" s="461" t="s">
        <v>6043</v>
      </c>
      <c r="I387" s="462" t="s">
        <v>6044</v>
      </c>
      <c r="J387" s="461" t="s">
        <v>6047</v>
      </c>
      <c r="K387" s="125" t="s">
        <v>6046</v>
      </c>
      <c r="L387" s="467">
        <v>9080</v>
      </c>
      <c r="M387" s="463">
        <v>4</v>
      </c>
      <c r="N387" s="771"/>
      <c r="O387" s="439"/>
      <c r="P387" s="571"/>
    </row>
    <row r="388" spans="1:16" s="17" customFormat="1" ht="33" customHeight="1">
      <c r="A388" s="617"/>
      <c r="B388" s="370">
        <v>46184</v>
      </c>
      <c r="C388" s="3" t="s">
        <v>24</v>
      </c>
      <c r="D388" s="3" t="s">
        <v>31</v>
      </c>
      <c r="E388" s="462" t="s">
        <v>5896</v>
      </c>
      <c r="F388" s="462">
        <v>3306</v>
      </c>
      <c r="G388" s="467" t="s">
        <v>1328</v>
      </c>
      <c r="H388" s="461" t="s">
        <v>5892</v>
      </c>
      <c r="I388" s="461" t="s">
        <v>5893</v>
      </c>
      <c r="J388" s="461" t="s">
        <v>686</v>
      </c>
      <c r="K388" s="125" t="s">
        <v>5894</v>
      </c>
      <c r="L388" s="467" t="s">
        <v>5895</v>
      </c>
      <c r="M388" s="463">
        <v>4</v>
      </c>
      <c r="N388" s="608"/>
      <c r="O388" s="437"/>
      <c r="P388" s="571"/>
    </row>
    <row r="389" spans="1:16" s="17" customFormat="1" ht="33" customHeight="1">
      <c r="A389" s="617"/>
      <c r="B389" s="400">
        <v>46185</v>
      </c>
      <c r="C389" s="3" t="s">
        <v>24</v>
      </c>
      <c r="D389" s="3" t="s">
        <v>31</v>
      </c>
      <c r="E389" s="462" t="s">
        <v>5896</v>
      </c>
      <c r="F389" s="462">
        <v>3306</v>
      </c>
      <c r="G389" s="467" t="s">
        <v>1328</v>
      </c>
      <c r="H389" s="461" t="s">
        <v>5892</v>
      </c>
      <c r="I389" s="461" t="s">
        <v>5893</v>
      </c>
      <c r="J389" s="461" t="s">
        <v>686</v>
      </c>
      <c r="K389" s="125" t="s">
        <v>5894</v>
      </c>
      <c r="L389" s="467" t="s">
        <v>5895</v>
      </c>
      <c r="M389" s="463">
        <v>4</v>
      </c>
      <c r="N389" s="607" t="s">
        <v>6084</v>
      </c>
      <c r="O389" s="436"/>
      <c r="P389" s="571"/>
    </row>
    <row r="390" spans="1:16" s="17" customFormat="1" ht="33" customHeight="1">
      <c r="A390" s="431"/>
      <c r="B390" s="370">
        <v>46185</v>
      </c>
      <c r="C390" s="4" t="s">
        <v>29</v>
      </c>
      <c r="D390" s="4" t="s">
        <v>17</v>
      </c>
      <c r="E390" s="291" t="s">
        <v>1893</v>
      </c>
      <c r="F390" s="771" t="s">
        <v>5889</v>
      </c>
      <c r="G390" s="16" t="s">
        <v>207</v>
      </c>
      <c r="H390" s="773" t="s">
        <v>5890</v>
      </c>
      <c r="I390" s="771" t="s">
        <v>6128</v>
      </c>
      <c r="J390" s="771"/>
      <c r="K390" s="125" t="s">
        <v>15</v>
      </c>
      <c r="L390" s="16" t="s">
        <v>6021</v>
      </c>
      <c r="M390" s="8">
        <v>2</v>
      </c>
      <c r="N390" s="771"/>
      <c r="O390" s="436"/>
      <c r="P390" s="571"/>
    </row>
    <row r="391" spans="1:16" s="17" customFormat="1" ht="33" customHeight="1">
      <c r="A391" s="431"/>
      <c r="B391" s="370">
        <v>46185</v>
      </c>
      <c r="C391" s="3" t="s">
        <v>21</v>
      </c>
      <c r="D391" s="3" t="s">
        <v>17</v>
      </c>
      <c r="E391" s="462" t="s">
        <v>78</v>
      </c>
      <c r="F391" s="462" t="s">
        <v>3833</v>
      </c>
      <c r="G391" s="467" t="s">
        <v>207</v>
      </c>
      <c r="H391" s="461" t="s">
        <v>5793</v>
      </c>
      <c r="I391" s="462" t="s">
        <v>6147</v>
      </c>
      <c r="J391" s="461"/>
      <c r="K391" s="136" t="s">
        <v>15</v>
      </c>
      <c r="L391" s="467" t="s">
        <v>4550</v>
      </c>
      <c r="M391" s="8">
        <v>1</v>
      </c>
      <c r="N391" s="771"/>
      <c r="O391" s="436"/>
      <c r="P391" s="571"/>
    </row>
    <row r="392" spans="1:16" s="17" customFormat="1" ht="33" customHeight="1">
      <c r="A392" s="617"/>
      <c r="B392" s="400">
        <v>46185</v>
      </c>
      <c r="C392" s="4" t="s">
        <v>6092</v>
      </c>
      <c r="D392" s="4" t="s">
        <v>6026</v>
      </c>
      <c r="E392" s="771" t="s">
        <v>6093</v>
      </c>
      <c r="F392" s="771" t="s">
        <v>6094</v>
      </c>
      <c r="G392" s="16" t="s">
        <v>6095</v>
      </c>
      <c r="H392" s="773" t="s">
        <v>6096</v>
      </c>
      <c r="I392" s="462" t="s">
        <v>6024</v>
      </c>
      <c r="J392" s="467" t="s">
        <v>6023</v>
      </c>
      <c r="K392" s="467" t="s">
        <v>6046</v>
      </c>
      <c r="L392" s="467" t="s">
        <v>6111</v>
      </c>
      <c r="M392" s="467">
        <v>2</v>
      </c>
      <c r="N392" s="607"/>
      <c r="O392" s="435" t="s">
        <v>6121</v>
      </c>
      <c r="P392" s="571"/>
    </row>
    <row r="393" spans="1:16" s="17" customFormat="1" ht="33" customHeight="1">
      <c r="A393" s="618"/>
      <c r="B393" s="370">
        <v>46186</v>
      </c>
      <c r="C393" s="4"/>
      <c r="D393" s="4"/>
      <c r="E393" s="607"/>
      <c r="F393" s="607"/>
      <c r="G393" s="16"/>
      <c r="H393" s="611"/>
      <c r="I393" s="611"/>
      <c r="J393" s="611"/>
      <c r="K393" s="125"/>
      <c r="L393" s="16"/>
      <c r="M393" s="8"/>
      <c r="N393" s="611"/>
      <c r="O393" s="445"/>
      <c r="P393" s="571"/>
    </row>
    <row r="394" spans="1:16" s="17" customFormat="1" ht="33" customHeight="1">
      <c r="A394" s="323" t="s">
        <v>0</v>
      </c>
      <c r="B394" s="324" t="s">
        <v>1</v>
      </c>
      <c r="C394" s="323" t="s">
        <v>2</v>
      </c>
      <c r="D394" s="323" t="s">
        <v>3</v>
      </c>
      <c r="E394" s="323" t="s">
        <v>4</v>
      </c>
      <c r="F394" s="323" t="s">
        <v>5</v>
      </c>
      <c r="G394" s="323" t="s">
        <v>6</v>
      </c>
      <c r="H394" s="325" t="s">
        <v>7</v>
      </c>
      <c r="I394" s="323" t="s">
        <v>8</v>
      </c>
      <c r="J394" s="323" t="s">
        <v>9</v>
      </c>
      <c r="K394" s="326" t="s">
        <v>10</v>
      </c>
      <c r="L394" s="327" t="s">
        <v>11</v>
      </c>
      <c r="M394" s="323" t="s">
        <v>12</v>
      </c>
      <c r="N394" s="328" t="s">
        <v>13</v>
      </c>
      <c r="O394" s="434" t="s">
        <v>63</v>
      </c>
      <c r="P394" s="323" t="s">
        <v>123</v>
      </c>
    </row>
    <row r="395" spans="1:16" s="17" customFormat="1" ht="33" customHeight="1">
      <c r="A395" s="616" t="s">
        <v>5625</v>
      </c>
      <c r="B395" s="400">
        <v>46188</v>
      </c>
      <c r="C395" s="3" t="s">
        <v>21</v>
      </c>
      <c r="D395" s="3" t="s">
        <v>17</v>
      </c>
      <c r="E395" s="462" t="s">
        <v>4836</v>
      </c>
      <c r="F395" s="462">
        <v>3306</v>
      </c>
      <c r="G395" s="467" t="s">
        <v>1328</v>
      </c>
      <c r="H395" s="461" t="s">
        <v>5892</v>
      </c>
      <c r="I395" s="461" t="s">
        <v>5893</v>
      </c>
      <c r="J395" s="461" t="s">
        <v>686</v>
      </c>
      <c r="K395" s="125" t="s">
        <v>15</v>
      </c>
      <c r="L395" s="467" t="s">
        <v>5262</v>
      </c>
      <c r="M395" s="463">
        <v>4</v>
      </c>
      <c r="N395" s="607" t="s">
        <v>6035</v>
      </c>
      <c r="O395" s="438"/>
      <c r="P395" s="571"/>
    </row>
    <row r="396" spans="1:16" s="17" customFormat="1" ht="33" customHeight="1">
      <c r="A396" s="617"/>
      <c r="B396" s="400">
        <v>46188</v>
      </c>
      <c r="C396" s="3" t="s">
        <v>6123</v>
      </c>
      <c r="D396" s="3" t="s">
        <v>6026</v>
      </c>
      <c r="E396" s="462" t="s">
        <v>6124</v>
      </c>
      <c r="F396" s="462" t="s">
        <v>6125</v>
      </c>
      <c r="G396" s="467" t="s">
        <v>6126</v>
      </c>
      <c r="H396" s="461" t="s">
        <v>6127</v>
      </c>
      <c r="I396" s="461"/>
      <c r="J396" s="461" t="s">
        <v>5606</v>
      </c>
      <c r="K396" s="125" t="s">
        <v>6046</v>
      </c>
      <c r="L396" s="467" t="s">
        <v>6111</v>
      </c>
      <c r="M396" s="463">
        <v>2</v>
      </c>
      <c r="N396" s="771" t="s">
        <v>6156</v>
      </c>
      <c r="O396" s="438"/>
      <c r="P396" s="571"/>
    </row>
    <row r="397" spans="1:16" s="17" customFormat="1" ht="33" customHeight="1">
      <c r="A397" s="617"/>
      <c r="B397" s="400">
        <v>46188</v>
      </c>
      <c r="C397" s="3" t="s">
        <v>21</v>
      </c>
      <c r="D397" s="3" t="s">
        <v>14</v>
      </c>
      <c r="E397" s="462" t="s">
        <v>1893</v>
      </c>
      <c r="F397" s="462" t="s">
        <v>4939</v>
      </c>
      <c r="G397" s="467" t="s">
        <v>482</v>
      </c>
      <c r="H397" s="461" t="s">
        <v>271</v>
      </c>
      <c r="I397" s="461"/>
      <c r="J397" s="461" t="s">
        <v>999</v>
      </c>
      <c r="K397" s="125" t="s">
        <v>15</v>
      </c>
      <c r="L397" s="467">
        <v>9080</v>
      </c>
      <c r="M397" s="463">
        <v>1</v>
      </c>
      <c r="N397" s="779" t="s">
        <v>6255</v>
      </c>
      <c r="O397" s="438"/>
      <c r="P397" s="571"/>
    </row>
    <row r="398" spans="1:16" s="17" customFormat="1" ht="33" customHeight="1">
      <c r="A398" s="617"/>
      <c r="B398" s="400">
        <v>46189</v>
      </c>
      <c r="C398" s="3" t="s">
        <v>21</v>
      </c>
      <c r="D398" s="3" t="s">
        <v>17</v>
      </c>
      <c r="E398" s="462" t="s">
        <v>4836</v>
      </c>
      <c r="F398" s="462">
        <v>3306</v>
      </c>
      <c r="G398" s="467" t="s">
        <v>1328</v>
      </c>
      <c r="H398" s="461" t="s">
        <v>5892</v>
      </c>
      <c r="I398" s="461" t="s">
        <v>5893</v>
      </c>
      <c r="J398" s="461" t="s">
        <v>686</v>
      </c>
      <c r="K398" s="125" t="s">
        <v>15</v>
      </c>
      <c r="L398" s="467" t="s">
        <v>5262</v>
      </c>
      <c r="M398" s="463">
        <v>4</v>
      </c>
      <c r="N398" s="779" t="s">
        <v>6255</v>
      </c>
      <c r="O398" s="438"/>
      <c r="P398" s="571"/>
    </row>
    <row r="399" spans="1:16" s="17" customFormat="1" ht="33" customHeight="1">
      <c r="A399" s="617"/>
      <c r="B399" s="400">
        <v>46189</v>
      </c>
      <c r="C399" s="3" t="s">
        <v>21</v>
      </c>
      <c r="D399" s="3" t="s">
        <v>14</v>
      </c>
      <c r="E399" s="462" t="s">
        <v>1893</v>
      </c>
      <c r="F399" s="462" t="s">
        <v>4939</v>
      </c>
      <c r="G399" s="467" t="s">
        <v>482</v>
      </c>
      <c r="H399" s="461" t="s">
        <v>6043</v>
      </c>
      <c r="I399" s="461" t="s">
        <v>6137</v>
      </c>
      <c r="J399" s="461"/>
      <c r="K399" s="125" t="s">
        <v>6046</v>
      </c>
      <c r="L399" s="467">
        <v>9080</v>
      </c>
      <c r="M399" s="463">
        <v>1</v>
      </c>
      <c r="N399" s="462"/>
      <c r="O399" s="438"/>
      <c r="P399" s="571"/>
    </row>
    <row r="400" spans="1:16" s="17" customFormat="1" ht="33" customHeight="1">
      <c r="A400" s="617"/>
      <c r="B400" s="400">
        <v>46189</v>
      </c>
      <c r="C400" s="3" t="s">
        <v>6098</v>
      </c>
      <c r="D400" s="3" t="s">
        <v>6099</v>
      </c>
      <c r="E400" s="461" t="s">
        <v>6100</v>
      </c>
      <c r="F400" s="771" t="s">
        <v>6102</v>
      </c>
      <c r="G400" s="16" t="s">
        <v>6106</v>
      </c>
      <c r="H400" s="773" t="s">
        <v>6105</v>
      </c>
      <c r="I400" s="771"/>
      <c r="J400" s="773" t="s">
        <v>6101</v>
      </c>
      <c r="K400" s="125" t="s">
        <v>6041</v>
      </c>
      <c r="L400" s="16" t="s">
        <v>6097</v>
      </c>
      <c r="M400" s="8">
        <v>2</v>
      </c>
      <c r="N400" s="462"/>
      <c r="O400" s="438" t="s">
        <v>6107</v>
      </c>
      <c r="P400" s="571"/>
    </row>
    <row r="401" spans="1:16" s="17" customFormat="1" ht="33" customHeight="1">
      <c r="A401" s="617"/>
      <c r="B401" s="400">
        <v>46190</v>
      </c>
      <c r="C401" s="3" t="s">
        <v>6098</v>
      </c>
      <c r="D401" s="3" t="s">
        <v>6099</v>
      </c>
      <c r="E401" s="461" t="s">
        <v>6100</v>
      </c>
      <c r="F401" s="771" t="s">
        <v>6102</v>
      </c>
      <c r="G401" s="16" t="s">
        <v>6103</v>
      </c>
      <c r="H401" s="773" t="s">
        <v>6104</v>
      </c>
      <c r="I401" s="771"/>
      <c r="J401" s="773" t="s">
        <v>6101</v>
      </c>
      <c r="K401" s="125" t="s">
        <v>6041</v>
      </c>
      <c r="L401" s="16" t="s">
        <v>6097</v>
      </c>
      <c r="M401" s="8">
        <v>2</v>
      </c>
      <c r="N401" s="779" t="s">
        <v>6255</v>
      </c>
      <c r="O401" s="444" t="s">
        <v>6108</v>
      </c>
      <c r="P401" s="571"/>
    </row>
    <row r="402" spans="1:16" s="17" customFormat="1" ht="33" customHeight="1">
      <c r="A402" s="617"/>
      <c r="B402" s="400">
        <v>46190</v>
      </c>
      <c r="C402" s="3" t="s">
        <v>21</v>
      </c>
      <c r="D402" s="3" t="s">
        <v>14</v>
      </c>
      <c r="E402" s="462" t="s">
        <v>1893</v>
      </c>
      <c r="F402" s="462" t="s">
        <v>4939</v>
      </c>
      <c r="G402" s="467" t="s">
        <v>482</v>
      </c>
      <c r="H402" s="461" t="s">
        <v>6043</v>
      </c>
      <c r="I402" s="461" t="s">
        <v>6137</v>
      </c>
      <c r="J402" s="461" t="s">
        <v>6016</v>
      </c>
      <c r="K402" s="125" t="s">
        <v>6046</v>
      </c>
      <c r="L402" s="467">
        <v>9080</v>
      </c>
      <c r="M402" s="463">
        <v>2</v>
      </c>
      <c r="N402" s="462"/>
      <c r="O402" s="437"/>
      <c r="P402" s="571"/>
    </row>
    <row r="403" spans="1:16" s="17" customFormat="1" ht="33" customHeight="1">
      <c r="A403" s="617"/>
      <c r="B403" s="400">
        <v>46190</v>
      </c>
      <c r="C403" s="3" t="s">
        <v>138</v>
      </c>
      <c r="D403" s="3" t="s">
        <v>14</v>
      </c>
      <c r="E403" s="462" t="s">
        <v>107</v>
      </c>
      <c r="F403" s="462" t="s">
        <v>3386</v>
      </c>
      <c r="G403" s="467" t="s">
        <v>115</v>
      </c>
      <c r="H403" s="461" t="s">
        <v>6127</v>
      </c>
      <c r="I403" s="461" t="s">
        <v>6243</v>
      </c>
      <c r="J403" s="461" t="s">
        <v>6242</v>
      </c>
      <c r="K403" s="125" t="s">
        <v>15</v>
      </c>
      <c r="L403" s="467" t="s">
        <v>33</v>
      </c>
      <c r="M403" s="463">
        <v>2</v>
      </c>
      <c r="N403" s="462"/>
      <c r="O403" s="437"/>
      <c r="P403" s="571"/>
    </row>
    <row r="404" spans="1:16" s="17" customFormat="1" ht="33" customHeight="1">
      <c r="A404" s="617"/>
      <c r="B404" s="400">
        <v>46191</v>
      </c>
      <c r="C404" s="3" t="s">
        <v>6025</v>
      </c>
      <c r="D404" s="3" t="s">
        <v>6114</v>
      </c>
      <c r="E404" s="461" t="s">
        <v>6115</v>
      </c>
      <c r="F404" s="771">
        <v>7060</v>
      </c>
      <c r="G404" s="16" t="s">
        <v>6116</v>
      </c>
      <c r="H404" s="773" t="s">
        <v>6117</v>
      </c>
      <c r="I404" s="771" t="s">
        <v>6054</v>
      </c>
      <c r="J404" s="773" t="s">
        <v>6118</v>
      </c>
      <c r="K404" s="125" t="s">
        <v>6046</v>
      </c>
      <c r="L404" s="16" t="s">
        <v>6013</v>
      </c>
      <c r="M404" s="8">
        <v>2</v>
      </c>
      <c r="N404" s="772"/>
      <c r="O404" s="437"/>
      <c r="P404" s="571"/>
    </row>
    <row r="405" spans="1:16" s="17" customFormat="1" ht="33" customHeight="1">
      <c r="A405" s="617"/>
      <c r="B405" s="400">
        <v>46191</v>
      </c>
      <c r="C405" s="3" t="s">
        <v>21</v>
      </c>
      <c r="D405" s="3" t="s">
        <v>14</v>
      </c>
      <c r="E405" s="462" t="s">
        <v>1893</v>
      </c>
      <c r="F405" s="462" t="s">
        <v>4939</v>
      </c>
      <c r="G405" s="467" t="s">
        <v>482</v>
      </c>
      <c r="H405" s="461" t="s">
        <v>6043</v>
      </c>
      <c r="I405" s="461" t="s">
        <v>6137</v>
      </c>
      <c r="J405" s="461" t="s">
        <v>6016</v>
      </c>
      <c r="K405" s="125" t="s">
        <v>6046</v>
      </c>
      <c r="L405" s="467">
        <v>9080</v>
      </c>
      <c r="M405" s="463">
        <v>2</v>
      </c>
      <c r="N405" s="772"/>
      <c r="O405" s="437"/>
      <c r="P405" s="571"/>
    </row>
    <row r="406" spans="1:16" s="17" customFormat="1" ht="33" customHeight="1">
      <c r="A406" s="617"/>
      <c r="B406" s="400">
        <v>46192</v>
      </c>
      <c r="C406" s="3" t="s">
        <v>21</v>
      </c>
      <c r="D406" s="3" t="s">
        <v>14</v>
      </c>
      <c r="E406" s="462" t="s">
        <v>1893</v>
      </c>
      <c r="F406" s="462" t="s">
        <v>4939</v>
      </c>
      <c r="G406" s="467" t="s">
        <v>482</v>
      </c>
      <c r="H406" s="461" t="s">
        <v>6043</v>
      </c>
      <c r="I406" s="461" t="s">
        <v>6137</v>
      </c>
      <c r="J406" s="461" t="s">
        <v>6016</v>
      </c>
      <c r="K406" s="125" t="s">
        <v>6046</v>
      </c>
      <c r="L406" s="467">
        <v>9080</v>
      </c>
      <c r="M406" s="463">
        <v>2</v>
      </c>
      <c r="N406" s="779" t="s">
        <v>6255</v>
      </c>
      <c r="O406" s="437"/>
      <c r="P406" s="571"/>
    </row>
    <row r="407" spans="1:16" s="17" customFormat="1" ht="33" customHeight="1">
      <c r="A407" s="617"/>
      <c r="B407" s="400">
        <v>46193</v>
      </c>
      <c r="C407" s="4"/>
      <c r="D407" s="4"/>
      <c r="E407" s="291"/>
      <c r="F407" s="607"/>
      <c r="G407" s="16"/>
      <c r="H407" s="611"/>
      <c r="I407" s="607"/>
      <c r="J407" s="607"/>
      <c r="K407" s="125"/>
      <c r="L407" s="16"/>
      <c r="M407" s="8"/>
      <c r="N407" s="607"/>
      <c r="O407" s="439"/>
      <c r="P407" s="571"/>
    </row>
    <row r="408" spans="1:16" s="17" customFormat="1" ht="33" customHeight="1">
      <c r="A408" s="323" t="s">
        <v>0</v>
      </c>
      <c r="B408" s="324" t="s">
        <v>1</v>
      </c>
      <c r="C408" s="323" t="s">
        <v>2</v>
      </c>
      <c r="D408" s="323" t="s">
        <v>3</v>
      </c>
      <c r="E408" s="323" t="s">
        <v>4</v>
      </c>
      <c r="F408" s="323" t="s">
        <v>5</v>
      </c>
      <c r="G408" s="323" t="s">
        <v>6</v>
      </c>
      <c r="H408" s="325" t="s">
        <v>7</v>
      </c>
      <c r="I408" s="323" t="s">
        <v>8</v>
      </c>
      <c r="J408" s="323" t="s">
        <v>9</v>
      </c>
      <c r="K408" s="326" t="s">
        <v>10</v>
      </c>
      <c r="L408" s="327" t="s">
        <v>11</v>
      </c>
      <c r="M408" s="323" t="s">
        <v>12</v>
      </c>
      <c r="N408" s="328" t="s">
        <v>13</v>
      </c>
      <c r="O408" s="434" t="s">
        <v>63</v>
      </c>
      <c r="P408" s="323" t="s">
        <v>123</v>
      </c>
    </row>
    <row r="409" spans="1:16" s="17" customFormat="1" ht="33" customHeight="1">
      <c r="A409" s="616" t="s">
        <v>5626</v>
      </c>
      <c r="B409" s="400">
        <v>46195</v>
      </c>
      <c r="C409" s="4" t="s">
        <v>24</v>
      </c>
      <c r="D409" s="4" t="s">
        <v>6219</v>
      </c>
      <c r="E409" s="780" t="s">
        <v>6220</v>
      </c>
      <c r="F409" s="778" t="s">
        <v>6221</v>
      </c>
      <c r="G409" s="16" t="s">
        <v>6222</v>
      </c>
      <c r="H409" s="780" t="s">
        <v>6223</v>
      </c>
      <c r="I409" s="462"/>
      <c r="J409" s="461" t="s">
        <v>641</v>
      </c>
      <c r="K409" s="136" t="s">
        <v>15</v>
      </c>
      <c r="L409" s="467" t="s">
        <v>4550</v>
      </c>
      <c r="M409" s="463">
        <v>2</v>
      </c>
      <c r="N409" s="779" t="s">
        <v>6255</v>
      </c>
      <c r="O409" s="438"/>
      <c r="P409" s="571"/>
    </row>
    <row r="410" spans="1:16" s="17" customFormat="1" ht="33" customHeight="1">
      <c r="A410" s="617"/>
      <c r="B410" s="400">
        <v>46195</v>
      </c>
      <c r="C410" s="3" t="s">
        <v>21</v>
      </c>
      <c r="D410" s="3" t="s">
        <v>31</v>
      </c>
      <c r="E410" s="462" t="s">
        <v>5276</v>
      </c>
      <c r="F410" s="462">
        <v>7064</v>
      </c>
      <c r="G410" s="467" t="s">
        <v>83</v>
      </c>
      <c r="H410" s="461" t="s">
        <v>6113</v>
      </c>
      <c r="I410" s="462" t="s">
        <v>6238</v>
      </c>
      <c r="J410" s="462" t="s">
        <v>68</v>
      </c>
      <c r="K410" s="136" t="s">
        <v>15</v>
      </c>
      <c r="L410" s="467" t="s">
        <v>4550</v>
      </c>
      <c r="M410" s="463">
        <v>2</v>
      </c>
      <c r="N410" s="778"/>
      <c r="O410" s="438"/>
      <c r="P410" s="571"/>
    </row>
    <row r="411" spans="1:16" s="17" customFormat="1" ht="33" customHeight="1">
      <c r="A411" s="617"/>
      <c r="B411" s="400">
        <v>46196</v>
      </c>
      <c r="C411" s="4" t="s">
        <v>24</v>
      </c>
      <c r="D411" s="4" t="s">
        <v>6219</v>
      </c>
      <c r="E411" s="780" t="s">
        <v>6220</v>
      </c>
      <c r="F411" s="778" t="s">
        <v>6221</v>
      </c>
      <c r="G411" s="16" t="s">
        <v>6222</v>
      </c>
      <c r="H411" s="780" t="s">
        <v>6223</v>
      </c>
      <c r="I411" s="462"/>
      <c r="J411" s="461" t="s">
        <v>641</v>
      </c>
      <c r="K411" s="136" t="s">
        <v>15</v>
      </c>
      <c r="L411" s="467" t="s">
        <v>4550</v>
      </c>
      <c r="M411" s="463">
        <v>2</v>
      </c>
      <c r="N411" s="771"/>
      <c r="O411" s="438"/>
      <c r="P411" s="571"/>
    </row>
    <row r="412" spans="1:16" s="17" customFormat="1" ht="33" customHeight="1">
      <c r="A412" s="617"/>
      <c r="B412" s="400">
        <v>46196</v>
      </c>
      <c r="C412" s="3" t="s">
        <v>21</v>
      </c>
      <c r="D412" s="3" t="s">
        <v>14</v>
      </c>
      <c r="E412" s="462" t="s">
        <v>107</v>
      </c>
      <c r="F412" s="462" t="s">
        <v>3386</v>
      </c>
      <c r="G412" s="467" t="s">
        <v>115</v>
      </c>
      <c r="H412" s="461" t="s">
        <v>6250</v>
      </c>
      <c r="I412" s="778" t="s">
        <v>120</v>
      </c>
      <c r="J412" s="778" t="s">
        <v>6251</v>
      </c>
      <c r="K412" s="125" t="s">
        <v>15</v>
      </c>
      <c r="L412" s="16" t="s">
        <v>6252</v>
      </c>
      <c r="M412" s="8">
        <v>2</v>
      </c>
      <c r="N412" s="725"/>
      <c r="O412" s="438"/>
      <c r="P412" s="571"/>
    </row>
    <row r="413" spans="1:16" s="17" customFormat="1" ht="33" customHeight="1">
      <c r="A413" s="617"/>
      <c r="B413" s="400">
        <v>46196</v>
      </c>
      <c r="C413" s="3" t="s">
        <v>21</v>
      </c>
      <c r="D413" s="3" t="s">
        <v>31</v>
      </c>
      <c r="E413" s="462" t="s">
        <v>5276</v>
      </c>
      <c r="F413" s="462">
        <v>7064</v>
      </c>
      <c r="G413" s="467" t="s">
        <v>83</v>
      </c>
      <c r="H413" s="461" t="s">
        <v>6113</v>
      </c>
      <c r="I413" s="462" t="s">
        <v>6238</v>
      </c>
      <c r="J413" s="462" t="s">
        <v>68</v>
      </c>
      <c r="K413" s="136" t="s">
        <v>15</v>
      </c>
      <c r="L413" s="467" t="s">
        <v>4550</v>
      </c>
      <c r="M413" s="463">
        <v>2</v>
      </c>
      <c r="N413" s="778"/>
      <c r="O413" s="438"/>
      <c r="P413" s="571"/>
    </row>
    <row r="414" spans="1:16" s="17" customFormat="1" ht="40.5">
      <c r="A414" s="617"/>
      <c r="B414" s="400">
        <v>46196</v>
      </c>
      <c r="C414" s="4" t="s">
        <v>21</v>
      </c>
      <c r="D414" s="4" t="s">
        <v>14</v>
      </c>
      <c r="E414" s="291" t="s">
        <v>149</v>
      </c>
      <c r="F414" s="778" t="s">
        <v>4090</v>
      </c>
      <c r="G414" s="16" t="s">
        <v>4091</v>
      </c>
      <c r="H414" s="780" t="s">
        <v>6254</v>
      </c>
      <c r="I414" s="778" t="s">
        <v>6244</v>
      </c>
      <c r="J414" s="780" t="s">
        <v>6154</v>
      </c>
      <c r="K414" s="125" t="s">
        <v>15</v>
      </c>
      <c r="L414" s="16" t="s">
        <v>4550</v>
      </c>
      <c r="M414" s="8">
        <v>2</v>
      </c>
      <c r="N414" s="778"/>
      <c r="O414" s="438"/>
      <c r="P414" s="571"/>
    </row>
    <row r="415" spans="1:16" s="17" customFormat="1" ht="33" customHeight="1">
      <c r="A415" s="617"/>
      <c r="B415" s="400">
        <v>46197</v>
      </c>
      <c r="C415" s="4" t="s">
        <v>21</v>
      </c>
      <c r="D415" s="4" t="s">
        <v>14</v>
      </c>
      <c r="E415" s="291" t="s">
        <v>149</v>
      </c>
      <c r="F415" s="778" t="s">
        <v>4090</v>
      </c>
      <c r="G415" s="16" t="s">
        <v>4091</v>
      </c>
      <c r="H415" s="780" t="s">
        <v>6253</v>
      </c>
      <c r="I415" s="778" t="s">
        <v>6244</v>
      </c>
      <c r="J415" s="780" t="s">
        <v>6154</v>
      </c>
      <c r="K415" s="125" t="s">
        <v>15</v>
      </c>
      <c r="L415" s="16" t="s">
        <v>4550</v>
      </c>
      <c r="M415" s="8">
        <v>2</v>
      </c>
      <c r="N415" s="779" t="s">
        <v>6255</v>
      </c>
      <c r="O415" s="438"/>
      <c r="P415" s="571"/>
    </row>
    <row r="416" spans="1:16" s="17" customFormat="1" ht="33" customHeight="1">
      <c r="A416" s="617"/>
      <c r="B416" s="400">
        <v>46197</v>
      </c>
      <c r="C416" s="3" t="s">
        <v>21</v>
      </c>
      <c r="D416" s="3" t="s">
        <v>17</v>
      </c>
      <c r="E416" s="462" t="s">
        <v>107</v>
      </c>
      <c r="F416" s="462" t="s">
        <v>2959</v>
      </c>
      <c r="G416" s="467" t="s">
        <v>143</v>
      </c>
      <c r="H416" s="461" t="s">
        <v>6227</v>
      </c>
      <c r="I416" s="462"/>
      <c r="J416" s="461" t="s">
        <v>6239</v>
      </c>
      <c r="K416" s="136" t="s">
        <v>15</v>
      </c>
      <c r="L416" s="467" t="s">
        <v>4550</v>
      </c>
      <c r="M416" s="463">
        <v>3</v>
      </c>
      <c r="N416" s="608"/>
      <c r="O416" s="437"/>
      <c r="P416" s="571"/>
    </row>
    <row r="417" spans="1:16" s="17" customFormat="1" ht="33" customHeight="1">
      <c r="A417" s="617"/>
      <c r="B417" s="400">
        <v>46197</v>
      </c>
      <c r="C417" s="3" t="s">
        <v>21</v>
      </c>
      <c r="D417" s="3" t="s">
        <v>17</v>
      </c>
      <c r="E417" s="462" t="s">
        <v>107</v>
      </c>
      <c r="F417" s="462" t="s">
        <v>2959</v>
      </c>
      <c r="G417" s="467" t="s">
        <v>553</v>
      </c>
      <c r="H417" s="461" t="s">
        <v>6240</v>
      </c>
      <c r="I417" s="462"/>
      <c r="J417" s="461" t="s">
        <v>6239</v>
      </c>
      <c r="K417" s="136" t="s">
        <v>15</v>
      </c>
      <c r="L417" s="467" t="s">
        <v>4550</v>
      </c>
      <c r="M417" s="463">
        <v>3</v>
      </c>
      <c r="N417" s="779"/>
      <c r="O417" s="437"/>
      <c r="P417" s="571"/>
    </row>
    <row r="418" spans="1:16" s="17" customFormat="1" ht="33" customHeight="1">
      <c r="A418" s="617"/>
      <c r="B418" s="400">
        <v>46197</v>
      </c>
      <c r="C418" s="3" t="s">
        <v>24</v>
      </c>
      <c r="D418" s="3" t="s">
        <v>31</v>
      </c>
      <c r="E418" s="461" t="s">
        <v>6100</v>
      </c>
      <c r="F418" s="778" t="s">
        <v>2713</v>
      </c>
      <c r="G418" s="16" t="s">
        <v>115</v>
      </c>
      <c r="H418" s="780" t="s">
        <v>6224</v>
      </c>
      <c r="I418" s="778"/>
      <c r="J418" s="780" t="s">
        <v>6101</v>
      </c>
      <c r="K418" s="125" t="s">
        <v>15</v>
      </c>
      <c r="L418" s="16" t="s">
        <v>6225</v>
      </c>
      <c r="M418" s="8">
        <v>2</v>
      </c>
      <c r="N418" s="779"/>
      <c r="O418" s="437"/>
      <c r="P418" s="571"/>
    </row>
    <row r="419" spans="1:16" s="17" customFormat="1" ht="33" customHeight="1">
      <c r="A419" s="617"/>
      <c r="B419" s="400">
        <v>46198</v>
      </c>
      <c r="C419" s="3" t="s">
        <v>21</v>
      </c>
      <c r="D419" s="3" t="s">
        <v>14</v>
      </c>
      <c r="E419" s="462" t="s">
        <v>211</v>
      </c>
      <c r="F419" s="462" t="s">
        <v>5754</v>
      </c>
      <c r="G419" s="467" t="s">
        <v>5833</v>
      </c>
      <c r="H419" s="461" t="s">
        <v>6112</v>
      </c>
      <c r="I419" s="778" t="s">
        <v>120</v>
      </c>
      <c r="J419" s="778" t="s">
        <v>2828</v>
      </c>
      <c r="K419" s="125" t="s">
        <v>15</v>
      </c>
      <c r="L419" s="16" t="s">
        <v>33</v>
      </c>
      <c r="M419" s="8">
        <v>2</v>
      </c>
      <c r="N419" s="608"/>
      <c r="O419" s="437" t="s">
        <v>6157</v>
      </c>
      <c r="P419" s="571"/>
    </row>
    <row r="420" spans="1:16" s="17" customFormat="1" ht="33" customHeight="1">
      <c r="A420" s="617"/>
      <c r="B420" s="400">
        <v>46199</v>
      </c>
      <c r="C420" s="4"/>
      <c r="D420" s="4"/>
      <c r="E420" s="780"/>
      <c r="F420" s="778"/>
      <c r="G420" s="16"/>
      <c r="H420" s="780"/>
      <c r="I420" s="462"/>
      <c r="J420" s="461"/>
      <c r="K420" s="136"/>
      <c r="L420" s="467"/>
      <c r="M420" s="463"/>
      <c r="N420" s="779" t="s">
        <v>6255</v>
      </c>
      <c r="O420" s="437"/>
      <c r="P420" s="571"/>
    </row>
    <row r="421" spans="1:16" s="17" customFormat="1" ht="33" customHeight="1">
      <c r="A421" s="617"/>
      <c r="B421" s="400">
        <v>46199</v>
      </c>
      <c r="C421" s="3"/>
      <c r="D421" s="3"/>
      <c r="E421" s="462"/>
      <c r="F421" s="462"/>
      <c r="G421" s="467"/>
      <c r="H421" s="461"/>
      <c r="I421" s="462"/>
      <c r="J421" s="462"/>
      <c r="K421" s="136"/>
      <c r="L421" s="467"/>
      <c r="M421" s="463"/>
      <c r="N421" s="608"/>
      <c r="O421" s="437"/>
      <c r="P421" s="571"/>
    </row>
    <row r="422" spans="1:16" s="17" customFormat="1" ht="33" customHeight="1">
      <c r="A422" s="618"/>
      <c r="B422" s="370">
        <v>46200</v>
      </c>
      <c r="C422" s="4"/>
      <c r="D422" s="4"/>
      <c r="E422" s="291"/>
      <c r="F422" s="607"/>
      <c r="G422" s="16"/>
      <c r="H422" s="611"/>
      <c r="I422" s="607"/>
      <c r="J422" s="607"/>
      <c r="K422" s="125"/>
      <c r="L422" s="16"/>
      <c r="M422" s="8"/>
      <c r="N422" s="607"/>
      <c r="O422" s="439"/>
      <c r="P422" s="571"/>
    </row>
    <row r="423" spans="1:16" s="17" customFormat="1" ht="33" customHeight="1">
      <c r="A423" s="323" t="s">
        <v>0</v>
      </c>
      <c r="B423" s="324" t="s">
        <v>1</v>
      </c>
      <c r="C423" s="323" t="s">
        <v>2</v>
      </c>
      <c r="D423" s="323" t="s">
        <v>3</v>
      </c>
      <c r="E423" s="323" t="s">
        <v>4</v>
      </c>
      <c r="F423" s="323" t="s">
        <v>5</v>
      </c>
      <c r="G423" s="323" t="s">
        <v>6</v>
      </c>
      <c r="H423" s="325" t="s">
        <v>7</v>
      </c>
      <c r="I423" s="323" t="s">
        <v>8</v>
      </c>
      <c r="J423" s="323" t="s">
        <v>9</v>
      </c>
      <c r="K423" s="326" t="s">
        <v>10</v>
      </c>
      <c r="L423" s="327" t="s">
        <v>11</v>
      </c>
      <c r="M423" s="323" t="s">
        <v>12</v>
      </c>
      <c r="N423" s="328" t="s">
        <v>13</v>
      </c>
      <c r="O423" s="434" t="s">
        <v>63</v>
      </c>
      <c r="P423" s="323" t="s">
        <v>123</v>
      </c>
    </row>
    <row r="424" spans="1:16" s="17" customFormat="1" ht="33" customHeight="1">
      <c r="A424" s="616" t="s">
        <v>5627</v>
      </c>
      <c r="B424" s="400">
        <v>46202</v>
      </c>
      <c r="C424" s="4"/>
      <c r="D424" s="4"/>
      <c r="E424" s="771"/>
      <c r="F424" s="771"/>
      <c r="G424" s="16"/>
      <c r="H424" s="773"/>
      <c r="I424" s="771"/>
      <c r="J424" s="771"/>
      <c r="K424" s="125"/>
      <c r="L424" s="16"/>
      <c r="M424" s="8"/>
      <c r="N424" s="607"/>
      <c r="O424" s="438"/>
      <c r="P424" s="571"/>
    </row>
    <row r="425" spans="1:16" s="17" customFormat="1" ht="33" customHeight="1">
      <c r="A425" s="617"/>
      <c r="B425" s="400">
        <v>46202</v>
      </c>
      <c r="C425" s="3" t="s">
        <v>21</v>
      </c>
      <c r="D425" s="3" t="s">
        <v>17</v>
      </c>
      <c r="E425" s="462" t="s">
        <v>6148</v>
      </c>
      <c r="F425" s="462" t="s">
        <v>6149</v>
      </c>
      <c r="G425" s="467" t="s">
        <v>6151</v>
      </c>
      <c r="H425" s="461" t="s">
        <v>3390</v>
      </c>
      <c r="I425" s="462"/>
      <c r="J425" s="461" t="s">
        <v>6150</v>
      </c>
      <c r="K425" s="136" t="s">
        <v>15</v>
      </c>
      <c r="L425" s="467" t="s">
        <v>4550</v>
      </c>
      <c r="M425" s="463">
        <v>2</v>
      </c>
      <c r="N425" s="771"/>
      <c r="O425" s="438"/>
      <c r="P425" s="571"/>
    </row>
    <row r="426" spans="1:16" s="17" customFormat="1" ht="33" customHeight="1">
      <c r="A426" s="617"/>
      <c r="B426" s="400">
        <v>46202</v>
      </c>
      <c r="C426" s="3" t="s">
        <v>24</v>
      </c>
      <c r="D426" s="3" t="s">
        <v>6228</v>
      </c>
      <c r="E426" s="462" t="s">
        <v>6229</v>
      </c>
      <c r="F426" s="462" t="s">
        <v>6230</v>
      </c>
      <c r="G426" s="467" t="s">
        <v>6222</v>
      </c>
      <c r="H426" s="461" t="s">
        <v>6236</v>
      </c>
      <c r="I426" s="462" t="s">
        <v>6231</v>
      </c>
      <c r="J426" s="461" t="s">
        <v>6232</v>
      </c>
      <c r="K426" s="136" t="s">
        <v>6226</v>
      </c>
      <c r="L426" s="467" t="s">
        <v>6233</v>
      </c>
      <c r="M426" s="463">
        <v>2</v>
      </c>
      <c r="N426" s="778"/>
      <c r="O426" s="438"/>
      <c r="P426" s="571"/>
    </row>
    <row r="427" spans="1:16" s="17" customFormat="1" ht="33" customHeight="1">
      <c r="A427" s="617"/>
      <c r="B427" s="400">
        <v>46203</v>
      </c>
      <c r="C427" s="3" t="s">
        <v>24</v>
      </c>
      <c r="D427" s="3" t="s">
        <v>6228</v>
      </c>
      <c r="E427" s="462" t="s">
        <v>6229</v>
      </c>
      <c r="F427" s="462" t="s">
        <v>6230</v>
      </c>
      <c r="G427" s="467" t="s">
        <v>6222</v>
      </c>
      <c r="H427" s="461" t="s">
        <v>6235</v>
      </c>
      <c r="I427" s="462" t="s">
        <v>6231</v>
      </c>
      <c r="J427" s="461" t="s">
        <v>6232</v>
      </c>
      <c r="K427" s="136" t="s">
        <v>6226</v>
      </c>
      <c r="L427" s="467" t="s">
        <v>6233</v>
      </c>
      <c r="M427" s="463">
        <v>2</v>
      </c>
      <c r="N427" s="771"/>
      <c r="O427" s="438"/>
      <c r="P427" s="571"/>
    </row>
    <row r="428" spans="1:16" s="17" customFormat="1" ht="33" customHeight="1">
      <c r="A428" s="617"/>
      <c r="B428" s="400">
        <v>46203</v>
      </c>
      <c r="C428" s="4"/>
      <c r="D428" s="4"/>
      <c r="E428" s="771"/>
      <c r="F428" s="771"/>
      <c r="G428" s="16"/>
      <c r="H428" s="773"/>
      <c r="I428" s="771"/>
      <c r="J428" s="771"/>
      <c r="K428" s="125"/>
      <c r="L428" s="16"/>
      <c r="M428" s="8"/>
      <c r="N428" s="607"/>
      <c r="O428" s="438"/>
      <c r="P428" s="571"/>
    </row>
    <row r="429" spans="1:16" s="17" customFormat="1" ht="33" customHeight="1">
      <c r="A429" s="617"/>
      <c r="B429" s="400">
        <v>46203</v>
      </c>
      <c r="C429" s="4" t="s">
        <v>29</v>
      </c>
      <c r="D429" s="4" t="s">
        <v>31</v>
      </c>
      <c r="E429" s="780" t="s">
        <v>78</v>
      </c>
      <c r="F429" s="778" t="s">
        <v>5979</v>
      </c>
      <c r="G429" s="16" t="s">
        <v>145</v>
      </c>
      <c r="H429" s="780" t="s">
        <v>5980</v>
      </c>
      <c r="I429" s="778" t="s">
        <v>5983</v>
      </c>
      <c r="J429" s="778" t="s">
        <v>5981</v>
      </c>
      <c r="K429" s="125" t="s">
        <v>15</v>
      </c>
      <c r="L429" s="16" t="s">
        <v>4550</v>
      </c>
      <c r="M429" s="8">
        <v>4</v>
      </c>
      <c r="N429" s="778"/>
      <c r="O429" s="438" t="s">
        <v>6245</v>
      </c>
      <c r="P429" s="571"/>
    </row>
    <row r="430" spans="1:16" s="17" customFormat="1" ht="33" customHeight="1">
      <c r="A430" s="617"/>
      <c r="B430" s="400">
        <v>46204</v>
      </c>
      <c r="C430" s="3" t="s">
        <v>21</v>
      </c>
      <c r="D430" s="3" t="s">
        <v>17</v>
      </c>
      <c r="E430" s="462" t="s">
        <v>107</v>
      </c>
      <c r="F430" s="462" t="s">
        <v>2959</v>
      </c>
      <c r="G430" s="467" t="s">
        <v>109</v>
      </c>
      <c r="H430" s="461" t="s">
        <v>6241</v>
      </c>
      <c r="I430" s="462"/>
      <c r="J430" s="461" t="s">
        <v>641</v>
      </c>
      <c r="K430" s="136" t="s">
        <v>15</v>
      </c>
      <c r="L430" s="467" t="s">
        <v>4550</v>
      </c>
      <c r="M430" s="463">
        <v>2</v>
      </c>
      <c r="N430" s="778"/>
      <c r="O430" s="438"/>
      <c r="P430" s="571"/>
    </row>
    <row r="431" spans="1:16" s="17" customFormat="1" ht="33" customHeight="1">
      <c r="A431" s="617"/>
      <c r="B431" s="400">
        <v>46204</v>
      </c>
      <c r="C431" s="4"/>
      <c r="D431" s="4"/>
      <c r="E431" s="771"/>
      <c r="F431" s="771"/>
      <c r="G431" s="16"/>
      <c r="H431" s="773"/>
      <c r="I431" s="771"/>
      <c r="J431" s="771"/>
      <c r="K431" s="125"/>
      <c r="L431" s="16"/>
      <c r="M431" s="8"/>
      <c r="N431" s="608"/>
      <c r="O431" s="437"/>
      <c r="P431" s="571"/>
    </row>
    <row r="432" spans="1:16" s="17" customFormat="1" ht="33" customHeight="1">
      <c r="A432" s="617"/>
      <c r="B432" s="400">
        <v>46205</v>
      </c>
      <c r="C432" s="4" t="s">
        <v>21</v>
      </c>
      <c r="D432" s="4" t="s">
        <v>14</v>
      </c>
      <c r="E432" s="607" t="s">
        <v>1787</v>
      </c>
      <c r="F432" s="607" t="s">
        <v>2978</v>
      </c>
      <c r="G432" s="16" t="s">
        <v>4108</v>
      </c>
      <c r="H432" s="611" t="s">
        <v>900</v>
      </c>
      <c r="I432" s="607"/>
      <c r="J432" s="611" t="s">
        <v>3074</v>
      </c>
      <c r="K432" s="125" t="s">
        <v>105</v>
      </c>
      <c r="L432" s="16" t="s">
        <v>4550</v>
      </c>
      <c r="M432" s="8">
        <v>1</v>
      </c>
      <c r="N432" s="608"/>
      <c r="O432" s="437"/>
      <c r="P432" s="571"/>
    </row>
    <row r="433" spans="1:16" s="17" customFormat="1" ht="33" customHeight="1">
      <c r="A433" s="617"/>
      <c r="B433" s="400">
        <v>46205</v>
      </c>
      <c r="C433" s="4"/>
      <c r="D433" s="4"/>
      <c r="E433" s="771"/>
      <c r="F433" s="771"/>
      <c r="G433" s="16"/>
      <c r="H433" s="773"/>
      <c r="I433" s="771"/>
      <c r="J433" s="771"/>
      <c r="K433" s="125"/>
      <c r="L433" s="16"/>
      <c r="M433" s="8"/>
      <c r="N433" s="772"/>
      <c r="O433" s="437"/>
      <c r="P433" s="571"/>
    </row>
    <row r="434" spans="1:16" s="17" customFormat="1" ht="33" customHeight="1">
      <c r="A434" s="617"/>
      <c r="B434" s="400">
        <v>46205</v>
      </c>
      <c r="C434" s="3" t="s">
        <v>21</v>
      </c>
      <c r="D434" s="3" t="s">
        <v>17</v>
      </c>
      <c r="E434" s="462" t="s">
        <v>107</v>
      </c>
      <c r="F434" s="462" t="s">
        <v>2959</v>
      </c>
      <c r="G434" s="467" t="s">
        <v>109</v>
      </c>
      <c r="H434" s="461" t="s">
        <v>3390</v>
      </c>
      <c r="I434" s="462"/>
      <c r="J434" s="461" t="s">
        <v>641</v>
      </c>
      <c r="K434" s="136" t="s">
        <v>15</v>
      </c>
      <c r="L434" s="467" t="s">
        <v>4550</v>
      </c>
      <c r="M434" s="463">
        <v>2</v>
      </c>
      <c r="N434" s="779"/>
      <c r="O434" s="437"/>
      <c r="P434" s="571"/>
    </row>
    <row r="435" spans="1:16" s="17" customFormat="1" ht="33" customHeight="1">
      <c r="A435" s="617"/>
      <c r="B435" s="400">
        <v>46206</v>
      </c>
      <c r="C435" s="4" t="s">
        <v>21</v>
      </c>
      <c r="D435" s="4" t="s">
        <v>14</v>
      </c>
      <c r="E435" s="607" t="s">
        <v>1787</v>
      </c>
      <c r="F435" s="607" t="s">
        <v>2978</v>
      </c>
      <c r="G435" s="16" t="s">
        <v>843</v>
      </c>
      <c r="H435" s="611" t="s">
        <v>900</v>
      </c>
      <c r="I435" s="771"/>
      <c r="J435" s="611" t="s">
        <v>3074</v>
      </c>
      <c r="K435" s="125" t="s">
        <v>15</v>
      </c>
      <c r="L435" s="16" t="s">
        <v>4550</v>
      </c>
      <c r="M435" s="8">
        <v>1</v>
      </c>
      <c r="N435" s="608"/>
      <c r="O435" s="437"/>
      <c r="P435" s="571"/>
    </row>
    <row r="436" spans="1:16" s="17" customFormat="1" ht="33" customHeight="1">
      <c r="A436" s="617"/>
      <c r="B436" s="400">
        <v>46206</v>
      </c>
      <c r="C436" s="4" t="s">
        <v>21</v>
      </c>
      <c r="D436" s="4" t="s">
        <v>14</v>
      </c>
      <c r="E436" s="607" t="s">
        <v>1787</v>
      </c>
      <c r="F436" s="607" t="s">
        <v>2978</v>
      </c>
      <c r="G436" s="16" t="s">
        <v>142</v>
      </c>
      <c r="H436" s="611" t="s">
        <v>900</v>
      </c>
      <c r="I436" s="771"/>
      <c r="J436" s="611" t="s">
        <v>3074</v>
      </c>
      <c r="K436" s="125" t="s">
        <v>105</v>
      </c>
      <c r="L436" s="16" t="s">
        <v>4550</v>
      </c>
      <c r="M436" s="8">
        <v>1</v>
      </c>
      <c r="N436" s="608"/>
      <c r="O436" s="437"/>
      <c r="P436" s="571"/>
    </row>
    <row r="437" spans="1:16" s="17" customFormat="1" ht="33" customHeight="1">
      <c r="A437" s="617"/>
      <c r="B437" s="400">
        <v>46206</v>
      </c>
      <c r="C437" s="3"/>
      <c r="D437" s="3"/>
      <c r="E437" s="462"/>
      <c r="F437" s="462"/>
      <c r="G437" s="467"/>
      <c r="H437" s="780"/>
      <c r="I437" s="778"/>
      <c r="J437" s="780"/>
      <c r="K437" s="125"/>
      <c r="L437" s="16"/>
      <c r="M437" s="8"/>
      <c r="N437" s="779"/>
      <c r="O437" s="437"/>
      <c r="P437" s="571"/>
    </row>
    <row r="438" spans="1:16" s="17" customFormat="1" ht="33" customHeight="1">
      <c r="A438" s="618"/>
      <c r="B438" s="370">
        <v>46207</v>
      </c>
      <c r="C438" s="4"/>
      <c r="D438" s="4"/>
      <c r="E438" s="291"/>
      <c r="F438" s="607"/>
      <c r="G438" s="16"/>
      <c r="H438" s="611"/>
      <c r="I438" s="607"/>
      <c r="J438" s="607"/>
      <c r="K438" s="125"/>
      <c r="L438" s="16"/>
      <c r="M438" s="8"/>
      <c r="N438" s="607"/>
      <c r="O438" s="439"/>
      <c r="P438" s="571"/>
    </row>
    <row r="439" spans="1:16" s="17" customFormat="1" ht="33" customHeight="1">
      <c r="A439" s="323" t="s">
        <v>0</v>
      </c>
      <c r="B439" s="324" t="s">
        <v>1</v>
      </c>
      <c r="C439" s="323" t="s">
        <v>2</v>
      </c>
      <c r="D439" s="323" t="s">
        <v>3</v>
      </c>
      <c r="E439" s="323" t="s">
        <v>4</v>
      </c>
      <c r="F439" s="323" t="s">
        <v>5</v>
      </c>
      <c r="G439" s="323" t="s">
        <v>6</v>
      </c>
      <c r="H439" s="325" t="s">
        <v>7</v>
      </c>
      <c r="I439" s="323" t="s">
        <v>8</v>
      </c>
      <c r="J439" s="323" t="s">
        <v>9</v>
      </c>
      <c r="K439" s="326" t="s">
        <v>10</v>
      </c>
      <c r="L439" s="327" t="s">
        <v>11</v>
      </c>
      <c r="M439" s="323" t="s">
        <v>12</v>
      </c>
      <c r="N439" s="328" t="s">
        <v>13</v>
      </c>
      <c r="O439" s="434" t="s">
        <v>63</v>
      </c>
      <c r="P439" s="323" t="s">
        <v>123</v>
      </c>
    </row>
    <row r="440" spans="1:16" s="17" customFormat="1" ht="33" customHeight="1">
      <c r="A440" s="616" t="s">
        <v>5628</v>
      </c>
      <c r="B440" s="400">
        <v>46209</v>
      </c>
      <c r="C440" s="3"/>
      <c r="D440" s="3"/>
      <c r="E440" s="462"/>
      <c r="F440" s="462"/>
      <c r="G440" s="467"/>
      <c r="H440" s="780"/>
      <c r="I440" s="607"/>
      <c r="J440" s="607"/>
      <c r="K440" s="125"/>
      <c r="L440" s="16"/>
      <c r="M440" s="8"/>
      <c r="N440" s="607"/>
      <c r="O440" s="438"/>
      <c r="P440" s="571"/>
    </row>
    <row r="441" spans="1:16" s="17" customFormat="1" ht="33" customHeight="1">
      <c r="A441" s="617"/>
      <c r="B441" s="400">
        <v>46210</v>
      </c>
      <c r="C441" s="3" t="s">
        <v>24</v>
      </c>
      <c r="D441" s="3" t="s">
        <v>6228</v>
      </c>
      <c r="E441" s="462" t="s">
        <v>6229</v>
      </c>
      <c r="F441" s="462" t="s">
        <v>6230</v>
      </c>
      <c r="G441" s="467" t="s">
        <v>6222</v>
      </c>
      <c r="H441" s="611" t="s">
        <v>6237</v>
      </c>
      <c r="I441" s="607"/>
      <c r="J441" s="607"/>
      <c r="K441" s="125"/>
      <c r="L441" s="16"/>
      <c r="M441" s="8"/>
      <c r="N441" s="607"/>
      <c r="O441" s="438"/>
      <c r="P441" s="571"/>
    </row>
    <row r="442" spans="1:16" s="17" customFormat="1" ht="33" customHeight="1">
      <c r="A442" s="617"/>
      <c r="B442" s="400">
        <v>46211</v>
      </c>
      <c r="C442" s="4"/>
      <c r="D442" s="4"/>
      <c r="E442" s="607"/>
      <c r="F442" s="607"/>
      <c r="G442" s="16"/>
      <c r="H442" s="611"/>
      <c r="I442" s="607"/>
      <c r="J442" s="611"/>
      <c r="K442" s="125"/>
      <c r="L442" s="16"/>
      <c r="M442" s="8"/>
      <c r="N442" s="608"/>
      <c r="O442" s="437"/>
      <c r="P442" s="571"/>
    </row>
    <row r="443" spans="1:16" s="17" customFormat="1" ht="33" customHeight="1">
      <c r="A443" s="617"/>
      <c r="B443" s="400">
        <v>46212</v>
      </c>
      <c r="C443" s="4"/>
      <c r="D443" s="4"/>
      <c r="E443" s="607"/>
      <c r="F443" s="607"/>
      <c r="G443" s="16"/>
      <c r="H443" s="611"/>
      <c r="I443" s="607"/>
      <c r="J443" s="611"/>
      <c r="K443" s="125"/>
      <c r="L443" s="16"/>
      <c r="M443" s="8"/>
      <c r="N443" s="608"/>
      <c r="O443" s="437"/>
      <c r="P443" s="571"/>
    </row>
    <row r="444" spans="1:16" s="17" customFormat="1" ht="33" customHeight="1">
      <c r="A444" s="617"/>
      <c r="B444" s="400">
        <v>46213</v>
      </c>
      <c r="C444" s="4"/>
      <c r="D444" s="4"/>
      <c r="E444" s="607"/>
      <c r="F444" s="607"/>
      <c r="G444" s="16"/>
      <c r="H444" s="611"/>
      <c r="I444" s="607"/>
      <c r="J444" s="611"/>
      <c r="K444" s="125"/>
      <c r="L444" s="16"/>
      <c r="M444" s="8"/>
      <c r="N444" s="608"/>
      <c r="O444" s="437"/>
      <c r="P444" s="571"/>
    </row>
    <row r="445" spans="1:16" s="17" customFormat="1" ht="33" customHeight="1">
      <c r="A445" s="618"/>
      <c r="B445" s="370">
        <v>46214</v>
      </c>
      <c r="C445" s="4"/>
      <c r="D445" s="4"/>
      <c r="E445" s="291"/>
      <c r="F445" s="607"/>
      <c r="G445" s="16"/>
      <c r="H445" s="611"/>
      <c r="I445" s="607"/>
      <c r="J445" s="607"/>
      <c r="K445" s="125"/>
      <c r="L445" s="16"/>
      <c r="M445" s="8"/>
      <c r="N445" s="607"/>
      <c r="O445" s="439"/>
      <c r="P445" s="571"/>
    </row>
    <row r="446" spans="1:16" s="17" customFormat="1" ht="33" customHeight="1">
      <c r="A446" s="323" t="s">
        <v>0</v>
      </c>
      <c r="B446" s="324" t="s">
        <v>1</v>
      </c>
      <c r="C446" s="323" t="s">
        <v>2</v>
      </c>
      <c r="D446" s="323" t="s">
        <v>3</v>
      </c>
      <c r="E446" s="323" t="s">
        <v>4</v>
      </c>
      <c r="F446" s="323" t="s">
        <v>5</v>
      </c>
      <c r="G446" s="323" t="s">
        <v>6</v>
      </c>
      <c r="H446" s="325" t="s">
        <v>7</v>
      </c>
      <c r="I446" s="323" t="s">
        <v>8</v>
      </c>
      <c r="J446" s="323" t="s">
        <v>9</v>
      </c>
      <c r="K446" s="326" t="s">
        <v>10</v>
      </c>
      <c r="L446" s="327" t="s">
        <v>11</v>
      </c>
      <c r="M446" s="323" t="s">
        <v>12</v>
      </c>
      <c r="N446" s="328" t="s">
        <v>13</v>
      </c>
      <c r="O446" s="434" t="s">
        <v>63</v>
      </c>
      <c r="P446" s="323" t="s">
        <v>123</v>
      </c>
    </row>
    <row r="447" spans="1:16" s="17" customFormat="1" ht="33" customHeight="1">
      <c r="A447" s="616" t="s">
        <v>5629</v>
      </c>
      <c r="B447" s="400">
        <v>46216</v>
      </c>
      <c r="C447" s="4" t="s">
        <v>21</v>
      </c>
      <c r="D447" s="4" t="s">
        <v>14</v>
      </c>
      <c r="E447" s="778" t="s">
        <v>211</v>
      </c>
      <c r="F447" s="778" t="s">
        <v>2916</v>
      </c>
      <c r="G447" s="16" t="s">
        <v>2917</v>
      </c>
      <c r="H447" s="780" t="s">
        <v>6153</v>
      </c>
      <c r="I447" s="778"/>
      <c r="J447" s="778" t="s">
        <v>1873</v>
      </c>
      <c r="K447" s="125" t="s">
        <v>15</v>
      </c>
      <c r="L447" s="16" t="s">
        <v>6234</v>
      </c>
      <c r="M447" s="8">
        <v>2</v>
      </c>
      <c r="N447" s="607"/>
      <c r="O447" s="438"/>
      <c r="P447" s="571"/>
    </row>
    <row r="448" spans="1:16" s="17" customFormat="1" ht="33" customHeight="1">
      <c r="A448" s="617"/>
      <c r="B448" s="400"/>
      <c r="C448" s="4"/>
      <c r="D448" s="4"/>
      <c r="E448" s="778"/>
      <c r="F448" s="778"/>
      <c r="G448" s="16"/>
      <c r="H448" s="780"/>
      <c r="I448" s="778"/>
      <c r="J448" s="778"/>
      <c r="K448" s="125"/>
      <c r="L448" s="16"/>
      <c r="M448" s="8"/>
      <c r="N448" s="778"/>
      <c r="O448" s="438"/>
      <c r="P448" s="571"/>
    </row>
    <row r="449" spans="1:16" s="17" customFormat="1" ht="33" customHeight="1">
      <c r="A449" s="617"/>
      <c r="B449" s="400">
        <v>46217</v>
      </c>
      <c r="C449" s="4" t="s">
        <v>21</v>
      </c>
      <c r="D449" s="4" t="s">
        <v>14</v>
      </c>
      <c r="E449" s="778" t="s">
        <v>211</v>
      </c>
      <c r="F449" s="778" t="s">
        <v>2916</v>
      </c>
      <c r="G449" s="16" t="s">
        <v>2917</v>
      </c>
      <c r="H449" s="780" t="s">
        <v>6257</v>
      </c>
      <c r="I449" s="778" t="s">
        <v>6231</v>
      </c>
      <c r="J449" s="778" t="s">
        <v>6258</v>
      </c>
      <c r="K449" s="125" t="s">
        <v>15</v>
      </c>
      <c r="L449" s="16" t="s">
        <v>4550</v>
      </c>
      <c r="M449" s="8">
        <v>2</v>
      </c>
      <c r="N449" s="607"/>
      <c r="O449" s="438"/>
      <c r="P449" s="571"/>
    </row>
    <row r="450" spans="1:16" s="17" customFormat="1" ht="33" customHeight="1">
      <c r="A450" s="617"/>
      <c r="B450" s="400">
        <v>46218</v>
      </c>
      <c r="C450" s="4" t="s">
        <v>21</v>
      </c>
      <c r="D450" s="4" t="s">
        <v>14</v>
      </c>
      <c r="E450" s="778" t="s">
        <v>211</v>
      </c>
      <c r="F450" s="778" t="s">
        <v>2916</v>
      </c>
      <c r="G450" s="16" t="s">
        <v>2917</v>
      </c>
      <c r="H450" s="780" t="s">
        <v>6152</v>
      </c>
      <c r="I450" s="778"/>
      <c r="J450" s="778" t="s">
        <v>1873</v>
      </c>
      <c r="K450" s="125" t="s">
        <v>15</v>
      </c>
      <c r="L450" s="16" t="s">
        <v>4550</v>
      </c>
      <c r="M450" s="8">
        <v>2</v>
      </c>
      <c r="N450" s="608"/>
      <c r="O450" s="437"/>
      <c r="P450" s="571"/>
    </row>
    <row r="451" spans="1:16" s="17" customFormat="1" ht="33" customHeight="1">
      <c r="A451" s="617"/>
      <c r="B451" s="400">
        <v>46219</v>
      </c>
      <c r="C451" s="4" t="s">
        <v>21</v>
      </c>
      <c r="D451" s="4" t="s">
        <v>14</v>
      </c>
      <c r="E451" s="778" t="s">
        <v>211</v>
      </c>
      <c r="F451" s="778" t="s">
        <v>2916</v>
      </c>
      <c r="G451" s="16" t="s">
        <v>2917</v>
      </c>
      <c r="H451" s="780" t="s">
        <v>6152</v>
      </c>
      <c r="I451" s="778"/>
      <c r="J451" s="778" t="s">
        <v>1873</v>
      </c>
      <c r="K451" s="125" t="s">
        <v>15</v>
      </c>
      <c r="L451" s="16" t="s">
        <v>4550</v>
      </c>
      <c r="M451" s="8">
        <v>2</v>
      </c>
      <c r="N451" s="608"/>
      <c r="O451" s="437"/>
      <c r="P451" s="571"/>
    </row>
    <row r="452" spans="1:16" s="17" customFormat="1" ht="33" customHeight="1">
      <c r="A452" s="617"/>
      <c r="B452" s="400">
        <v>46220</v>
      </c>
      <c r="C452" s="4" t="s">
        <v>21</v>
      </c>
      <c r="D452" s="4" t="s">
        <v>14</v>
      </c>
      <c r="E452" s="778" t="s">
        <v>211</v>
      </c>
      <c r="F452" s="778" t="s">
        <v>2916</v>
      </c>
      <c r="G452" s="16" t="s">
        <v>2917</v>
      </c>
      <c r="H452" s="780" t="s">
        <v>6256</v>
      </c>
      <c r="I452" s="778"/>
      <c r="J452" s="778" t="s">
        <v>1873</v>
      </c>
      <c r="K452" s="125" t="s">
        <v>15</v>
      </c>
      <c r="L452" s="16" t="s">
        <v>4550</v>
      </c>
      <c r="M452" s="8">
        <v>2</v>
      </c>
      <c r="N452" s="608"/>
      <c r="O452" s="437"/>
      <c r="P452" s="571"/>
    </row>
    <row r="453" spans="1:16" s="17" customFormat="1" ht="33" customHeight="1">
      <c r="A453" s="618"/>
      <c r="B453" s="370">
        <v>46221</v>
      </c>
      <c r="C453" s="4"/>
      <c r="D453" s="4"/>
      <c r="E453" s="291"/>
      <c r="F453" s="607"/>
      <c r="G453" s="16"/>
      <c r="H453" s="611"/>
      <c r="I453" s="607"/>
      <c r="J453" s="607"/>
      <c r="K453" s="125"/>
      <c r="L453" s="16"/>
      <c r="M453" s="8"/>
      <c r="N453" s="607"/>
      <c r="O453" s="439"/>
      <c r="P453" s="571"/>
    </row>
    <row r="454" spans="1:16" s="17" customFormat="1" ht="33" customHeight="1">
      <c r="A454" s="323" t="s">
        <v>0</v>
      </c>
      <c r="B454" s="324" t="s">
        <v>1</v>
      </c>
      <c r="C454" s="323" t="s">
        <v>2</v>
      </c>
      <c r="D454" s="323" t="s">
        <v>3</v>
      </c>
      <c r="E454" s="323" t="s">
        <v>4</v>
      </c>
      <c r="F454" s="323" t="s">
        <v>5</v>
      </c>
      <c r="G454" s="323" t="s">
        <v>6</v>
      </c>
      <c r="H454" s="325" t="s">
        <v>7</v>
      </c>
      <c r="I454" s="323" t="s">
        <v>8</v>
      </c>
      <c r="J454" s="323" t="s">
        <v>9</v>
      </c>
      <c r="K454" s="326" t="s">
        <v>10</v>
      </c>
      <c r="L454" s="327" t="s">
        <v>11</v>
      </c>
      <c r="M454" s="323" t="s">
        <v>12</v>
      </c>
      <c r="N454" s="328" t="s">
        <v>13</v>
      </c>
      <c r="O454" s="434" t="s">
        <v>63</v>
      </c>
      <c r="P454" s="323" t="s">
        <v>123</v>
      </c>
    </row>
    <row r="455" spans="1:16" s="17" customFormat="1" ht="33" customHeight="1">
      <c r="A455" s="616" t="s">
        <v>5630</v>
      </c>
      <c r="B455" s="400">
        <v>46223</v>
      </c>
      <c r="C455" s="4" t="s">
        <v>113</v>
      </c>
      <c r="D455" s="4" t="s">
        <v>2202</v>
      </c>
      <c r="E455" s="667" t="s">
        <v>899</v>
      </c>
      <c r="F455" s="667" t="s">
        <v>1968</v>
      </c>
      <c r="G455" s="16" t="s">
        <v>376</v>
      </c>
      <c r="H455" s="668" t="s">
        <v>4109</v>
      </c>
      <c r="I455" s="607"/>
      <c r="J455" s="607"/>
      <c r="K455" s="125"/>
      <c r="L455" s="16"/>
      <c r="M455" s="8"/>
      <c r="N455" s="607"/>
      <c r="O455" s="438"/>
      <c r="P455" s="571"/>
    </row>
    <row r="456" spans="1:16" s="17" customFormat="1" ht="33" customHeight="1">
      <c r="A456" s="617"/>
      <c r="B456" s="400">
        <v>46224</v>
      </c>
      <c r="C456" s="4" t="s">
        <v>113</v>
      </c>
      <c r="D456" s="4" t="s">
        <v>2202</v>
      </c>
      <c r="E456" s="667" t="s">
        <v>899</v>
      </c>
      <c r="F456" s="667" t="s">
        <v>1968</v>
      </c>
      <c r="G456" s="16" t="s">
        <v>5358</v>
      </c>
      <c r="H456" s="668" t="s">
        <v>4109</v>
      </c>
      <c r="I456" s="607"/>
      <c r="J456" s="607"/>
      <c r="K456" s="125"/>
      <c r="L456" s="16"/>
      <c r="M456" s="8"/>
      <c r="N456" s="607"/>
      <c r="O456" s="438"/>
      <c r="P456" s="571"/>
    </row>
    <row r="457" spans="1:16" s="17" customFormat="1" ht="33" customHeight="1">
      <c r="A457" s="617"/>
      <c r="B457" s="400">
        <v>46225</v>
      </c>
      <c r="C457" s="4"/>
      <c r="D457" s="4"/>
      <c r="E457" s="607"/>
      <c r="F457" s="607"/>
      <c r="G457" s="16"/>
      <c r="H457" s="611"/>
      <c r="I457" s="607"/>
      <c r="J457" s="611"/>
      <c r="K457" s="125"/>
      <c r="L457" s="16"/>
      <c r="M457" s="8"/>
      <c r="N457" s="608"/>
      <c r="O457" s="437"/>
      <c r="P457" s="571"/>
    </row>
    <row r="458" spans="1:16" s="17" customFormat="1" ht="33" customHeight="1">
      <c r="A458" s="617"/>
      <c r="B458" s="400">
        <v>46226</v>
      </c>
      <c r="C458" s="4"/>
      <c r="D458" s="4"/>
      <c r="E458" s="607"/>
      <c r="F458" s="607"/>
      <c r="G458" s="16"/>
      <c r="H458" s="611"/>
      <c r="I458" s="607"/>
      <c r="J458" s="611"/>
      <c r="K458" s="125"/>
      <c r="L458" s="16"/>
      <c r="M458" s="8"/>
      <c r="N458" s="608"/>
      <c r="O458" s="437"/>
      <c r="P458" s="571"/>
    </row>
    <row r="459" spans="1:16" s="17" customFormat="1" ht="33" customHeight="1">
      <c r="A459" s="617"/>
      <c r="B459" s="400">
        <v>46227</v>
      </c>
      <c r="C459" s="4"/>
      <c r="D459" s="4"/>
      <c r="E459" s="607"/>
      <c r="F459" s="607"/>
      <c r="G459" s="16"/>
      <c r="H459" s="611"/>
      <c r="I459" s="607"/>
      <c r="J459" s="611"/>
      <c r="K459" s="125"/>
      <c r="L459" s="16"/>
      <c r="M459" s="8"/>
      <c r="N459" s="608"/>
      <c r="O459" s="437"/>
      <c r="P459" s="571"/>
    </row>
    <row r="460" spans="1:16" s="17" customFormat="1" ht="33" customHeight="1">
      <c r="A460" s="618"/>
      <c r="B460" s="370">
        <v>46228</v>
      </c>
      <c r="C460" s="4"/>
      <c r="D460" s="4"/>
      <c r="E460" s="291"/>
      <c r="F460" s="607"/>
      <c r="G460" s="16"/>
      <c r="H460" s="611"/>
      <c r="I460" s="607"/>
      <c r="J460" s="607"/>
      <c r="K460" s="125"/>
      <c r="L460" s="16"/>
      <c r="M460" s="8"/>
      <c r="N460" s="607"/>
      <c r="O460" s="439"/>
      <c r="P460" s="571"/>
    </row>
    <row r="461" spans="1:16" s="17" customFormat="1" ht="33" customHeight="1">
      <c r="A461" s="323" t="s">
        <v>0</v>
      </c>
      <c r="B461" s="324" t="s">
        <v>1</v>
      </c>
      <c r="C461" s="323" t="s">
        <v>2</v>
      </c>
      <c r="D461" s="323" t="s">
        <v>3</v>
      </c>
      <c r="E461" s="323" t="s">
        <v>4</v>
      </c>
      <c r="F461" s="323" t="s">
        <v>5</v>
      </c>
      <c r="G461" s="323" t="s">
        <v>6</v>
      </c>
      <c r="H461" s="325" t="s">
        <v>7</v>
      </c>
      <c r="I461" s="323" t="s">
        <v>8</v>
      </c>
      <c r="J461" s="323" t="s">
        <v>9</v>
      </c>
      <c r="K461" s="326" t="s">
        <v>10</v>
      </c>
      <c r="L461" s="327" t="s">
        <v>11</v>
      </c>
      <c r="M461" s="323" t="s">
        <v>12</v>
      </c>
      <c r="N461" s="328" t="s">
        <v>13</v>
      </c>
      <c r="O461" s="434" t="s">
        <v>63</v>
      </c>
      <c r="P461" s="323" t="s">
        <v>123</v>
      </c>
    </row>
    <row r="462" spans="1:16" s="17" customFormat="1" ht="33" customHeight="1">
      <c r="A462" s="616" t="s">
        <v>5631</v>
      </c>
      <c r="B462" s="400">
        <v>46230</v>
      </c>
      <c r="C462" s="4"/>
      <c r="D462" s="4"/>
      <c r="E462" s="607" t="s">
        <v>6119</v>
      </c>
      <c r="F462" s="607"/>
      <c r="G462" s="16"/>
      <c r="H462" s="611"/>
      <c r="I462" s="607"/>
      <c r="J462" s="607"/>
      <c r="K462" s="125"/>
      <c r="L462" s="16"/>
      <c r="M462" s="8"/>
      <c r="N462" s="607"/>
      <c r="O462" s="438"/>
      <c r="P462" s="571"/>
    </row>
    <row r="463" spans="1:16" s="17" customFormat="1" ht="33" customHeight="1">
      <c r="A463" s="617"/>
      <c r="B463" s="400">
        <v>46231</v>
      </c>
      <c r="C463" s="4"/>
      <c r="D463" s="4"/>
      <c r="E463" s="291"/>
      <c r="F463" s="607"/>
      <c r="G463" s="16"/>
      <c r="H463" s="611"/>
      <c r="I463" s="607"/>
      <c r="J463" s="607"/>
      <c r="K463" s="125"/>
      <c r="L463" s="16"/>
      <c r="M463" s="8"/>
      <c r="N463" s="607"/>
      <c r="O463" s="438"/>
      <c r="P463" s="571"/>
    </row>
    <row r="464" spans="1:16" s="17" customFormat="1" ht="33" customHeight="1">
      <c r="A464" s="617"/>
      <c r="B464" s="400">
        <v>46232</v>
      </c>
      <c r="C464" s="4"/>
      <c r="D464" s="4"/>
      <c r="E464" s="607"/>
      <c r="F464" s="607"/>
      <c r="G464" s="16"/>
      <c r="H464" s="611"/>
      <c r="I464" s="607"/>
      <c r="J464" s="611"/>
      <c r="K464" s="125"/>
      <c r="L464" s="16"/>
      <c r="M464" s="8"/>
      <c r="N464" s="608"/>
      <c r="O464" s="437"/>
      <c r="P464" s="571"/>
    </row>
    <row r="465" spans="1:16" s="17" customFormat="1" ht="33" customHeight="1">
      <c r="A465" s="617"/>
      <c r="B465" s="400">
        <v>46233</v>
      </c>
      <c r="C465" s="4"/>
      <c r="D465" s="4"/>
      <c r="E465" s="607"/>
      <c r="F465" s="607"/>
      <c r="G465" s="16"/>
      <c r="H465" s="611"/>
      <c r="I465" s="607"/>
      <c r="J465" s="611"/>
      <c r="K465" s="125"/>
      <c r="L465" s="16"/>
      <c r="M465" s="8"/>
      <c r="N465" s="608"/>
      <c r="O465" s="437"/>
      <c r="P465" s="571"/>
    </row>
    <row r="466" spans="1:16" s="17" customFormat="1" ht="33" customHeight="1">
      <c r="A466" s="617"/>
      <c r="B466" s="400">
        <v>46234</v>
      </c>
      <c r="C466" s="4"/>
      <c r="D466" s="4"/>
      <c r="E466" s="607"/>
      <c r="F466" s="607"/>
      <c r="G466" s="16"/>
      <c r="H466" s="611"/>
      <c r="I466" s="607"/>
      <c r="J466" s="611"/>
      <c r="K466" s="125"/>
      <c r="L466" s="16"/>
      <c r="M466" s="8"/>
      <c r="N466" s="608"/>
      <c r="O466" s="437"/>
      <c r="P466" s="571"/>
    </row>
    <row r="467" spans="1:16" s="17" customFormat="1" ht="33" customHeight="1">
      <c r="A467" s="618"/>
      <c r="B467" s="370">
        <v>46235</v>
      </c>
      <c r="C467" s="4"/>
      <c r="D467" s="4"/>
      <c r="E467" s="291"/>
      <c r="F467" s="607"/>
      <c r="G467" s="16"/>
      <c r="H467" s="611"/>
      <c r="I467" s="607"/>
      <c r="J467" s="607"/>
      <c r="K467" s="125"/>
      <c r="L467" s="16"/>
      <c r="M467" s="8"/>
      <c r="N467" s="607"/>
      <c r="O467" s="439"/>
      <c r="P467" s="571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08"/>
  <sheetViews>
    <sheetView zoomScaleNormal="100" zoomScaleSheetLayoutView="115" workbookViewId="0">
      <pane ySplit="2" topLeftCell="A1487" activePane="bottomLeft" state="frozen"/>
      <selection pane="bottomLeft" activeCell="C1506" sqref="C150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12" t="s">
        <v>161</v>
      </c>
      <c r="B1" s="912" t="s">
        <v>162</v>
      </c>
      <c r="C1" s="910" t="s">
        <v>1</v>
      </c>
      <c r="D1" s="910" t="s">
        <v>2</v>
      </c>
      <c r="E1" s="910" t="s">
        <v>3</v>
      </c>
      <c r="F1" s="27" t="s">
        <v>54</v>
      </c>
      <c r="G1" s="910" t="s">
        <v>5</v>
      </c>
      <c r="H1" s="910" t="s">
        <v>6</v>
      </c>
      <c r="I1" s="910" t="s">
        <v>7</v>
      </c>
      <c r="J1" s="910" t="s">
        <v>55</v>
      </c>
      <c r="K1" s="914" t="s">
        <v>483</v>
      </c>
      <c r="L1" s="916" t="s">
        <v>56</v>
      </c>
      <c r="M1" s="908" t="s">
        <v>57</v>
      </c>
      <c r="N1" s="910" t="s">
        <v>58</v>
      </c>
    </row>
    <row r="2" spans="1:14">
      <c r="A2" s="913"/>
      <c r="B2" s="913"/>
      <c r="C2" s="911"/>
      <c r="D2" s="911"/>
      <c r="E2" s="911"/>
      <c r="F2" s="28" t="s">
        <v>59</v>
      </c>
      <c r="G2" s="911"/>
      <c r="H2" s="911"/>
      <c r="I2" s="911"/>
      <c r="J2" s="911"/>
      <c r="K2" s="915"/>
      <c r="L2" s="917"/>
      <c r="M2" s="909"/>
      <c r="N2" s="911"/>
    </row>
    <row r="3" spans="1:14" ht="27">
      <c r="A3" s="55">
        <v>1</v>
      </c>
      <c r="B3" s="891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8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04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05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1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892"/>
      <c r="C9" s="918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892"/>
      <c r="C10" s="919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892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892"/>
      <c r="C12" s="918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892"/>
      <c r="C13" s="920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892"/>
      <c r="C14" s="919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892"/>
      <c r="C15" s="918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892"/>
      <c r="C16" s="919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04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05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1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04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05"/>
    </row>
    <row r="24" spans="1:17" ht="27">
      <c r="A24" s="55">
        <v>4</v>
      </c>
      <c r="B24" s="891" t="s">
        <v>21</v>
      </c>
      <c r="C24" s="898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879" t="s">
        <v>85</v>
      </c>
      <c r="K24" s="894" t="s">
        <v>41</v>
      </c>
      <c r="L24" s="6" t="s">
        <v>15</v>
      </c>
      <c r="M24" s="921">
        <v>180000</v>
      </c>
      <c r="N24" s="45" t="s">
        <v>194</v>
      </c>
    </row>
    <row r="25" spans="1:17" ht="27">
      <c r="A25" s="55">
        <v>4</v>
      </c>
      <c r="B25" s="892"/>
      <c r="C25" s="900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880"/>
      <c r="K25" s="895"/>
      <c r="L25" s="6" t="s">
        <v>15</v>
      </c>
      <c r="M25" s="922"/>
      <c r="N25" s="45" t="s">
        <v>194</v>
      </c>
    </row>
    <row r="26" spans="1:17">
      <c r="A26" s="55">
        <v>4</v>
      </c>
      <c r="B26" s="892"/>
      <c r="C26" s="898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879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3"/>
      <c r="C27" s="900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880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1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892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892"/>
      <c r="C32" s="898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892"/>
      <c r="C33" s="900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1" t="s">
        <v>20</v>
      </c>
      <c r="C35" s="898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3"/>
      <c r="C36" s="900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1" t="s">
        <v>20</v>
      </c>
      <c r="C37" s="898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3"/>
      <c r="C38" s="900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27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28"/>
      <c r="C40" s="898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28"/>
      <c r="C41" s="900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29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885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86"/>
      <c r="C45" s="885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86"/>
      <c r="C46" s="925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87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3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26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26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4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3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4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1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892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885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86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87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1" t="s">
        <v>64</v>
      </c>
      <c r="C67" s="898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894" t="s">
        <v>435</v>
      </c>
      <c r="L67" s="6" t="s">
        <v>436</v>
      </c>
      <c r="M67" s="921">
        <v>750000</v>
      </c>
      <c r="N67" s="45" t="s">
        <v>446</v>
      </c>
    </row>
    <row r="68" spans="1:15" ht="27">
      <c r="A68" s="55">
        <v>19</v>
      </c>
      <c r="B68" s="892"/>
      <c r="C68" s="899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895"/>
      <c r="L68" s="6" t="s">
        <v>411</v>
      </c>
      <c r="M68" s="922"/>
      <c r="N68" s="45" t="s">
        <v>445</v>
      </c>
    </row>
    <row r="69" spans="1:15">
      <c r="A69" s="55">
        <v>19</v>
      </c>
      <c r="B69" s="892"/>
      <c r="C69" s="900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892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77">
        <v>500000</v>
      </c>
      <c r="N71" s="78" t="s">
        <v>444</v>
      </c>
      <c r="O71">
        <v>2</v>
      </c>
    </row>
    <row r="72" spans="1:15">
      <c r="A72" s="55">
        <v>20</v>
      </c>
      <c r="B72" s="891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892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892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892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78">
        <v>300000</v>
      </c>
      <c r="N76" s="79" t="s">
        <v>97</v>
      </c>
    </row>
    <row r="77" spans="1:15">
      <c r="A77" s="55">
        <v>20</v>
      </c>
      <c r="B77" s="891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892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1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1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892"/>
      <c r="C83" s="898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892"/>
      <c r="C84" s="900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892"/>
      <c r="C85" s="898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892"/>
      <c r="C86" s="900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892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892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1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1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892"/>
      <c r="C93" s="898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892"/>
      <c r="C94" s="899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892"/>
      <c r="C95" s="900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892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1" t="s">
        <v>21</v>
      </c>
      <c r="C99" s="898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892"/>
      <c r="C100" s="900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892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892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1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892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892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1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859" t="s">
        <v>658</v>
      </c>
      <c r="C110" s="85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884"/>
      <c r="C111" s="906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884"/>
      <c r="C112" s="907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06"/>
      <c r="C113" s="906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07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884"/>
      <c r="C115" s="85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860"/>
      <c r="C116" s="906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1" t="s">
        <v>20</v>
      </c>
      <c r="C117" s="901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879" t="s">
        <v>168</v>
      </c>
      <c r="K117" s="894" t="s">
        <v>645</v>
      </c>
      <c r="L117" s="57" t="s">
        <v>209</v>
      </c>
      <c r="M117" s="881">
        <f>250000*5</f>
        <v>1250000</v>
      </c>
      <c r="N117" s="891" t="s">
        <v>121</v>
      </c>
    </row>
    <row r="118" spans="1:14">
      <c r="A118" s="101">
        <v>28</v>
      </c>
      <c r="B118" s="892"/>
      <c r="C118" s="899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03"/>
      <c r="K118" s="902"/>
      <c r="L118" s="57" t="s">
        <v>209</v>
      </c>
      <c r="M118" s="882"/>
      <c r="N118" s="892"/>
    </row>
    <row r="119" spans="1:14">
      <c r="A119" s="101">
        <v>28</v>
      </c>
      <c r="B119" s="892"/>
      <c r="C119" s="899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880"/>
      <c r="K119" s="895"/>
      <c r="L119" s="57" t="s">
        <v>209</v>
      </c>
      <c r="M119" s="883"/>
      <c r="N119" s="893"/>
    </row>
    <row r="120" spans="1:14">
      <c r="A120" s="101">
        <v>28</v>
      </c>
      <c r="B120" s="893"/>
      <c r="C120" s="900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80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859" t="s">
        <v>307</v>
      </c>
      <c r="C122" s="85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91" t="s">
        <v>458</v>
      </c>
      <c r="N122" s="110" t="s">
        <v>706</v>
      </c>
    </row>
    <row r="123" spans="1:14" ht="16.5" customHeight="1">
      <c r="A123" s="55">
        <v>29</v>
      </c>
      <c r="B123" s="884"/>
      <c r="C123" s="884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859" t="s">
        <v>664</v>
      </c>
      <c r="K123" s="885" t="s">
        <v>707</v>
      </c>
      <c r="L123" s="110" t="s">
        <v>324</v>
      </c>
      <c r="M123" s="888" t="s">
        <v>708</v>
      </c>
      <c r="N123" s="110"/>
    </row>
    <row r="124" spans="1:14">
      <c r="A124" s="55">
        <v>29</v>
      </c>
      <c r="B124" s="884"/>
      <c r="C124" s="884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884"/>
      <c r="K124" s="886"/>
      <c r="L124" s="110" t="s">
        <v>324</v>
      </c>
      <c r="M124" s="889"/>
      <c r="N124" s="110"/>
    </row>
    <row r="125" spans="1:14">
      <c r="A125" s="55">
        <v>29</v>
      </c>
      <c r="B125" s="884"/>
      <c r="C125" s="884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860"/>
      <c r="K125" s="887"/>
      <c r="L125" s="110" t="s">
        <v>324</v>
      </c>
      <c r="M125" s="890"/>
      <c r="N125" s="110"/>
    </row>
    <row r="126" spans="1:14">
      <c r="A126" s="55">
        <v>29</v>
      </c>
      <c r="B126" s="860"/>
      <c r="C126" s="860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91" t="s">
        <v>458</v>
      </c>
      <c r="N126" s="110" t="s">
        <v>425</v>
      </c>
    </row>
    <row r="127" spans="1:14">
      <c r="A127" s="55">
        <v>29</v>
      </c>
      <c r="B127" s="85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91" t="s">
        <v>672</v>
      </c>
      <c r="N127" s="110" t="s">
        <v>696</v>
      </c>
    </row>
    <row r="128" spans="1:14">
      <c r="A128" s="55">
        <v>29</v>
      </c>
      <c r="B128" s="884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91" t="s">
        <v>458</v>
      </c>
      <c r="N128" s="110" t="s">
        <v>715</v>
      </c>
    </row>
    <row r="129" spans="1:14">
      <c r="A129" s="55">
        <v>29</v>
      </c>
      <c r="B129" s="884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91" t="s">
        <v>672</v>
      </c>
      <c r="N129" s="110" t="s">
        <v>715</v>
      </c>
    </row>
    <row r="130" spans="1:14">
      <c r="A130" s="55">
        <v>29</v>
      </c>
      <c r="B130" s="884"/>
      <c r="C130" s="85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91" t="s">
        <v>458</v>
      </c>
      <c r="N130" s="110" t="s">
        <v>715</v>
      </c>
    </row>
    <row r="131" spans="1:14">
      <c r="A131" s="55">
        <v>29</v>
      </c>
      <c r="B131" s="884"/>
      <c r="C131" s="860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91" t="s">
        <v>672</v>
      </c>
      <c r="N131" s="110" t="s">
        <v>723</v>
      </c>
    </row>
    <row r="132" spans="1:14">
      <c r="A132" s="55">
        <v>29</v>
      </c>
      <c r="B132" s="884"/>
      <c r="C132" s="85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91" t="s">
        <v>672</v>
      </c>
      <c r="N132" s="110" t="s">
        <v>697</v>
      </c>
    </row>
    <row r="133" spans="1:14">
      <c r="A133" s="55">
        <v>29</v>
      </c>
      <c r="B133" s="884"/>
      <c r="C133" s="860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91" t="s">
        <v>458</v>
      </c>
      <c r="N133" s="110" t="s">
        <v>726</v>
      </c>
    </row>
    <row r="134" spans="1:14" ht="25.5">
      <c r="A134" s="55">
        <v>29</v>
      </c>
      <c r="B134" s="860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91" t="s">
        <v>359</v>
      </c>
      <c r="N134" s="110" t="s">
        <v>723</v>
      </c>
    </row>
    <row r="135" spans="1:14" ht="16.5" customHeight="1">
      <c r="A135" s="55">
        <v>30</v>
      </c>
      <c r="B135" s="891" t="s">
        <v>618</v>
      </c>
      <c r="C135" s="898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892"/>
      <c r="C136" s="899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892"/>
      <c r="C137" s="899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893"/>
      <c r="C138" s="900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1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892"/>
      <c r="C140" s="898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892"/>
      <c r="C141" s="900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1" t="s">
        <v>735</v>
      </c>
    </row>
    <row r="142" spans="1:14">
      <c r="A142" s="55">
        <v>30</v>
      </c>
      <c r="B142" s="89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3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1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1" t="s">
        <v>20</v>
      </c>
      <c r="C146" s="898" t="s">
        <v>869</v>
      </c>
      <c r="D146" s="894" t="s">
        <v>19</v>
      </c>
      <c r="E146" s="89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3"/>
      <c r="C147" s="900"/>
      <c r="D147" s="895"/>
      <c r="E147" s="89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1" t="s">
        <v>123</v>
      </c>
      <c r="C148" s="898" t="s">
        <v>782</v>
      </c>
      <c r="D148" s="894" t="s">
        <v>19</v>
      </c>
      <c r="E148" s="89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3"/>
      <c r="C149" s="900"/>
      <c r="D149" s="895"/>
      <c r="E149" s="89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1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892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1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1" t="s">
        <v>247</v>
      </c>
    </row>
    <row r="154" spans="1:14" ht="27">
      <c r="A154" s="55">
        <v>34</v>
      </c>
      <c r="B154" s="892"/>
      <c r="C154" s="898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892"/>
    </row>
    <row r="155" spans="1:14" ht="27">
      <c r="A155" s="55">
        <v>34</v>
      </c>
      <c r="B155" s="892"/>
      <c r="C155" s="900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3"/>
    </row>
    <row r="156" spans="1:14" ht="27">
      <c r="A156" s="55">
        <v>34</v>
      </c>
      <c r="B156" s="892"/>
      <c r="C156" s="898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1" t="s">
        <v>825</v>
      </c>
    </row>
    <row r="157" spans="1:14" ht="27">
      <c r="A157" s="55">
        <v>34</v>
      </c>
      <c r="B157" s="892"/>
      <c r="C157" s="900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892"/>
    </row>
    <row r="158" spans="1:14" ht="27">
      <c r="A158" s="55">
        <v>34</v>
      </c>
      <c r="B158" s="892"/>
      <c r="C158" s="898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892"/>
    </row>
    <row r="159" spans="1:14" ht="27">
      <c r="A159" s="55">
        <v>34</v>
      </c>
      <c r="B159" s="892"/>
      <c r="C159" s="900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892"/>
    </row>
    <row r="160" spans="1:14" ht="27">
      <c r="A160" s="55">
        <v>34</v>
      </c>
      <c r="B160" s="892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892"/>
    </row>
    <row r="161" spans="1:15" ht="27">
      <c r="A161" s="55">
        <v>34</v>
      </c>
      <c r="B161" s="892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3"/>
    </row>
    <row r="162" spans="1:15" ht="27">
      <c r="A162" s="55">
        <v>34</v>
      </c>
      <c r="B162" s="89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1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892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892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89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12" t="s">
        <v>849</v>
      </c>
      <c r="C167" s="830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13"/>
      <c r="C168" s="831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13"/>
      <c r="C169" s="831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814"/>
      <c r="C170" s="832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81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1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81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1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1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1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1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13"/>
      <c r="C178" s="830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14"/>
      <c r="C179" s="832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1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13"/>
      <c r="C181" s="898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879" t="s">
        <v>838</v>
      </c>
      <c r="K181" s="894" t="s">
        <v>985</v>
      </c>
      <c r="L181" s="6" t="s">
        <v>910</v>
      </c>
      <c r="M181" s="881">
        <f>180000+200000+200000</f>
        <v>580000</v>
      </c>
      <c r="N181" s="45" t="s">
        <v>806</v>
      </c>
    </row>
    <row r="182" spans="1:14">
      <c r="A182" s="55">
        <v>36</v>
      </c>
      <c r="B182" s="813"/>
      <c r="C182" s="899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880"/>
      <c r="K182" s="895"/>
      <c r="L182" s="6" t="s">
        <v>911</v>
      </c>
      <c r="M182" s="883"/>
      <c r="N182" s="45" t="s">
        <v>806</v>
      </c>
    </row>
    <row r="183" spans="1:14">
      <c r="A183" s="55">
        <v>36</v>
      </c>
      <c r="B183" s="813"/>
      <c r="C183" s="900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1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1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1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13"/>
      <c r="C187" s="830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14"/>
      <c r="C188" s="832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1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1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1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12" t="s">
        <v>939</v>
      </c>
      <c r="C192" s="830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13"/>
      <c r="C193" s="832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1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1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13"/>
      <c r="C196" s="898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13"/>
      <c r="C197" s="900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13"/>
      <c r="C198" s="898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14"/>
      <c r="C199" s="900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12" t="s">
        <v>20</v>
      </c>
      <c r="C200" s="830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13"/>
      <c r="C201" s="832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13"/>
      <c r="C202" s="830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14"/>
      <c r="C203" s="832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1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1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1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12" t="s">
        <v>20</v>
      </c>
      <c r="C207" s="830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13"/>
      <c r="C208" s="832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1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1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1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1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1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1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1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1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1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12" t="s">
        <v>20</v>
      </c>
      <c r="C218" s="830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13"/>
      <c r="C219" s="832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1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1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1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1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81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1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891" t="s">
        <v>247</v>
      </c>
    </row>
    <row r="226" spans="1:14">
      <c r="A226" s="55">
        <v>44</v>
      </c>
      <c r="B226" s="81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892"/>
    </row>
    <row r="227" spans="1:14">
      <c r="A227" s="55">
        <v>44</v>
      </c>
      <c r="B227" s="81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3"/>
    </row>
    <row r="228" spans="1:14">
      <c r="A228" s="55">
        <v>44</v>
      </c>
      <c r="B228" s="81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1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81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1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81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81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1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1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81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1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1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1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1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1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1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1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1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1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1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13"/>
      <c r="C249" s="830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1" t="s">
        <v>247</v>
      </c>
    </row>
    <row r="250" spans="1:14">
      <c r="A250" s="55">
        <v>48</v>
      </c>
      <c r="B250" s="814"/>
      <c r="C250" s="832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3"/>
    </row>
    <row r="251" spans="1:14">
      <c r="A251" s="55">
        <v>48</v>
      </c>
      <c r="B251" s="81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1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1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1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1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13"/>
      <c r="C256" s="830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1" t="s">
        <v>247</v>
      </c>
    </row>
    <row r="257" spans="1:14">
      <c r="A257" s="55">
        <v>49</v>
      </c>
      <c r="B257" s="814"/>
      <c r="C257" s="832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3"/>
    </row>
    <row r="258" spans="1:14" ht="40.5">
      <c r="A258" s="55">
        <v>49</v>
      </c>
      <c r="B258" s="81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1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93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92" t="s">
        <v>1112</v>
      </c>
      <c r="N260" s="129" t="s">
        <v>1097</v>
      </c>
    </row>
    <row r="261" spans="1:14">
      <c r="A261" s="55">
        <v>49</v>
      </c>
      <c r="B261" s="93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92" t="s">
        <v>458</v>
      </c>
      <c r="N261" s="808" t="s">
        <v>1103</v>
      </c>
    </row>
    <row r="262" spans="1:14" ht="25.5">
      <c r="A262" s="132">
        <v>49</v>
      </c>
      <c r="B262" s="93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93" t="s">
        <v>672</v>
      </c>
      <c r="N262" s="809"/>
    </row>
    <row r="263" spans="1:14" ht="16.5" customHeight="1">
      <c r="A263" s="55">
        <v>50</v>
      </c>
      <c r="B263" s="812" t="s">
        <v>20</v>
      </c>
      <c r="C263" s="830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13"/>
      <c r="C264" s="831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13"/>
      <c r="C265" s="831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13"/>
      <c r="C266" s="831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14"/>
      <c r="C267" s="832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930" t="s">
        <v>658</v>
      </c>
      <c r="C268" s="80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94" t="s">
        <v>708</v>
      </c>
      <c r="N268" s="148" t="s">
        <v>665</v>
      </c>
    </row>
    <row r="269" spans="1:14">
      <c r="A269" s="55">
        <v>51</v>
      </c>
      <c r="B269" s="931"/>
      <c r="C269" s="825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94" t="s">
        <v>1112</v>
      </c>
      <c r="N269" s="148" t="s">
        <v>425</v>
      </c>
    </row>
    <row r="270" spans="1:14">
      <c r="A270" s="55">
        <v>51</v>
      </c>
      <c r="B270" s="932"/>
      <c r="C270" s="80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94" t="s">
        <v>458</v>
      </c>
      <c r="N270" s="148" t="s">
        <v>1160</v>
      </c>
    </row>
    <row r="271" spans="1:14" ht="16.5" customHeight="1">
      <c r="A271" s="55">
        <v>52</v>
      </c>
      <c r="B271" s="812" t="s">
        <v>20</v>
      </c>
      <c r="C271" s="830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13"/>
      <c r="C272" s="831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13"/>
      <c r="C273" s="832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1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813"/>
      <c r="C275" s="830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813"/>
      <c r="C276" s="832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1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937" t="s">
        <v>1196</v>
      </c>
      <c r="B278" s="938"/>
      <c r="C278" s="938"/>
      <c r="D278" s="938"/>
      <c r="E278" s="938"/>
      <c r="F278" s="938"/>
      <c r="G278" s="938"/>
      <c r="H278" s="938"/>
      <c r="I278" s="938"/>
      <c r="J278" s="938"/>
      <c r="K278" s="938"/>
      <c r="L278" s="938"/>
      <c r="M278" s="938"/>
      <c r="N278" s="939"/>
    </row>
    <row r="279" spans="1:15" ht="16.5" customHeight="1">
      <c r="A279" s="55">
        <v>1</v>
      </c>
      <c r="B279" s="812" t="s">
        <v>20</v>
      </c>
      <c r="C279" s="830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14"/>
      <c r="C280" s="832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12" t="s">
        <v>64</v>
      </c>
      <c r="C281" s="830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13"/>
      <c r="C282" s="832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13"/>
      <c r="C283" s="830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879" t="s">
        <v>1174</v>
      </c>
      <c r="K283" s="935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13"/>
      <c r="C284" s="832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880"/>
      <c r="K284" s="936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1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1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40" t="s">
        <v>123</v>
      </c>
      <c r="C287" s="80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92" t="s">
        <v>708</v>
      </c>
      <c r="N287" s="129" t="s">
        <v>665</v>
      </c>
    </row>
    <row r="288" spans="1:15">
      <c r="A288" s="55">
        <v>2</v>
      </c>
      <c r="B288" s="941"/>
      <c r="C288" s="80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92" t="s">
        <v>1112</v>
      </c>
      <c r="N288" s="128" t="s">
        <v>425</v>
      </c>
    </row>
    <row r="289" spans="1:15">
      <c r="A289" s="55">
        <v>2</v>
      </c>
      <c r="B289" s="930" t="s">
        <v>64</v>
      </c>
      <c r="C289" s="80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92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931"/>
      <c r="C290" s="933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95" t="s">
        <v>1233</v>
      </c>
      <c r="N290" s="151" t="s">
        <v>726</v>
      </c>
    </row>
    <row r="291" spans="1:15" ht="25.5">
      <c r="A291" s="55">
        <v>2</v>
      </c>
      <c r="B291" s="931"/>
      <c r="C291" s="934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08" t="s">
        <v>638</v>
      </c>
      <c r="K291" s="869" t="s">
        <v>671</v>
      </c>
      <c r="L291" s="148" t="s">
        <v>309</v>
      </c>
      <c r="M291" s="818" t="s">
        <v>672</v>
      </c>
      <c r="N291" s="148" t="s">
        <v>723</v>
      </c>
    </row>
    <row r="292" spans="1:15">
      <c r="A292" s="55">
        <v>2</v>
      </c>
      <c r="B292" s="931"/>
      <c r="C292" s="933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09"/>
      <c r="K292" s="870"/>
      <c r="L292" s="148" t="s">
        <v>309</v>
      </c>
      <c r="M292" s="819"/>
      <c r="N292" s="148" t="s">
        <v>723</v>
      </c>
    </row>
    <row r="293" spans="1:15">
      <c r="A293" s="55">
        <v>2</v>
      </c>
      <c r="B293" s="931"/>
      <c r="C293" s="934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94" t="s">
        <v>672</v>
      </c>
      <c r="N293" s="148" t="s">
        <v>723</v>
      </c>
    </row>
    <row r="294" spans="1:15">
      <c r="A294" s="55">
        <v>2</v>
      </c>
      <c r="B294" s="931"/>
      <c r="C294" s="80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94" t="s">
        <v>672</v>
      </c>
      <c r="N294" s="148" t="s">
        <v>1208</v>
      </c>
    </row>
    <row r="295" spans="1:15">
      <c r="A295" s="55">
        <v>2</v>
      </c>
      <c r="B295" s="93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94" t="s">
        <v>672</v>
      </c>
      <c r="N295" s="148" t="s">
        <v>1210</v>
      </c>
    </row>
    <row r="296" spans="1:15" ht="16.5" customHeight="1">
      <c r="A296" s="55">
        <v>3</v>
      </c>
      <c r="B296" s="812" t="s">
        <v>20</v>
      </c>
      <c r="C296" s="830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13"/>
      <c r="C297" s="831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14"/>
      <c r="C298" s="832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1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1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1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12" t="s">
        <v>20</v>
      </c>
      <c r="C302" s="830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13"/>
      <c r="C303" s="831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13"/>
      <c r="C304" s="831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13"/>
      <c r="C305" s="831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14"/>
      <c r="C306" s="832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12" t="s">
        <v>20</v>
      </c>
      <c r="C308" s="830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14"/>
      <c r="C309" s="832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1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1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1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930" t="s">
        <v>307</v>
      </c>
      <c r="C313" s="80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92" t="s">
        <v>1112</v>
      </c>
      <c r="N313" s="129" t="s">
        <v>665</v>
      </c>
    </row>
    <row r="314" spans="1:18">
      <c r="A314" s="55">
        <v>6</v>
      </c>
      <c r="B314" s="932"/>
      <c r="C314" s="80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92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94" t="s">
        <v>458</v>
      </c>
      <c r="N315" s="148" t="s">
        <v>1286</v>
      </c>
    </row>
    <row r="316" spans="1:18" ht="16.5" customHeight="1">
      <c r="A316" s="55">
        <v>7</v>
      </c>
      <c r="B316" s="812" t="s">
        <v>20</v>
      </c>
      <c r="C316" s="830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13"/>
      <c r="C317" s="831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14"/>
      <c r="C318" s="832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1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1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1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12" t="s">
        <v>20</v>
      </c>
      <c r="C322" s="830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14"/>
      <c r="C323" s="832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1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1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1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1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1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12" t="s">
        <v>20</v>
      </c>
      <c r="C329" s="830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13"/>
      <c r="C330" s="831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14"/>
      <c r="C331" s="832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1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1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12" t="s">
        <v>20</v>
      </c>
      <c r="C334" s="830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13"/>
      <c r="C335" s="831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13"/>
      <c r="C336" s="831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14"/>
      <c r="C337" s="832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1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1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1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1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12" t="s">
        <v>20</v>
      </c>
      <c r="C342" s="830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13"/>
      <c r="C343" s="832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1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1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1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1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1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13"/>
      <c r="C349" s="898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14"/>
      <c r="C350" s="900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93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92" t="s">
        <v>458</v>
      </c>
      <c r="N351" s="129" t="s">
        <v>665</v>
      </c>
      <c r="O351" s="186"/>
    </row>
    <row r="352" spans="1:15">
      <c r="A352" s="55">
        <v>12</v>
      </c>
      <c r="B352" s="93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92" t="s">
        <v>456</v>
      </c>
      <c r="N352" s="129" t="s">
        <v>665</v>
      </c>
      <c r="O352" s="186"/>
    </row>
    <row r="353" spans="1:15">
      <c r="A353" s="55">
        <v>12</v>
      </c>
      <c r="B353" s="93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92" t="s">
        <v>672</v>
      </c>
      <c r="N353" s="129" t="s">
        <v>665</v>
      </c>
      <c r="O353" s="186"/>
    </row>
    <row r="354" spans="1:15">
      <c r="A354" s="55">
        <v>12</v>
      </c>
      <c r="B354" s="93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92" t="s">
        <v>672</v>
      </c>
      <c r="N354" s="129" t="s">
        <v>665</v>
      </c>
      <c r="O354" s="186"/>
    </row>
    <row r="355" spans="1:15">
      <c r="A355" s="55">
        <v>12</v>
      </c>
      <c r="B355" s="93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92" t="s">
        <v>458</v>
      </c>
      <c r="N355" s="129" t="s">
        <v>425</v>
      </c>
      <c r="O355" s="186"/>
    </row>
    <row r="356" spans="1:15" ht="25.5">
      <c r="A356" s="55">
        <v>12</v>
      </c>
      <c r="B356" s="93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92" t="s">
        <v>456</v>
      </c>
      <c r="N356" s="151" t="s">
        <v>1424</v>
      </c>
      <c r="O356" s="186"/>
    </row>
    <row r="357" spans="1:15">
      <c r="A357" s="55">
        <v>12</v>
      </c>
      <c r="B357" s="93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92" t="s">
        <v>359</v>
      </c>
      <c r="N357" s="151" t="s">
        <v>1206</v>
      </c>
      <c r="O357" s="186"/>
    </row>
    <row r="358" spans="1:15" ht="25.5">
      <c r="A358" s="55">
        <v>12</v>
      </c>
      <c r="B358" s="93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92" t="s">
        <v>1430</v>
      </c>
      <c r="N358" s="151" t="s">
        <v>1206</v>
      </c>
      <c r="O358" s="186"/>
    </row>
    <row r="359" spans="1:15">
      <c r="A359" s="55">
        <v>12</v>
      </c>
      <c r="B359" s="93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92" t="s">
        <v>359</v>
      </c>
      <c r="N359" s="151" t="s">
        <v>1206</v>
      </c>
      <c r="O359" s="186"/>
    </row>
    <row r="360" spans="1:15" ht="40.5">
      <c r="A360" s="55">
        <v>13</v>
      </c>
      <c r="B360" s="81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1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1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1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1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1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1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1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1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1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1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1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1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1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1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930" t="s">
        <v>307</v>
      </c>
      <c r="C375" s="128" t="s">
        <v>1531</v>
      </c>
      <c r="D375" s="808" t="s">
        <v>306</v>
      </c>
      <c r="E375" s="808" t="s">
        <v>322</v>
      </c>
      <c r="F375" s="808" t="s">
        <v>307</v>
      </c>
      <c r="G375" s="810">
        <v>4266</v>
      </c>
      <c r="H375" s="808" t="s">
        <v>640</v>
      </c>
      <c r="I375" s="810" t="s">
        <v>1533</v>
      </c>
      <c r="J375" s="808" t="s">
        <v>1534</v>
      </c>
      <c r="K375" s="942" t="s">
        <v>692</v>
      </c>
      <c r="L375" s="808" t="s">
        <v>324</v>
      </c>
      <c r="M375" s="818" t="s">
        <v>1535</v>
      </c>
      <c r="N375" s="808" t="s">
        <v>425</v>
      </c>
    </row>
    <row r="376" spans="1:19">
      <c r="A376" s="199" t="s">
        <v>1539</v>
      </c>
      <c r="B376" s="931"/>
      <c r="C376" s="129" t="s">
        <v>1532</v>
      </c>
      <c r="D376" s="809"/>
      <c r="E376" s="809"/>
      <c r="F376" s="809"/>
      <c r="G376" s="811"/>
      <c r="H376" s="809"/>
      <c r="I376" s="811"/>
      <c r="J376" s="809"/>
      <c r="K376" s="943"/>
      <c r="L376" s="809"/>
      <c r="M376" s="819"/>
      <c r="N376" s="809"/>
    </row>
    <row r="377" spans="1:19">
      <c r="A377" s="199" t="s">
        <v>1539</v>
      </c>
      <c r="B377" s="931"/>
      <c r="C377" s="128" t="s">
        <v>1536</v>
      </c>
      <c r="D377" s="808" t="s">
        <v>306</v>
      </c>
      <c r="E377" s="808" t="s">
        <v>322</v>
      </c>
      <c r="F377" s="808" t="s">
        <v>307</v>
      </c>
      <c r="G377" s="810">
        <v>3306</v>
      </c>
      <c r="H377" s="808" t="s">
        <v>1153</v>
      </c>
      <c r="I377" s="810" t="s">
        <v>1538</v>
      </c>
      <c r="J377" s="808" t="s">
        <v>1534</v>
      </c>
      <c r="K377" s="942" t="s">
        <v>692</v>
      </c>
      <c r="L377" s="808" t="s">
        <v>324</v>
      </c>
      <c r="M377" s="818" t="s">
        <v>1535</v>
      </c>
      <c r="N377" s="808" t="s">
        <v>425</v>
      </c>
    </row>
    <row r="378" spans="1:19">
      <c r="A378" s="199" t="s">
        <v>1539</v>
      </c>
      <c r="B378" s="932"/>
      <c r="C378" s="129" t="s">
        <v>1537</v>
      </c>
      <c r="D378" s="809"/>
      <c r="E378" s="809"/>
      <c r="F378" s="809"/>
      <c r="G378" s="811"/>
      <c r="H378" s="809"/>
      <c r="I378" s="811"/>
      <c r="J378" s="809"/>
      <c r="K378" s="943"/>
      <c r="L378" s="809"/>
      <c r="M378" s="819"/>
      <c r="N378" s="809"/>
    </row>
    <row r="379" spans="1:19" ht="27" customHeight="1">
      <c r="A379" s="123">
        <v>15</v>
      </c>
      <c r="B379" s="81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1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1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1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1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1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1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1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1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1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1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1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1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1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1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1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1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1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1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1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1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1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1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1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02" t="s">
        <v>1782</v>
      </c>
      <c r="C403" s="226" t="s">
        <v>1748</v>
      </c>
      <c r="D403" s="867" t="s">
        <v>306</v>
      </c>
      <c r="E403" s="867" t="s">
        <v>322</v>
      </c>
      <c r="F403" s="867" t="s">
        <v>307</v>
      </c>
      <c r="G403" s="873">
        <v>3306</v>
      </c>
      <c r="H403" s="867" t="s">
        <v>1153</v>
      </c>
      <c r="I403" s="873" t="s">
        <v>1749</v>
      </c>
      <c r="J403" s="867" t="s">
        <v>664</v>
      </c>
      <c r="K403" s="944" t="s">
        <v>1288</v>
      </c>
      <c r="L403" s="867" t="s">
        <v>324</v>
      </c>
      <c r="M403" s="871" t="s">
        <v>1750</v>
      </c>
      <c r="N403" s="867" t="s">
        <v>665</v>
      </c>
    </row>
    <row r="404" spans="1:14">
      <c r="A404" s="123">
        <v>18</v>
      </c>
      <c r="B404" s="803"/>
      <c r="C404" s="226" t="s">
        <v>1751</v>
      </c>
      <c r="D404" s="868"/>
      <c r="E404" s="868"/>
      <c r="F404" s="868"/>
      <c r="G404" s="874"/>
      <c r="H404" s="868"/>
      <c r="I404" s="874"/>
      <c r="J404" s="868"/>
      <c r="K404" s="945"/>
      <c r="L404" s="868"/>
      <c r="M404" s="872"/>
      <c r="N404" s="868"/>
    </row>
    <row r="405" spans="1:14" ht="22.5">
      <c r="A405" s="123">
        <v>18</v>
      </c>
      <c r="B405" s="80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96" t="s">
        <v>1754</v>
      </c>
      <c r="N405" s="226"/>
    </row>
    <row r="406" spans="1:14" ht="16.5" customHeight="1">
      <c r="A406" s="123">
        <v>18</v>
      </c>
      <c r="B406" s="803"/>
      <c r="C406" s="226" t="s">
        <v>1755</v>
      </c>
      <c r="D406" s="867" t="s">
        <v>306</v>
      </c>
      <c r="E406" s="867" t="s">
        <v>322</v>
      </c>
      <c r="F406" s="867" t="s">
        <v>307</v>
      </c>
      <c r="G406" s="873" t="s">
        <v>1756</v>
      </c>
      <c r="H406" s="867" t="s">
        <v>347</v>
      </c>
      <c r="I406" s="873" t="s">
        <v>1154</v>
      </c>
      <c r="J406" s="867" t="s">
        <v>664</v>
      </c>
      <c r="K406" s="867" t="s">
        <v>1757</v>
      </c>
      <c r="L406" s="867" t="s">
        <v>324</v>
      </c>
      <c r="M406" s="871" t="s">
        <v>1758</v>
      </c>
      <c r="N406" s="867" t="s">
        <v>665</v>
      </c>
    </row>
    <row r="407" spans="1:14">
      <c r="A407" s="123">
        <v>18</v>
      </c>
      <c r="B407" s="803"/>
      <c r="C407" s="226" t="s">
        <v>1759</v>
      </c>
      <c r="D407" s="868"/>
      <c r="E407" s="868"/>
      <c r="F407" s="868"/>
      <c r="G407" s="874"/>
      <c r="H407" s="868"/>
      <c r="I407" s="874"/>
      <c r="J407" s="868"/>
      <c r="K407" s="868"/>
      <c r="L407" s="868"/>
      <c r="M407" s="872"/>
      <c r="N407" s="868"/>
    </row>
    <row r="408" spans="1:14" ht="16.5" customHeight="1">
      <c r="A408" s="123">
        <v>18</v>
      </c>
      <c r="B408" s="803"/>
      <c r="C408" s="228" t="s">
        <v>1760</v>
      </c>
      <c r="D408" s="867" t="s">
        <v>306</v>
      </c>
      <c r="E408" s="867" t="s">
        <v>322</v>
      </c>
      <c r="F408" s="867" t="s">
        <v>307</v>
      </c>
      <c r="G408" s="873" t="s">
        <v>1761</v>
      </c>
      <c r="H408" s="867" t="s">
        <v>329</v>
      </c>
      <c r="I408" s="873" t="s">
        <v>1762</v>
      </c>
      <c r="J408" s="867" t="s">
        <v>664</v>
      </c>
      <c r="K408" s="867" t="s">
        <v>1763</v>
      </c>
      <c r="L408" s="867" t="s">
        <v>324</v>
      </c>
      <c r="M408" s="871" t="s">
        <v>1764</v>
      </c>
      <c r="N408" s="867" t="s">
        <v>1765</v>
      </c>
    </row>
    <row r="409" spans="1:14">
      <c r="A409" s="123">
        <v>18</v>
      </c>
      <c r="B409" s="804"/>
      <c r="C409" s="226" t="s">
        <v>1766</v>
      </c>
      <c r="D409" s="868"/>
      <c r="E409" s="868"/>
      <c r="F409" s="868"/>
      <c r="G409" s="874"/>
      <c r="H409" s="868"/>
      <c r="I409" s="874"/>
      <c r="J409" s="868"/>
      <c r="K409" s="868"/>
      <c r="L409" s="868"/>
      <c r="M409" s="872"/>
      <c r="N409" s="868"/>
    </row>
    <row r="410" spans="1:14" ht="16.5" customHeight="1">
      <c r="A410" s="123">
        <v>18</v>
      </c>
      <c r="B410" s="802" t="s">
        <v>253</v>
      </c>
      <c r="C410" s="875" t="s">
        <v>1767</v>
      </c>
      <c r="D410" s="867" t="s">
        <v>311</v>
      </c>
      <c r="E410" s="867" t="s">
        <v>320</v>
      </c>
      <c r="F410" s="867" t="s">
        <v>709</v>
      </c>
      <c r="G410" s="867" t="s">
        <v>1768</v>
      </c>
      <c r="H410" s="875" t="s">
        <v>1769</v>
      </c>
      <c r="I410" s="227" t="s">
        <v>1770</v>
      </c>
      <c r="J410" s="867"/>
      <c r="K410" s="877" t="s">
        <v>1771</v>
      </c>
      <c r="L410" s="867" t="s">
        <v>309</v>
      </c>
      <c r="M410" s="871" t="s">
        <v>1764</v>
      </c>
      <c r="N410" s="867" t="s">
        <v>1772</v>
      </c>
    </row>
    <row r="411" spans="1:14">
      <c r="A411" s="123">
        <v>18</v>
      </c>
      <c r="B411" s="803"/>
      <c r="C411" s="876"/>
      <c r="D411" s="868"/>
      <c r="E411" s="868"/>
      <c r="F411" s="868"/>
      <c r="G411" s="868"/>
      <c r="H411" s="876"/>
      <c r="I411" s="227" t="s">
        <v>1773</v>
      </c>
      <c r="J411" s="868"/>
      <c r="K411" s="878"/>
      <c r="L411" s="868"/>
      <c r="M411" s="872"/>
      <c r="N411" s="868"/>
    </row>
    <row r="412" spans="1:14" ht="22.5">
      <c r="A412" s="123">
        <v>18</v>
      </c>
      <c r="B412" s="80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96" t="s">
        <v>1764</v>
      </c>
      <c r="N412" s="226" t="s">
        <v>1775</v>
      </c>
    </row>
    <row r="413" spans="1:14" ht="16.5" customHeight="1">
      <c r="A413" s="123">
        <v>18</v>
      </c>
      <c r="B413" s="803"/>
      <c r="C413" s="875" t="s">
        <v>1776</v>
      </c>
      <c r="D413" s="875" t="s">
        <v>700</v>
      </c>
      <c r="E413" s="867" t="s">
        <v>675</v>
      </c>
      <c r="F413" s="875" t="s">
        <v>1777</v>
      </c>
      <c r="G413" s="875" t="s">
        <v>1778</v>
      </c>
      <c r="H413" s="875" t="s">
        <v>662</v>
      </c>
      <c r="I413" s="227" t="s">
        <v>1779</v>
      </c>
      <c r="J413" s="867" t="s">
        <v>638</v>
      </c>
      <c r="K413" s="867" t="s">
        <v>731</v>
      </c>
      <c r="L413" s="867" t="s">
        <v>309</v>
      </c>
      <c r="M413" s="871" t="s">
        <v>1780</v>
      </c>
      <c r="N413" s="867" t="s">
        <v>1781</v>
      </c>
    </row>
    <row r="414" spans="1:14">
      <c r="A414" s="123">
        <v>18</v>
      </c>
      <c r="B414" s="804"/>
      <c r="C414" s="876"/>
      <c r="D414" s="876"/>
      <c r="E414" s="868"/>
      <c r="F414" s="876"/>
      <c r="G414" s="876"/>
      <c r="H414" s="876"/>
      <c r="I414" s="26"/>
      <c r="J414" s="868"/>
      <c r="K414" s="868"/>
      <c r="L414" s="868"/>
      <c r="M414" s="872"/>
      <c r="N414" s="868"/>
    </row>
    <row r="415" spans="1:14" ht="16.5" customHeight="1">
      <c r="A415" s="123">
        <v>19</v>
      </c>
      <c r="B415" s="802" t="s">
        <v>20</v>
      </c>
      <c r="C415" s="148" t="s">
        <v>1794</v>
      </c>
      <c r="D415" s="808" t="s">
        <v>306</v>
      </c>
      <c r="E415" s="808" t="s">
        <v>322</v>
      </c>
      <c r="F415" s="808" t="s">
        <v>307</v>
      </c>
      <c r="G415" s="810" t="s">
        <v>1796</v>
      </c>
      <c r="H415" s="808" t="s">
        <v>1797</v>
      </c>
      <c r="I415" s="810" t="s">
        <v>1792</v>
      </c>
      <c r="J415" s="808" t="s">
        <v>664</v>
      </c>
      <c r="K415" s="148" t="s">
        <v>1520</v>
      </c>
      <c r="L415" s="808" t="s">
        <v>324</v>
      </c>
      <c r="M415" s="818" t="s">
        <v>1799</v>
      </c>
      <c r="N415" s="808" t="s">
        <v>665</v>
      </c>
    </row>
    <row r="416" spans="1:14">
      <c r="A416" s="123">
        <v>19</v>
      </c>
      <c r="B416" s="803"/>
      <c r="C416" s="148" t="s">
        <v>1795</v>
      </c>
      <c r="D416" s="809"/>
      <c r="E416" s="809"/>
      <c r="F416" s="809"/>
      <c r="G416" s="811"/>
      <c r="H416" s="809"/>
      <c r="I416" s="811"/>
      <c r="J416" s="809"/>
      <c r="K416" s="148" t="s">
        <v>1798</v>
      </c>
      <c r="L416" s="809"/>
      <c r="M416" s="819"/>
      <c r="N416" s="809"/>
    </row>
    <row r="417" spans="1:14">
      <c r="A417" s="123">
        <v>19</v>
      </c>
      <c r="B417" s="803"/>
      <c r="C417" s="148" t="s">
        <v>1800</v>
      </c>
      <c r="D417" s="808" t="s">
        <v>306</v>
      </c>
      <c r="E417" s="808" t="s">
        <v>322</v>
      </c>
      <c r="F417" s="808" t="s">
        <v>307</v>
      </c>
      <c r="G417" s="810" t="s">
        <v>1801</v>
      </c>
      <c r="H417" s="808" t="s">
        <v>1802</v>
      </c>
      <c r="I417" s="810" t="s">
        <v>1803</v>
      </c>
      <c r="J417" s="808" t="s">
        <v>664</v>
      </c>
      <c r="K417" s="869" t="s">
        <v>1155</v>
      </c>
      <c r="L417" s="808" t="s">
        <v>324</v>
      </c>
      <c r="M417" s="818" t="s">
        <v>1804</v>
      </c>
      <c r="N417" s="808" t="s">
        <v>665</v>
      </c>
    </row>
    <row r="418" spans="1:14">
      <c r="A418" s="123">
        <v>19</v>
      </c>
      <c r="B418" s="804"/>
      <c r="C418" s="148" t="s">
        <v>1795</v>
      </c>
      <c r="D418" s="809"/>
      <c r="E418" s="809"/>
      <c r="F418" s="809"/>
      <c r="G418" s="811"/>
      <c r="H418" s="809"/>
      <c r="I418" s="811"/>
      <c r="J418" s="809"/>
      <c r="K418" s="870"/>
      <c r="L418" s="809"/>
      <c r="M418" s="819"/>
      <c r="N418" s="809"/>
    </row>
    <row r="419" spans="1:14" ht="16.5" customHeight="1">
      <c r="A419" s="123">
        <v>19</v>
      </c>
      <c r="B419" s="802" t="s">
        <v>21</v>
      </c>
      <c r="C419" s="859" t="s">
        <v>1805</v>
      </c>
      <c r="D419" s="859" t="s">
        <v>700</v>
      </c>
      <c r="E419" s="808" t="s">
        <v>675</v>
      </c>
      <c r="F419" s="859" t="s">
        <v>1806</v>
      </c>
      <c r="G419" s="859" t="s">
        <v>1807</v>
      </c>
      <c r="H419" s="859" t="s">
        <v>662</v>
      </c>
      <c r="I419" s="810" t="s">
        <v>1808</v>
      </c>
      <c r="J419" s="808"/>
      <c r="K419" s="861" t="s">
        <v>1809</v>
      </c>
      <c r="L419" s="808" t="s">
        <v>309</v>
      </c>
      <c r="M419" s="818" t="s">
        <v>1810</v>
      </c>
      <c r="N419" s="149" t="s">
        <v>1811</v>
      </c>
    </row>
    <row r="420" spans="1:14">
      <c r="A420" s="123">
        <v>19</v>
      </c>
      <c r="B420" s="803"/>
      <c r="C420" s="860"/>
      <c r="D420" s="860"/>
      <c r="E420" s="809"/>
      <c r="F420" s="860"/>
      <c r="G420" s="860"/>
      <c r="H420" s="860"/>
      <c r="I420" s="811"/>
      <c r="J420" s="809"/>
      <c r="K420" s="862"/>
      <c r="L420" s="809"/>
      <c r="M420" s="819"/>
      <c r="N420" s="149" t="s">
        <v>1812</v>
      </c>
    </row>
    <row r="421" spans="1:14">
      <c r="A421" s="123">
        <v>19</v>
      </c>
      <c r="B421" s="803"/>
      <c r="C421" s="863" t="s">
        <v>1813</v>
      </c>
      <c r="D421" s="859" t="s">
        <v>700</v>
      </c>
      <c r="E421" s="808" t="s">
        <v>320</v>
      </c>
      <c r="F421" s="808" t="s">
        <v>337</v>
      </c>
      <c r="G421" s="859" t="s">
        <v>353</v>
      </c>
      <c r="H421" s="859" t="s">
        <v>1814</v>
      </c>
      <c r="I421" s="810" t="s">
        <v>1815</v>
      </c>
      <c r="J421" s="808" t="s">
        <v>638</v>
      </c>
      <c r="K421" s="865" t="s">
        <v>692</v>
      </c>
      <c r="L421" s="808" t="s">
        <v>309</v>
      </c>
      <c r="M421" s="818" t="s">
        <v>1816</v>
      </c>
      <c r="N421" s="148" t="s">
        <v>1817</v>
      </c>
    </row>
    <row r="422" spans="1:14">
      <c r="A422" s="123">
        <v>19</v>
      </c>
      <c r="B422" s="803"/>
      <c r="C422" s="864"/>
      <c r="D422" s="860"/>
      <c r="E422" s="809"/>
      <c r="F422" s="809"/>
      <c r="G422" s="860"/>
      <c r="H422" s="860"/>
      <c r="I422" s="811"/>
      <c r="J422" s="809"/>
      <c r="K422" s="866"/>
      <c r="L422" s="809"/>
      <c r="M422" s="819"/>
      <c r="N422" s="148" t="s">
        <v>1818</v>
      </c>
    </row>
    <row r="423" spans="1:14">
      <c r="A423" s="123">
        <v>19</v>
      </c>
      <c r="B423" s="80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94" t="s">
        <v>1810</v>
      </c>
      <c r="N423" s="148" t="s">
        <v>1817</v>
      </c>
    </row>
    <row r="424" spans="1:14">
      <c r="A424" s="123">
        <v>19</v>
      </c>
      <c r="B424" s="803"/>
      <c r="C424" s="859" t="s">
        <v>1820</v>
      </c>
      <c r="D424" s="859" t="s">
        <v>700</v>
      </c>
      <c r="E424" s="808" t="s">
        <v>320</v>
      </c>
      <c r="F424" s="808" t="s">
        <v>709</v>
      </c>
      <c r="G424" s="808" t="s">
        <v>1768</v>
      </c>
      <c r="H424" s="859" t="s">
        <v>1821</v>
      </c>
      <c r="I424" s="149" t="s">
        <v>1822</v>
      </c>
      <c r="J424" s="808" t="s">
        <v>638</v>
      </c>
      <c r="K424" s="808" t="s">
        <v>692</v>
      </c>
      <c r="L424" s="808" t="s">
        <v>309</v>
      </c>
      <c r="M424" s="818" t="s">
        <v>1535</v>
      </c>
      <c r="N424" s="810" t="s">
        <v>1824</v>
      </c>
    </row>
    <row r="425" spans="1:14">
      <c r="A425" s="123">
        <v>19</v>
      </c>
      <c r="B425" s="803"/>
      <c r="C425" s="860"/>
      <c r="D425" s="860"/>
      <c r="E425" s="809"/>
      <c r="F425" s="809"/>
      <c r="G425" s="809"/>
      <c r="H425" s="860"/>
      <c r="I425" s="149" t="s">
        <v>1823</v>
      </c>
      <c r="J425" s="809"/>
      <c r="K425" s="809"/>
      <c r="L425" s="809"/>
      <c r="M425" s="819"/>
      <c r="N425" s="811"/>
    </row>
    <row r="426" spans="1:14">
      <c r="A426" s="123">
        <v>19</v>
      </c>
      <c r="B426" s="80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94" t="s">
        <v>1828</v>
      </c>
      <c r="N426" s="148" t="s">
        <v>1206</v>
      </c>
    </row>
    <row r="427" spans="1:14">
      <c r="A427" s="123">
        <v>20</v>
      </c>
      <c r="B427" s="80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0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0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0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0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0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0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0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0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0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0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0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0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0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0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0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9">
        <v>500000</v>
      </c>
      <c r="N442" s="232" t="s">
        <v>1192</v>
      </c>
    </row>
    <row r="443" spans="1:14" s="26" customFormat="1">
      <c r="A443" s="123">
        <v>21</v>
      </c>
      <c r="B443" s="80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0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0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0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0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0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0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0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0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02" t="s">
        <v>2078</v>
      </c>
      <c r="C452" s="243" t="s">
        <v>1906</v>
      </c>
      <c r="D452" s="839" t="s">
        <v>306</v>
      </c>
      <c r="E452" s="839" t="s">
        <v>322</v>
      </c>
      <c r="F452" s="839" t="s">
        <v>307</v>
      </c>
      <c r="G452" s="839">
        <v>3306</v>
      </c>
      <c r="H452" s="839" t="s">
        <v>1153</v>
      </c>
      <c r="I452" s="839" t="s">
        <v>1907</v>
      </c>
      <c r="J452" s="839" t="s">
        <v>1111</v>
      </c>
      <c r="K452" s="839" t="s">
        <v>692</v>
      </c>
      <c r="L452" s="839" t="s">
        <v>324</v>
      </c>
      <c r="M452" s="837" t="s">
        <v>1908</v>
      </c>
      <c r="N452" s="839" t="s">
        <v>665</v>
      </c>
    </row>
    <row r="453" spans="1:14">
      <c r="A453" s="123">
        <v>23</v>
      </c>
      <c r="B453" s="803"/>
      <c r="C453" s="243" t="s">
        <v>1909</v>
      </c>
      <c r="D453" s="840"/>
      <c r="E453" s="840"/>
      <c r="F453" s="840"/>
      <c r="G453" s="840"/>
      <c r="H453" s="840"/>
      <c r="I453" s="840"/>
      <c r="J453" s="840"/>
      <c r="K453" s="840"/>
      <c r="L453" s="840"/>
      <c r="M453" s="838"/>
      <c r="N453" s="840"/>
    </row>
    <row r="454" spans="1:14">
      <c r="A454" s="123">
        <v>23</v>
      </c>
      <c r="B454" s="803"/>
      <c r="C454" s="243" t="s">
        <v>1910</v>
      </c>
      <c r="D454" s="839" t="s">
        <v>306</v>
      </c>
      <c r="E454" s="839" t="s">
        <v>322</v>
      </c>
      <c r="F454" s="839" t="s">
        <v>307</v>
      </c>
      <c r="G454" s="841" t="s">
        <v>1418</v>
      </c>
      <c r="H454" s="839" t="s">
        <v>1911</v>
      </c>
      <c r="I454" s="841" t="s">
        <v>1154</v>
      </c>
      <c r="J454" s="839" t="s">
        <v>664</v>
      </c>
      <c r="K454" s="855" t="s">
        <v>1763</v>
      </c>
      <c r="L454" s="839" t="s">
        <v>324</v>
      </c>
      <c r="M454" s="837" t="s">
        <v>1535</v>
      </c>
      <c r="N454" s="839" t="s">
        <v>665</v>
      </c>
    </row>
    <row r="455" spans="1:14">
      <c r="A455" s="123">
        <v>23</v>
      </c>
      <c r="B455" s="803"/>
      <c r="C455" s="243" t="s">
        <v>1909</v>
      </c>
      <c r="D455" s="840"/>
      <c r="E455" s="840"/>
      <c r="F455" s="840"/>
      <c r="G455" s="842"/>
      <c r="H455" s="840"/>
      <c r="I455" s="842"/>
      <c r="J455" s="840"/>
      <c r="K455" s="856"/>
      <c r="L455" s="840"/>
      <c r="M455" s="838"/>
      <c r="N455" s="840"/>
    </row>
    <row r="456" spans="1:14">
      <c r="A456" s="123">
        <v>23</v>
      </c>
      <c r="B456" s="80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97" t="s">
        <v>1908</v>
      </c>
      <c r="N456" s="241" t="s">
        <v>425</v>
      </c>
    </row>
    <row r="457" spans="1:14">
      <c r="A457" s="123">
        <v>23</v>
      </c>
      <c r="B457" s="803"/>
      <c r="C457" s="243" t="s">
        <v>1917</v>
      </c>
      <c r="D457" s="839" t="s">
        <v>306</v>
      </c>
      <c r="E457" s="839" t="s">
        <v>322</v>
      </c>
      <c r="F457" s="839" t="s">
        <v>307</v>
      </c>
      <c r="G457" s="841">
        <v>4267</v>
      </c>
      <c r="H457" s="839" t="s">
        <v>640</v>
      </c>
      <c r="I457" s="841" t="s">
        <v>1154</v>
      </c>
      <c r="J457" s="839" t="s">
        <v>664</v>
      </c>
      <c r="K457" s="855" t="s">
        <v>1763</v>
      </c>
      <c r="L457" s="839" t="s">
        <v>324</v>
      </c>
      <c r="M457" s="837" t="s">
        <v>1535</v>
      </c>
      <c r="N457" s="839" t="s">
        <v>665</v>
      </c>
    </row>
    <row r="458" spans="1:14">
      <c r="A458" s="123">
        <v>23</v>
      </c>
      <c r="B458" s="803"/>
      <c r="C458" s="243" t="s">
        <v>1918</v>
      </c>
      <c r="D458" s="840"/>
      <c r="E458" s="840"/>
      <c r="F458" s="840"/>
      <c r="G458" s="842"/>
      <c r="H458" s="840"/>
      <c r="I458" s="842"/>
      <c r="J458" s="840"/>
      <c r="K458" s="856"/>
      <c r="L458" s="840"/>
      <c r="M458" s="838"/>
      <c r="N458" s="840"/>
    </row>
    <row r="459" spans="1:14">
      <c r="A459" s="123">
        <v>23</v>
      </c>
      <c r="B459" s="803"/>
      <c r="C459" s="243" t="s">
        <v>1917</v>
      </c>
      <c r="D459" s="839" t="s">
        <v>306</v>
      </c>
      <c r="E459" s="839" t="s">
        <v>322</v>
      </c>
      <c r="F459" s="839" t="s">
        <v>307</v>
      </c>
      <c r="G459" s="841" t="s">
        <v>1919</v>
      </c>
      <c r="H459" s="839" t="s">
        <v>662</v>
      </c>
      <c r="I459" s="841" t="s">
        <v>1920</v>
      </c>
      <c r="J459" s="839" t="s">
        <v>349</v>
      </c>
      <c r="K459" s="857" t="s">
        <v>1916</v>
      </c>
      <c r="L459" s="839" t="s">
        <v>324</v>
      </c>
      <c r="M459" s="837" t="s">
        <v>1535</v>
      </c>
      <c r="N459" s="839" t="s">
        <v>425</v>
      </c>
    </row>
    <row r="460" spans="1:14">
      <c r="A460" s="123">
        <v>23</v>
      </c>
      <c r="B460" s="804"/>
      <c r="C460" s="244" t="s">
        <v>1918</v>
      </c>
      <c r="D460" s="840"/>
      <c r="E460" s="840"/>
      <c r="F460" s="840"/>
      <c r="G460" s="842"/>
      <c r="H460" s="840"/>
      <c r="I460" s="842"/>
      <c r="J460" s="840"/>
      <c r="K460" s="858"/>
      <c r="L460" s="840"/>
      <c r="M460" s="838"/>
      <c r="N460" s="840"/>
    </row>
    <row r="461" spans="1:14">
      <c r="A461" s="123">
        <v>23</v>
      </c>
      <c r="B461" s="80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97" t="s">
        <v>1828</v>
      </c>
      <c r="N461" s="242" t="s">
        <v>1925</v>
      </c>
    </row>
    <row r="462" spans="1:14">
      <c r="A462" s="123">
        <v>23</v>
      </c>
      <c r="B462" s="803"/>
      <c r="C462" s="839" t="s">
        <v>1921</v>
      </c>
      <c r="D462" s="839" t="s">
        <v>311</v>
      </c>
      <c r="E462" s="839" t="s">
        <v>675</v>
      </c>
      <c r="F462" s="839" t="s">
        <v>1926</v>
      </c>
      <c r="G462" s="839" t="s">
        <v>1927</v>
      </c>
      <c r="H462" s="946" t="s">
        <v>347</v>
      </c>
      <c r="I462" s="242" t="s">
        <v>1928</v>
      </c>
      <c r="J462" s="839"/>
      <c r="K462" s="841" t="s">
        <v>1924</v>
      </c>
      <c r="L462" s="839" t="s">
        <v>309</v>
      </c>
      <c r="M462" s="837" t="s">
        <v>1828</v>
      </c>
      <c r="N462" s="841" t="s">
        <v>1925</v>
      </c>
    </row>
    <row r="463" spans="1:14">
      <c r="A463" s="123">
        <v>23</v>
      </c>
      <c r="B463" s="803"/>
      <c r="C463" s="840"/>
      <c r="D463" s="840"/>
      <c r="E463" s="840"/>
      <c r="F463" s="840"/>
      <c r="G463" s="840"/>
      <c r="H463" s="947"/>
      <c r="I463" s="242" t="s">
        <v>1929</v>
      </c>
      <c r="J463" s="840"/>
      <c r="K463" s="842"/>
      <c r="L463" s="840"/>
      <c r="M463" s="838"/>
      <c r="N463" s="842"/>
    </row>
    <row r="464" spans="1:14" ht="24">
      <c r="A464" s="123">
        <v>23</v>
      </c>
      <c r="B464" s="80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97" t="s">
        <v>1933</v>
      </c>
      <c r="N464" s="242" t="s">
        <v>1934</v>
      </c>
    </row>
    <row r="465" spans="1:14">
      <c r="A465" s="123">
        <v>23</v>
      </c>
      <c r="B465" s="80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97" t="s">
        <v>1810</v>
      </c>
      <c r="N465" s="242" t="s">
        <v>1772</v>
      </c>
    </row>
    <row r="466" spans="1:14" ht="27">
      <c r="A466" s="123">
        <v>24</v>
      </c>
      <c r="B466" s="80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0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0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0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0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0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0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0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0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0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0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0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0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0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0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0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98">
        <v>300000</v>
      </c>
      <c r="N481" s="265" t="s">
        <v>1876</v>
      </c>
    </row>
    <row r="482" spans="1:14" ht="27">
      <c r="A482" s="123">
        <v>26</v>
      </c>
      <c r="B482" s="80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0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0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0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0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0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0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0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0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0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0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0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0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0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0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0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0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0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0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0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0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0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0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0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0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0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0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0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0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0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0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0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0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0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0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0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0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0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0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0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0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0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0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0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0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0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0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0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0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0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0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0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0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0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0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0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0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0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0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0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0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0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0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0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0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0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0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0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0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0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0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0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0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0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0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0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0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0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0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0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0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0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0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0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0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0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0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0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30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32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30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31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31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32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0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0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30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31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31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32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0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0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0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0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0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0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0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0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0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0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0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0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0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0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0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0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0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0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0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0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0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0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30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31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32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0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0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0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0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0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0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0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0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0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0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852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3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3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4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0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0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0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0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0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0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0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6" t="s">
        <v>15</v>
      </c>
      <c r="M635" s="335">
        <v>1000000</v>
      </c>
      <c r="N635" s="8" t="s">
        <v>2143</v>
      </c>
    </row>
    <row r="636" spans="1:14">
      <c r="A636" s="123">
        <v>49</v>
      </c>
      <c r="B636" s="80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0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0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0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0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6" t="s">
        <v>2630</v>
      </c>
      <c r="L640" s="347" t="s">
        <v>15</v>
      </c>
      <c r="M640" s="348">
        <v>1500000</v>
      </c>
      <c r="N640" s="8" t="s">
        <v>2631</v>
      </c>
    </row>
    <row r="641" spans="1:14" ht="27">
      <c r="A641" s="123">
        <v>50</v>
      </c>
      <c r="B641" s="80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1" t="s">
        <v>999</v>
      </c>
      <c r="L641" s="330" t="s">
        <v>15</v>
      </c>
      <c r="M641" s="340">
        <v>250000</v>
      </c>
      <c r="N641" s="8" t="s">
        <v>1979</v>
      </c>
    </row>
    <row r="642" spans="1:14" ht="27">
      <c r="A642" s="123">
        <v>50</v>
      </c>
      <c r="B642" s="80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1" t="s">
        <v>641</v>
      </c>
      <c r="L642" s="352" t="s">
        <v>15</v>
      </c>
      <c r="M642" s="353">
        <v>500000</v>
      </c>
      <c r="N642" s="8" t="s">
        <v>2629</v>
      </c>
    </row>
    <row r="643" spans="1:14" ht="27">
      <c r="A643" s="123">
        <v>51</v>
      </c>
      <c r="B643" s="80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0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0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2" t="s">
        <v>999</v>
      </c>
      <c r="L645" s="343" t="s">
        <v>15</v>
      </c>
      <c r="M645" s="344">
        <v>300000</v>
      </c>
      <c r="N645" s="8" t="s">
        <v>2642</v>
      </c>
    </row>
    <row r="646" spans="1:14">
      <c r="A646" s="123">
        <v>51</v>
      </c>
      <c r="B646" s="80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2" t="s">
        <v>999</v>
      </c>
      <c r="L646" s="343" t="s">
        <v>15</v>
      </c>
      <c r="M646" s="344">
        <v>300000</v>
      </c>
      <c r="N646" s="8" t="s">
        <v>2648</v>
      </c>
    </row>
    <row r="647" spans="1:14" ht="27">
      <c r="A647" s="123">
        <v>51</v>
      </c>
      <c r="B647" s="80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30" t="s">
        <v>686</v>
      </c>
      <c r="L647" s="341" t="s">
        <v>15</v>
      </c>
      <c r="M647" s="340">
        <v>250000</v>
      </c>
      <c r="N647" s="8" t="s">
        <v>2642</v>
      </c>
    </row>
    <row r="648" spans="1:14" ht="27">
      <c r="A648" s="123">
        <v>51</v>
      </c>
      <c r="B648" s="803"/>
      <c r="C648" s="345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30" t="s">
        <v>686</v>
      </c>
      <c r="L648" s="341" t="s">
        <v>15</v>
      </c>
      <c r="M648" s="340">
        <v>250000</v>
      </c>
      <c r="N648" s="8" t="s">
        <v>2644</v>
      </c>
    </row>
    <row r="649" spans="1:14">
      <c r="A649" s="123">
        <v>51</v>
      </c>
      <c r="B649" s="80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4" t="s">
        <v>15</v>
      </c>
      <c r="M649" s="335">
        <v>600000</v>
      </c>
      <c r="N649" s="8" t="s">
        <v>2649</v>
      </c>
    </row>
    <row r="650" spans="1:14" ht="27">
      <c r="A650" s="123">
        <v>52</v>
      </c>
      <c r="B650" s="80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0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0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7" t="s">
        <v>1745</v>
      </c>
      <c r="L652" s="338"/>
      <c r="M652" s="339">
        <v>1000000</v>
      </c>
      <c r="N652" s="202" t="s">
        <v>247</v>
      </c>
    </row>
    <row r="653" spans="1:14" ht="27">
      <c r="A653" s="123">
        <v>52</v>
      </c>
      <c r="B653" s="322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1" t="s">
        <v>686</v>
      </c>
      <c r="L653" s="330" t="s">
        <v>15</v>
      </c>
      <c r="M653" s="340">
        <v>250000</v>
      </c>
      <c r="N653" s="125" t="s">
        <v>1878</v>
      </c>
    </row>
    <row r="654" spans="1:14">
      <c r="A654" s="123">
        <v>1</v>
      </c>
      <c r="B654" s="80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9" t="s">
        <v>487</v>
      </c>
      <c r="L654" s="350"/>
      <c r="M654" s="348">
        <v>500000</v>
      </c>
      <c r="N654" s="202" t="s">
        <v>2662</v>
      </c>
    </row>
    <row r="655" spans="1:14" ht="27">
      <c r="A655" s="123">
        <v>1</v>
      </c>
      <c r="B655" s="80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0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1" t="s">
        <v>641</v>
      </c>
      <c r="L656" s="341" t="s">
        <v>15</v>
      </c>
      <c r="M656" s="340">
        <v>500000</v>
      </c>
      <c r="N656" s="125" t="s">
        <v>128</v>
      </c>
    </row>
    <row r="657" spans="1:14">
      <c r="A657" s="123">
        <v>1</v>
      </c>
      <c r="B657" s="80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1" t="s">
        <v>641</v>
      </c>
      <c r="L657" s="330" t="s">
        <v>15</v>
      </c>
      <c r="M657" s="340">
        <v>500000</v>
      </c>
      <c r="N657" s="125" t="s">
        <v>1878</v>
      </c>
    </row>
    <row r="658" spans="1:14">
      <c r="A658" s="123">
        <v>2</v>
      </c>
      <c r="B658" s="80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0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0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0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7" t="s">
        <v>1745</v>
      </c>
      <c r="L661" s="338"/>
      <c r="M661" s="339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1" t="s">
        <v>2148</v>
      </c>
      <c r="L662" s="341" t="s">
        <v>15</v>
      </c>
      <c r="M662" s="340">
        <v>500000</v>
      </c>
      <c r="N662" s="125" t="s">
        <v>2676</v>
      </c>
    </row>
    <row r="663" spans="1:14" ht="27">
      <c r="A663" s="123">
        <v>3</v>
      </c>
      <c r="B663" s="80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0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0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3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0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3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2" t="s">
        <v>107</v>
      </c>
      <c r="G667" s="7" t="s">
        <v>1968</v>
      </c>
      <c r="H667" s="4" t="s">
        <v>142</v>
      </c>
      <c r="I667" s="193" t="s">
        <v>2677</v>
      </c>
      <c r="J667" s="31"/>
      <c r="K667" s="331" t="s">
        <v>2148</v>
      </c>
      <c r="L667" s="341" t="s">
        <v>15</v>
      </c>
      <c r="M667" s="340">
        <v>500000</v>
      </c>
      <c r="N667" s="125" t="s">
        <v>2685</v>
      </c>
    </row>
    <row r="668" spans="1:14" ht="27">
      <c r="A668" s="123">
        <v>4</v>
      </c>
      <c r="B668" s="80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0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0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7" t="s">
        <v>1571</v>
      </c>
      <c r="L670" s="338"/>
      <c r="M670" s="339">
        <v>1500000</v>
      </c>
      <c r="N670" s="125" t="s">
        <v>657</v>
      </c>
    </row>
    <row r="671" spans="1:14" ht="27">
      <c r="A671" s="123">
        <v>4</v>
      </c>
      <c r="B671" s="80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7" t="s">
        <v>1745</v>
      </c>
      <c r="L671" s="338"/>
      <c r="M671" s="339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2" t="s">
        <v>1893</v>
      </c>
      <c r="G672" s="7" t="s">
        <v>1349</v>
      </c>
      <c r="H672" s="10" t="s">
        <v>83</v>
      </c>
      <c r="I672" s="155" t="s">
        <v>1314</v>
      </c>
      <c r="J672" s="332"/>
      <c r="K672" s="332" t="s">
        <v>641</v>
      </c>
      <c r="L672" s="329" t="s">
        <v>15</v>
      </c>
      <c r="M672" s="479">
        <v>500000</v>
      </c>
      <c r="N672" s="329" t="s">
        <v>128</v>
      </c>
    </row>
    <row r="673" spans="1:14" ht="27.75" thickTop="1">
      <c r="A673" s="356">
        <v>6</v>
      </c>
      <c r="B673" s="851" t="s">
        <v>2716</v>
      </c>
      <c r="C673" s="357" t="s">
        <v>2697</v>
      </c>
      <c r="D673" s="358" t="s">
        <v>306</v>
      </c>
      <c r="E673" s="358" t="s">
        <v>322</v>
      </c>
      <c r="F673" s="358" t="s">
        <v>307</v>
      </c>
      <c r="G673" s="359" t="s">
        <v>2686</v>
      </c>
      <c r="H673" s="358" t="s">
        <v>18</v>
      </c>
      <c r="I673" s="359" t="s">
        <v>2679</v>
      </c>
      <c r="J673" s="358" t="s">
        <v>168</v>
      </c>
      <c r="K673" s="360" t="s">
        <v>1959</v>
      </c>
      <c r="L673" s="358"/>
      <c r="M673" s="361">
        <v>500000</v>
      </c>
      <c r="N673" s="362" t="s">
        <v>121</v>
      </c>
    </row>
    <row r="674" spans="1:14" ht="27">
      <c r="A674" s="123">
        <v>6</v>
      </c>
      <c r="B674" s="80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0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0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4" t="s">
        <v>999</v>
      </c>
      <c r="L676" s="125" t="s">
        <v>15</v>
      </c>
      <c r="M676" s="96">
        <v>300000</v>
      </c>
      <c r="N676" s="329" t="s">
        <v>1651</v>
      </c>
    </row>
    <row r="677" spans="1:14">
      <c r="A677" s="123">
        <v>6</v>
      </c>
      <c r="B677" s="80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3" t="s">
        <v>641</v>
      </c>
      <c r="L677" s="125" t="s">
        <v>15</v>
      </c>
      <c r="M677" s="96">
        <v>500000</v>
      </c>
      <c r="N677" s="329" t="s">
        <v>1651</v>
      </c>
    </row>
    <row r="678" spans="1:14" ht="27">
      <c r="A678" s="123">
        <v>7</v>
      </c>
      <c r="B678" s="80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0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0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0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0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0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9" t="s">
        <v>2702</v>
      </c>
    </row>
    <row r="684" spans="1:14">
      <c r="A684" s="123">
        <v>7</v>
      </c>
      <c r="B684" s="80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9" t="s">
        <v>128</v>
      </c>
    </row>
    <row r="685" spans="1:14">
      <c r="A685" s="123">
        <v>8</v>
      </c>
      <c r="B685" s="80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4" t="s">
        <v>2721</v>
      </c>
      <c r="L685" s="129"/>
      <c r="M685" s="492" t="s">
        <v>672</v>
      </c>
      <c r="N685" s="129" t="s">
        <v>2722</v>
      </c>
    </row>
    <row r="686" spans="1:14">
      <c r="A686" s="123">
        <v>8</v>
      </c>
      <c r="B686" s="80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4" t="s">
        <v>2721</v>
      </c>
      <c r="L686" s="129"/>
      <c r="M686" s="492" t="s">
        <v>672</v>
      </c>
      <c r="N686" s="129" t="s">
        <v>665</v>
      </c>
    </row>
    <row r="687" spans="1:14">
      <c r="A687" s="123">
        <v>8</v>
      </c>
      <c r="B687" s="803"/>
      <c r="C687" s="148" t="s">
        <v>2726</v>
      </c>
      <c r="D687" s="808" t="s">
        <v>306</v>
      </c>
      <c r="E687" s="808" t="s">
        <v>322</v>
      </c>
      <c r="F687" s="808" t="s">
        <v>307</v>
      </c>
      <c r="G687" s="810" t="s">
        <v>2719</v>
      </c>
      <c r="H687" s="808" t="s">
        <v>1047</v>
      </c>
      <c r="I687" s="810" t="s">
        <v>704</v>
      </c>
      <c r="J687" s="808" t="s">
        <v>664</v>
      </c>
      <c r="K687" s="847" t="s">
        <v>1763</v>
      </c>
      <c r="L687" s="808"/>
      <c r="M687" s="818" t="s">
        <v>458</v>
      </c>
      <c r="N687" s="808" t="s">
        <v>665</v>
      </c>
    </row>
    <row r="688" spans="1:14">
      <c r="A688" s="123">
        <v>8</v>
      </c>
      <c r="B688" s="803"/>
      <c r="C688" s="148" t="s">
        <v>2727</v>
      </c>
      <c r="D688" s="809"/>
      <c r="E688" s="809"/>
      <c r="F688" s="809"/>
      <c r="G688" s="811"/>
      <c r="H688" s="809"/>
      <c r="I688" s="811"/>
      <c r="J688" s="809"/>
      <c r="K688" s="848"/>
      <c r="L688" s="809"/>
      <c r="M688" s="819"/>
      <c r="N688" s="809"/>
    </row>
    <row r="689" spans="1:14">
      <c r="A689" s="123">
        <v>8</v>
      </c>
      <c r="B689" s="80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4" t="s">
        <v>2721</v>
      </c>
      <c r="L689" s="129"/>
      <c r="M689" s="492" t="s">
        <v>672</v>
      </c>
      <c r="N689" s="129" t="s">
        <v>665</v>
      </c>
    </row>
    <row r="690" spans="1:14" ht="16.5" customHeight="1">
      <c r="A690" s="123">
        <v>8</v>
      </c>
      <c r="B690" s="803"/>
      <c r="C690" s="148" t="s">
        <v>2730</v>
      </c>
      <c r="D690" s="808" t="s">
        <v>306</v>
      </c>
      <c r="E690" s="808" t="s">
        <v>322</v>
      </c>
      <c r="F690" s="808" t="s">
        <v>307</v>
      </c>
      <c r="G690" s="810" t="s">
        <v>2731</v>
      </c>
      <c r="H690" s="808" t="s">
        <v>640</v>
      </c>
      <c r="I690" s="810" t="s">
        <v>668</v>
      </c>
      <c r="J690" s="808" t="s">
        <v>349</v>
      </c>
      <c r="K690" s="849" t="s">
        <v>2732</v>
      </c>
      <c r="L690" s="808"/>
      <c r="M690" s="818" t="s">
        <v>2769</v>
      </c>
      <c r="N690" s="808" t="s">
        <v>425</v>
      </c>
    </row>
    <row r="691" spans="1:14">
      <c r="A691" s="123">
        <v>8</v>
      </c>
      <c r="B691" s="804"/>
      <c r="C691" s="148" t="s">
        <v>2723</v>
      </c>
      <c r="D691" s="809"/>
      <c r="E691" s="809"/>
      <c r="F691" s="809"/>
      <c r="G691" s="811"/>
      <c r="H691" s="809"/>
      <c r="I691" s="811"/>
      <c r="J691" s="809"/>
      <c r="K691" s="850"/>
      <c r="L691" s="809"/>
      <c r="M691" s="819"/>
      <c r="N691" s="809"/>
    </row>
    <row r="692" spans="1:14">
      <c r="A692" s="123">
        <v>8</v>
      </c>
      <c r="B692" s="80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5" t="s">
        <v>1809</v>
      </c>
      <c r="L692" s="129" t="s">
        <v>309</v>
      </c>
      <c r="M692" s="492" t="s">
        <v>672</v>
      </c>
      <c r="N692" s="151" t="s">
        <v>2737</v>
      </c>
    </row>
    <row r="693" spans="1:14" ht="16.5" customHeight="1">
      <c r="A693" s="123">
        <v>8</v>
      </c>
      <c r="B693" s="803"/>
      <c r="C693" s="808" t="s">
        <v>2768</v>
      </c>
      <c r="D693" s="808" t="s">
        <v>311</v>
      </c>
      <c r="E693" s="808" t="s">
        <v>675</v>
      </c>
      <c r="F693" s="149" t="s">
        <v>1806</v>
      </c>
      <c r="G693" s="810" t="s">
        <v>689</v>
      </c>
      <c r="H693" s="810" t="s">
        <v>662</v>
      </c>
      <c r="I693" s="810" t="s">
        <v>2739</v>
      </c>
      <c r="J693" s="810"/>
      <c r="K693" s="810" t="s">
        <v>698</v>
      </c>
      <c r="L693" s="808" t="s">
        <v>309</v>
      </c>
      <c r="M693" s="818" t="s">
        <v>672</v>
      </c>
      <c r="N693" s="808" t="s">
        <v>2740</v>
      </c>
    </row>
    <row r="694" spans="1:14">
      <c r="A694" s="123">
        <v>8</v>
      </c>
      <c r="B694" s="804"/>
      <c r="C694" s="809"/>
      <c r="D694" s="809"/>
      <c r="E694" s="809"/>
      <c r="F694" s="149" t="s">
        <v>2738</v>
      </c>
      <c r="G694" s="811"/>
      <c r="H694" s="811"/>
      <c r="I694" s="811"/>
      <c r="J694" s="811"/>
      <c r="K694" s="811"/>
      <c r="L694" s="809"/>
      <c r="M694" s="819"/>
      <c r="N694" s="825"/>
    </row>
    <row r="695" spans="1:14">
      <c r="A695" s="123">
        <v>9</v>
      </c>
      <c r="B695" s="80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5" t="s">
        <v>2721</v>
      </c>
      <c r="L695" s="241"/>
      <c r="M695" s="497">
        <v>250000</v>
      </c>
      <c r="N695" s="241" t="s">
        <v>665</v>
      </c>
    </row>
    <row r="696" spans="1:14">
      <c r="A696" s="123">
        <v>9</v>
      </c>
      <c r="B696" s="80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5" t="s">
        <v>2721</v>
      </c>
      <c r="L696" s="241"/>
      <c r="M696" s="497">
        <v>250000</v>
      </c>
      <c r="N696" s="241" t="s">
        <v>665</v>
      </c>
    </row>
    <row r="697" spans="1:14">
      <c r="A697" s="123">
        <v>9</v>
      </c>
      <c r="B697" s="803"/>
      <c r="C697" s="243" t="s">
        <v>2745</v>
      </c>
      <c r="D697" s="839" t="s">
        <v>306</v>
      </c>
      <c r="E697" s="839" t="s">
        <v>322</v>
      </c>
      <c r="F697" s="839" t="s">
        <v>307</v>
      </c>
      <c r="G697" s="841" t="s">
        <v>2746</v>
      </c>
      <c r="H697" s="839" t="s">
        <v>405</v>
      </c>
      <c r="I697" s="841" t="s">
        <v>2747</v>
      </c>
      <c r="J697" s="839" t="s">
        <v>664</v>
      </c>
      <c r="K697" s="845" t="s">
        <v>1757</v>
      </c>
      <c r="L697" s="839"/>
      <c r="M697" s="837">
        <v>750000</v>
      </c>
      <c r="N697" s="839" t="s">
        <v>665</v>
      </c>
    </row>
    <row r="698" spans="1:14">
      <c r="A698" s="123">
        <v>9</v>
      </c>
      <c r="B698" s="803"/>
      <c r="C698" s="243" t="s">
        <v>2748</v>
      </c>
      <c r="D698" s="840"/>
      <c r="E698" s="840"/>
      <c r="F698" s="840"/>
      <c r="G698" s="842"/>
      <c r="H698" s="840"/>
      <c r="I698" s="842"/>
      <c r="J698" s="840"/>
      <c r="K698" s="846"/>
      <c r="L698" s="840"/>
      <c r="M698" s="838"/>
      <c r="N698" s="840"/>
    </row>
    <row r="699" spans="1:14">
      <c r="A699" s="123">
        <v>9</v>
      </c>
      <c r="B699" s="803"/>
      <c r="C699" s="243" t="s">
        <v>2745</v>
      </c>
      <c r="D699" s="839" t="s">
        <v>306</v>
      </c>
      <c r="E699" s="839" t="s">
        <v>322</v>
      </c>
      <c r="F699" s="839" t="s">
        <v>307</v>
      </c>
      <c r="G699" s="841" t="s">
        <v>2749</v>
      </c>
      <c r="H699" s="839" t="s">
        <v>662</v>
      </c>
      <c r="I699" s="841" t="s">
        <v>668</v>
      </c>
      <c r="J699" s="839" t="s">
        <v>349</v>
      </c>
      <c r="K699" s="843" t="s">
        <v>2732</v>
      </c>
      <c r="L699" s="839"/>
      <c r="M699" s="837">
        <v>1000000</v>
      </c>
      <c r="N699" s="839" t="s">
        <v>425</v>
      </c>
    </row>
    <row r="700" spans="1:14">
      <c r="A700" s="123">
        <v>9</v>
      </c>
      <c r="B700" s="803"/>
      <c r="C700" s="243" t="s">
        <v>2750</v>
      </c>
      <c r="D700" s="840"/>
      <c r="E700" s="840"/>
      <c r="F700" s="840"/>
      <c r="G700" s="842"/>
      <c r="H700" s="840"/>
      <c r="I700" s="842"/>
      <c r="J700" s="840"/>
      <c r="K700" s="844"/>
      <c r="L700" s="840"/>
      <c r="M700" s="838"/>
      <c r="N700" s="840"/>
    </row>
    <row r="701" spans="1:14">
      <c r="A701" s="123">
        <v>9</v>
      </c>
      <c r="B701" s="80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97">
        <v>500000</v>
      </c>
      <c r="N701" s="241" t="s">
        <v>665</v>
      </c>
    </row>
    <row r="702" spans="1:14">
      <c r="A702" s="123">
        <v>10</v>
      </c>
      <c r="B702" s="80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0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0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9" t="s">
        <v>2756</v>
      </c>
    </row>
    <row r="706" spans="1:14" ht="27">
      <c r="A706" s="123">
        <v>11</v>
      </c>
      <c r="B706" s="80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0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0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9" t="s">
        <v>2766</v>
      </c>
    </row>
    <row r="710" spans="1:14" ht="27">
      <c r="A710" s="123">
        <v>12</v>
      </c>
      <c r="B710" s="80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0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0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0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0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0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0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0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0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0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0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0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0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0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0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0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0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1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0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0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03"/>
      <c r="C729" s="368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9">
        <v>2000000</v>
      </c>
      <c r="N729" s="202" t="s">
        <v>121</v>
      </c>
    </row>
    <row r="730" spans="1:14" ht="27">
      <c r="A730" s="123">
        <v>15</v>
      </c>
      <c r="B730" s="80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0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0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0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1" t="s">
        <v>2868</v>
      </c>
      <c r="L733" s="125" t="s">
        <v>15</v>
      </c>
      <c r="M733" s="96">
        <v>750000</v>
      </c>
      <c r="N733" s="835" t="s">
        <v>2821</v>
      </c>
    </row>
    <row r="734" spans="1:14" ht="27">
      <c r="A734" s="123">
        <v>15</v>
      </c>
      <c r="B734" s="80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1" t="s">
        <v>2814</v>
      </c>
      <c r="L734" s="125" t="s">
        <v>15</v>
      </c>
      <c r="M734" s="96">
        <v>750000</v>
      </c>
      <c r="N734" s="836"/>
    </row>
    <row r="735" spans="1:14">
      <c r="A735" s="123">
        <v>15</v>
      </c>
      <c r="B735" s="80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6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0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0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0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0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0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0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6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0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0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0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7" t="s">
        <v>128</v>
      </c>
    </row>
    <row r="745" spans="1:14" ht="27">
      <c r="A745" s="231">
        <v>16</v>
      </c>
      <c r="B745" s="804"/>
      <c r="C745" s="198">
        <v>45763</v>
      </c>
      <c r="D745" s="10" t="s">
        <v>21</v>
      </c>
      <c r="E745" s="10" t="s">
        <v>14</v>
      </c>
      <c r="F745" s="332" t="s">
        <v>107</v>
      </c>
      <c r="G745" s="332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9" t="s">
        <v>15</v>
      </c>
      <c r="M745" s="479">
        <v>300000</v>
      </c>
      <c r="N745" s="367" t="s">
        <v>128</v>
      </c>
    </row>
    <row r="746" spans="1:14" ht="27">
      <c r="A746" s="123">
        <v>17</v>
      </c>
      <c r="B746" s="80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0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0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0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0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02" t="s">
        <v>21</v>
      </c>
      <c r="C751" s="370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1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0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1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0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0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0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0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0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3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0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6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0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7" t="s">
        <v>487</v>
      </c>
      <c r="L760" s="125"/>
      <c r="M760" s="96">
        <v>500000</v>
      </c>
      <c r="N760" s="329" t="s">
        <v>1207</v>
      </c>
    </row>
    <row r="761" spans="1:17" ht="27">
      <c r="A761" s="123">
        <v>19</v>
      </c>
      <c r="B761" s="80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3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0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1"/>
      <c r="M762" s="96">
        <v>250000</v>
      </c>
      <c r="N762" s="202" t="s">
        <v>2836</v>
      </c>
    </row>
    <row r="763" spans="1:17" ht="27">
      <c r="A763" s="123">
        <v>19</v>
      </c>
      <c r="B763" s="80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1"/>
      <c r="M763" s="96">
        <v>500000</v>
      </c>
      <c r="N763" s="202" t="s">
        <v>2836</v>
      </c>
    </row>
    <row r="764" spans="1:17" ht="27">
      <c r="A764" s="123">
        <v>20</v>
      </c>
      <c r="B764" s="80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3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0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3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0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1"/>
      <c r="M766" s="340">
        <v>500000</v>
      </c>
      <c r="N766" s="202" t="s">
        <v>2836</v>
      </c>
      <c r="P766">
        <v>1</v>
      </c>
      <c r="Q766" s="382"/>
    </row>
    <row r="767" spans="1:17" ht="27">
      <c r="A767" s="123">
        <v>20</v>
      </c>
      <c r="B767" s="80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1"/>
      <c r="M767" s="340">
        <v>750000</v>
      </c>
      <c r="N767" s="202" t="s">
        <v>2836</v>
      </c>
      <c r="P767">
        <v>2</v>
      </c>
    </row>
    <row r="768" spans="1:17">
      <c r="A768" s="123">
        <v>20</v>
      </c>
      <c r="B768" s="80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7" t="s">
        <v>41</v>
      </c>
      <c r="L768" s="125" t="s">
        <v>15</v>
      </c>
      <c r="M768" s="96">
        <v>250000</v>
      </c>
      <c r="N768" s="329" t="s">
        <v>128</v>
      </c>
    </row>
    <row r="769" spans="1:17">
      <c r="A769" s="123">
        <v>20</v>
      </c>
      <c r="B769" s="80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80" t="s">
        <v>686</v>
      </c>
      <c r="L769" s="125" t="s">
        <v>15</v>
      </c>
      <c r="M769" s="96">
        <v>250000</v>
      </c>
      <c r="N769" s="329" t="s">
        <v>128</v>
      </c>
    </row>
    <row r="770" spans="1:17" ht="27">
      <c r="A770" s="231">
        <v>20</v>
      </c>
      <c r="B770" s="804"/>
      <c r="C770" s="198" t="s">
        <v>2881</v>
      </c>
      <c r="D770" s="10" t="s">
        <v>21</v>
      </c>
      <c r="E770" s="10" t="s">
        <v>14</v>
      </c>
      <c r="F770" s="332" t="s">
        <v>2839</v>
      </c>
      <c r="G770" s="332" t="s">
        <v>1949</v>
      </c>
      <c r="H770" s="7" t="s">
        <v>2840</v>
      </c>
      <c r="I770" s="155" t="s">
        <v>2888</v>
      </c>
      <c r="J770" s="332"/>
      <c r="K770" s="378" t="s">
        <v>440</v>
      </c>
      <c r="L770" s="329"/>
      <c r="M770" s="479">
        <v>1000000</v>
      </c>
      <c r="N770" s="329" t="s">
        <v>2889</v>
      </c>
    </row>
    <row r="771" spans="1:17" ht="27">
      <c r="A771" s="123">
        <v>21</v>
      </c>
      <c r="B771" s="80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3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0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3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0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1"/>
      <c r="M773" s="340">
        <v>1250000</v>
      </c>
      <c r="N773" s="125" t="s">
        <v>2836</v>
      </c>
      <c r="P773">
        <v>3</v>
      </c>
      <c r="Q773">
        <v>4</v>
      </c>
    </row>
    <row r="774" spans="1:17">
      <c r="A774" s="383">
        <v>21</v>
      </c>
      <c r="B774" s="80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7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3">
        <v>21</v>
      </c>
      <c r="B775" s="80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9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0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0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3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0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3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0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0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0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0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0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0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0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5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0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1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0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0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0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0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0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1" t="s">
        <v>487</v>
      </c>
      <c r="L792" s="125" t="s">
        <v>15</v>
      </c>
      <c r="M792" s="96">
        <v>500000</v>
      </c>
      <c r="N792" s="329" t="s">
        <v>978</v>
      </c>
    </row>
    <row r="793" spans="1:14" ht="27">
      <c r="A793" s="123">
        <v>24</v>
      </c>
      <c r="B793" s="80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1" t="s">
        <v>41</v>
      </c>
      <c r="L793" s="125" t="s">
        <v>15</v>
      </c>
      <c r="M793" s="96">
        <v>250000</v>
      </c>
      <c r="N793" s="329" t="s">
        <v>1878</v>
      </c>
    </row>
    <row r="794" spans="1:14" ht="27">
      <c r="A794" s="123">
        <v>25</v>
      </c>
      <c r="B794" s="830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31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32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9" t="s">
        <v>2954</v>
      </c>
    </row>
    <row r="798" spans="1:14">
      <c r="A798" s="123">
        <v>26</v>
      </c>
      <c r="B798" s="80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0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0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0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0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02" t="s">
        <v>3039</v>
      </c>
      <c r="C803" s="370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9" t="s">
        <v>128</v>
      </c>
    </row>
    <row r="804" spans="1:14">
      <c r="A804" s="123">
        <v>26</v>
      </c>
      <c r="B804" s="803"/>
      <c r="C804" s="370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9" t="s">
        <v>2969</v>
      </c>
    </row>
    <row r="805" spans="1:14">
      <c r="A805" s="123">
        <v>26</v>
      </c>
      <c r="B805" s="803"/>
      <c r="C805" s="370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9" t="s">
        <v>2968</v>
      </c>
    </row>
    <row r="806" spans="1:14">
      <c r="A806" s="123">
        <v>26</v>
      </c>
      <c r="B806" s="804"/>
      <c r="C806" s="370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9" t="s">
        <v>128</v>
      </c>
    </row>
    <row r="807" spans="1:14" ht="45">
      <c r="A807" s="123">
        <v>27</v>
      </c>
      <c r="B807" s="80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0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0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0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1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0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1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0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0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0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0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0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0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1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0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1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0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8">
        <v>28</v>
      </c>
      <c r="B820" s="80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0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0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0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0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0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0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6">
        <v>1000000</v>
      </c>
      <c r="N826" s="125" t="s">
        <v>3049</v>
      </c>
    </row>
    <row r="827" spans="1:14" ht="27">
      <c r="A827" s="123">
        <v>28</v>
      </c>
      <c r="B827" s="80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0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6">
        <v>250000</v>
      </c>
      <c r="N828" s="125" t="s">
        <v>3047</v>
      </c>
    </row>
    <row r="829" spans="1:14">
      <c r="A829" s="123">
        <v>28</v>
      </c>
      <c r="B829" s="80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6">
        <v>250000</v>
      </c>
      <c r="N829" s="125" t="s">
        <v>3048</v>
      </c>
    </row>
    <row r="830" spans="1:14" ht="27">
      <c r="A830" s="123">
        <v>28</v>
      </c>
      <c r="B830" s="80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6">
        <v>1500000</v>
      </c>
      <c r="N830" s="125" t="s">
        <v>3048</v>
      </c>
    </row>
    <row r="831" spans="1:14">
      <c r="A831" s="123">
        <v>28</v>
      </c>
      <c r="B831" s="80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0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6">
        <v>550000</v>
      </c>
      <c r="N832" s="125" t="s">
        <v>3048</v>
      </c>
    </row>
    <row r="833" spans="1:14">
      <c r="A833" s="123">
        <v>28</v>
      </c>
      <c r="B833" s="80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0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02" t="s">
        <v>3097</v>
      </c>
      <c r="C835" s="148" t="s">
        <v>3079</v>
      </c>
      <c r="D835" s="808" t="s">
        <v>306</v>
      </c>
      <c r="E835" s="808" t="s">
        <v>322</v>
      </c>
      <c r="F835" s="808" t="s">
        <v>307</v>
      </c>
      <c r="G835" s="810" t="s">
        <v>3051</v>
      </c>
      <c r="H835" s="808" t="s">
        <v>1993</v>
      </c>
      <c r="I835" s="810" t="s">
        <v>3052</v>
      </c>
      <c r="J835" s="808" t="s">
        <v>664</v>
      </c>
      <c r="K835" s="148" t="s">
        <v>3081</v>
      </c>
      <c r="L835" s="808"/>
      <c r="M835" s="827" t="s">
        <v>3082</v>
      </c>
      <c r="N835" s="148" t="s">
        <v>3083</v>
      </c>
    </row>
    <row r="836" spans="1:14">
      <c r="A836" s="123">
        <v>29</v>
      </c>
      <c r="B836" s="803"/>
      <c r="C836" s="148" t="s">
        <v>3080</v>
      </c>
      <c r="D836" s="825"/>
      <c r="E836" s="825"/>
      <c r="F836" s="825"/>
      <c r="G836" s="826"/>
      <c r="H836" s="825"/>
      <c r="I836" s="826"/>
      <c r="J836" s="825"/>
      <c r="K836" s="148" t="s">
        <v>707</v>
      </c>
      <c r="L836" s="825"/>
      <c r="M836" s="828"/>
      <c r="N836" s="148"/>
    </row>
    <row r="837" spans="1:14">
      <c r="A837" s="123">
        <v>29</v>
      </c>
      <c r="B837" s="803"/>
      <c r="C837" s="148"/>
      <c r="D837" s="809"/>
      <c r="E837" s="809"/>
      <c r="F837" s="809"/>
      <c r="G837" s="811"/>
      <c r="H837" s="809"/>
      <c r="I837" s="811"/>
      <c r="J837" s="809"/>
      <c r="K837" s="148"/>
      <c r="L837" s="809"/>
      <c r="M837" s="829"/>
      <c r="N837" s="148" t="s">
        <v>3084</v>
      </c>
    </row>
    <row r="838" spans="1:14">
      <c r="A838" s="123">
        <v>29</v>
      </c>
      <c r="B838" s="80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9" t="s">
        <v>1810</v>
      </c>
      <c r="N838" s="148" t="s">
        <v>3085</v>
      </c>
    </row>
    <row r="839" spans="1:14">
      <c r="A839" s="123">
        <v>29</v>
      </c>
      <c r="B839" s="80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9" t="s">
        <v>1810</v>
      </c>
      <c r="N839" s="148" t="s">
        <v>3086</v>
      </c>
    </row>
    <row r="840" spans="1:14">
      <c r="A840" s="123">
        <v>29</v>
      </c>
      <c r="B840" s="802" t="s">
        <v>21</v>
      </c>
      <c r="C840" s="111" t="s">
        <v>3087</v>
      </c>
      <c r="D840" s="808" t="s">
        <v>311</v>
      </c>
      <c r="E840" s="808" t="s">
        <v>320</v>
      </c>
      <c r="F840" s="810" t="s">
        <v>2601</v>
      </c>
      <c r="G840" s="810" t="s">
        <v>3059</v>
      </c>
      <c r="H840" s="810" t="s">
        <v>3060</v>
      </c>
      <c r="I840" s="810" t="s">
        <v>3061</v>
      </c>
      <c r="J840" s="810" t="s">
        <v>702</v>
      </c>
      <c r="K840" s="810" t="s">
        <v>3062</v>
      </c>
      <c r="L840" s="808" t="s">
        <v>309</v>
      </c>
      <c r="M840" s="827" t="s">
        <v>1816</v>
      </c>
      <c r="N840" s="808" t="s">
        <v>3088</v>
      </c>
    </row>
    <row r="841" spans="1:14">
      <c r="A841" s="123">
        <v>29</v>
      </c>
      <c r="B841" s="803"/>
      <c r="C841" s="111" t="s">
        <v>3065</v>
      </c>
      <c r="D841" s="809"/>
      <c r="E841" s="809"/>
      <c r="F841" s="811"/>
      <c r="G841" s="811"/>
      <c r="H841" s="811"/>
      <c r="I841" s="811"/>
      <c r="J841" s="811"/>
      <c r="K841" s="811"/>
      <c r="L841" s="809"/>
      <c r="M841" s="829"/>
      <c r="N841" s="809"/>
    </row>
    <row r="842" spans="1:14">
      <c r="A842" s="123">
        <v>29</v>
      </c>
      <c r="B842" s="80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9" t="s">
        <v>1828</v>
      </c>
      <c r="N842" s="148" t="s">
        <v>3088</v>
      </c>
    </row>
    <row r="843" spans="1:14">
      <c r="A843" s="123">
        <v>29</v>
      </c>
      <c r="B843" s="80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9" t="s">
        <v>1535</v>
      </c>
      <c r="N843" s="148" t="s">
        <v>3088</v>
      </c>
    </row>
    <row r="844" spans="1:14">
      <c r="A844" s="123">
        <v>29</v>
      </c>
      <c r="B844" s="803"/>
      <c r="C844" s="111" t="s">
        <v>3079</v>
      </c>
      <c r="D844" s="808" t="s">
        <v>311</v>
      </c>
      <c r="E844" s="808" t="s">
        <v>320</v>
      </c>
      <c r="F844" s="810" t="s">
        <v>3068</v>
      </c>
      <c r="G844" s="810" t="s">
        <v>1919</v>
      </c>
      <c r="H844" s="810" t="s">
        <v>3069</v>
      </c>
      <c r="I844" s="149" t="s">
        <v>3090</v>
      </c>
      <c r="J844" s="810"/>
      <c r="K844" s="810" t="s">
        <v>3070</v>
      </c>
      <c r="L844" s="808" t="s">
        <v>309</v>
      </c>
      <c r="M844" s="833" t="s">
        <v>3092</v>
      </c>
      <c r="N844" s="808" t="s">
        <v>1206</v>
      </c>
    </row>
    <row r="845" spans="1:14">
      <c r="A845" s="123">
        <v>29</v>
      </c>
      <c r="B845" s="803"/>
      <c r="C845" s="111" t="s">
        <v>3089</v>
      </c>
      <c r="D845" s="809"/>
      <c r="E845" s="809"/>
      <c r="F845" s="811"/>
      <c r="G845" s="811"/>
      <c r="H845" s="811"/>
      <c r="I845" s="149" t="s">
        <v>3091</v>
      </c>
      <c r="J845" s="811"/>
      <c r="K845" s="811"/>
      <c r="L845" s="809"/>
      <c r="M845" s="834"/>
      <c r="N845" s="809"/>
    </row>
    <row r="846" spans="1:14">
      <c r="A846" s="123">
        <v>29</v>
      </c>
      <c r="B846" s="803"/>
      <c r="C846" s="111" t="s">
        <v>3079</v>
      </c>
      <c r="D846" s="808" t="s">
        <v>311</v>
      </c>
      <c r="E846" s="808" t="s">
        <v>320</v>
      </c>
      <c r="F846" s="810" t="s">
        <v>2601</v>
      </c>
      <c r="G846" s="810" t="s">
        <v>3059</v>
      </c>
      <c r="H846" s="810" t="s">
        <v>3060</v>
      </c>
      <c r="I846" s="810" t="s">
        <v>3071</v>
      </c>
      <c r="J846" s="810" t="s">
        <v>702</v>
      </c>
      <c r="K846" s="810" t="s">
        <v>1054</v>
      </c>
      <c r="L846" s="808" t="s">
        <v>309</v>
      </c>
      <c r="M846" s="827" t="s">
        <v>3094</v>
      </c>
      <c r="N846" s="808" t="s">
        <v>3095</v>
      </c>
    </row>
    <row r="847" spans="1:14">
      <c r="A847" s="123">
        <v>29</v>
      </c>
      <c r="B847" s="803"/>
      <c r="C847" s="111"/>
      <c r="D847" s="825"/>
      <c r="E847" s="825"/>
      <c r="F847" s="826"/>
      <c r="G847" s="826"/>
      <c r="H847" s="826"/>
      <c r="I847" s="826"/>
      <c r="J847" s="826"/>
      <c r="K847" s="826"/>
      <c r="L847" s="825"/>
      <c r="M847" s="828"/>
      <c r="N847" s="825"/>
    </row>
    <row r="848" spans="1:14">
      <c r="A848" s="123">
        <v>29</v>
      </c>
      <c r="B848" s="803"/>
      <c r="C848" s="111" t="s">
        <v>3093</v>
      </c>
      <c r="D848" s="809"/>
      <c r="E848" s="809"/>
      <c r="F848" s="811"/>
      <c r="G848" s="811"/>
      <c r="H848" s="811"/>
      <c r="I848" s="811"/>
      <c r="J848" s="811"/>
      <c r="K848" s="811"/>
      <c r="L848" s="809"/>
      <c r="M848" s="829"/>
      <c r="N848" s="809"/>
    </row>
    <row r="849" spans="1:14">
      <c r="A849" s="123">
        <v>29</v>
      </c>
      <c r="B849" s="803"/>
      <c r="C849" s="111" t="s">
        <v>3096</v>
      </c>
      <c r="D849" s="808" t="s">
        <v>311</v>
      </c>
      <c r="E849" s="808" t="s">
        <v>320</v>
      </c>
      <c r="F849" s="810" t="s">
        <v>337</v>
      </c>
      <c r="G849" s="810" t="s">
        <v>3072</v>
      </c>
      <c r="H849" s="810" t="s">
        <v>354</v>
      </c>
      <c r="I849" s="810" t="s">
        <v>310</v>
      </c>
      <c r="J849" s="810" t="s">
        <v>638</v>
      </c>
      <c r="K849" s="810" t="s">
        <v>3073</v>
      </c>
      <c r="L849" s="808" t="s">
        <v>309</v>
      </c>
      <c r="M849" s="827" t="s">
        <v>1816</v>
      </c>
      <c r="N849" s="808" t="s">
        <v>3095</v>
      </c>
    </row>
    <row r="850" spans="1:14">
      <c r="A850" s="123">
        <v>29</v>
      </c>
      <c r="B850" s="804"/>
      <c r="C850" s="111" t="s">
        <v>3089</v>
      </c>
      <c r="D850" s="809"/>
      <c r="E850" s="809"/>
      <c r="F850" s="811"/>
      <c r="G850" s="811"/>
      <c r="H850" s="811"/>
      <c r="I850" s="811"/>
      <c r="J850" s="811"/>
      <c r="K850" s="811"/>
      <c r="L850" s="809"/>
      <c r="M850" s="829"/>
      <c r="N850" s="809"/>
    </row>
    <row r="851" spans="1:14">
      <c r="A851" s="123">
        <v>30</v>
      </c>
      <c r="B851" s="820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94" t="s">
        <v>1535</v>
      </c>
      <c r="N851" s="148" t="s">
        <v>665</v>
      </c>
    </row>
    <row r="852" spans="1:14">
      <c r="A852" s="123">
        <v>30</v>
      </c>
      <c r="B852" s="821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94" t="s">
        <v>1810</v>
      </c>
      <c r="N852" s="148" t="s">
        <v>425</v>
      </c>
    </row>
    <row r="853" spans="1:14">
      <c r="A853" s="123">
        <v>30</v>
      </c>
      <c r="B853" s="821"/>
      <c r="C853" s="148" t="s">
        <v>3106</v>
      </c>
      <c r="D853" s="808" t="s">
        <v>306</v>
      </c>
      <c r="E853" s="808" t="s">
        <v>322</v>
      </c>
      <c r="F853" s="808" t="s">
        <v>307</v>
      </c>
      <c r="G853" s="810" t="s">
        <v>3051</v>
      </c>
      <c r="H853" s="808" t="s">
        <v>1993</v>
      </c>
      <c r="I853" s="810" t="s">
        <v>3108</v>
      </c>
      <c r="J853" s="808" t="s">
        <v>664</v>
      </c>
      <c r="K853" s="148" t="s">
        <v>3109</v>
      </c>
      <c r="L853" s="808"/>
      <c r="M853" s="818" t="s">
        <v>3110</v>
      </c>
      <c r="N853" s="808" t="s">
        <v>665</v>
      </c>
    </row>
    <row r="854" spans="1:14">
      <c r="A854" s="123">
        <v>30</v>
      </c>
      <c r="B854" s="821"/>
      <c r="C854" s="148" t="s">
        <v>3107</v>
      </c>
      <c r="D854" s="809"/>
      <c r="E854" s="809"/>
      <c r="F854" s="809"/>
      <c r="G854" s="811"/>
      <c r="H854" s="809"/>
      <c r="I854" s="811"/>
      <c r="J854" s="809"/>
      <c r="K854" s="148" t="s">
        <v>655</v>
      </c>
      <c r="L854" s="809"/>
      <c r="M854" s="819"/>
      <c r="N854" s="809"/>
    </row>
    <row r="855" spans="1:14">
      <c r="A855" s="123">
        <v>30</v>
      </c>
      <c r="B855" s="822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94" t="s">
        <v>1810</v>
      </c>
      <c r="N855" s="148" t="s">
        <v>665</v>
      </c>
    </row>
    <row r="856" spans="1:14">
      <c r="A856" s="123">
        <v>30</v>
      </c>
      <c r="B856" s="802" t="s">
        <v>3116</v>
      </c>
      <c r="C856" s="823" t="s">
        <v>3117</v>
      </c>
      <c r="D856" s="808" t="s">
        <v>311</v>
      </c>
      <c r="E856" s="808" t="s">
        <v>320</v>
      </c>
      <c r="F856" s="810" t="s">
        <v>2601</v>
      </c>
      <c r="G856" s="810" t="s">
        <v>2749</v>
      </c>
      <c r="H856" s="810" t="s">
        <v>347</v>
      </c>
      <c r="I856" s="810" t="s">
        <v>3118</v>
      </c>
      <c r="J856" s="810" t="s">
        <v>638</v>
      </c>
      <c r="K856" s="810" t="s">
        <v>698</v>
      </c>
      <c r="L856" s="808" t="s">
        <v>309</v>
      </c>
      <c r="M856" s="818" t="s">
        <v>1810</v>
      </c>
      <c r="N856" s="148" t="s">
        <v>3119</v>
      </c>
    </row>
    <row r="857" spans="1:14">
      <c r="A857" s="123">
        <v>30</v>
      </c>
      <c r="B857" s="803"/>
      <c r="C857" s="824"/>
      <c r="D857" s="809"/>
      <c r="E857" s="809"/>
      <c r="F857" s="811"/>
      <c r="G857" s="811"/>
      <c r="H857" s="811"/>
      <c r="I857" s="811"/>
      <c r="J857" s="811"/>
      <c r="K857" s="811"/>
      <c r="L857" s="809"/>
      <c r="M857" s="819"/>
      <c r="N857" s="148" t="s">
        <v>3120</v>
      </c>
    </row>
    <row r="858" spans="1:14" ht="16.5" customHeight="1">
      <c r="A858" s="123">
        <v>30</v>
      </c>
      <c r="B858" s="803"/>
      <c r="C858" s="823" t="s">
        <v>3117</v>
      </c>
      <c r="D858" s="808" t="s">
        <v>311</v>
      </c>
      <c r="E858" s="808" t="s">
        <v>320</v>
      </c>
      <c r="F858" s="810" t="s">
        <v>709</v>
      </c>
      <c r="G858" s="149" t="s">
        <v>3121</v>
      </c>
      <c r="H858" s="810" t="s">
        <v>640</v>
      </c>
      <c r="I858" s="810" t="s">
        <v>3122</v>
      </c>
      <c r="J858" s="810"/>
      <c r="K858" s="810" t="s">
        <v>692</v>
      </c>
      <c r="L858" s="808" t="s">
        <v>309</v>
      </c>
      <c r="M858" s="818" t="s">
        <v>1535</v>
      </c>
      <c r="N858" s="808" t="s">
        <v>1772</v>
      </c>
    </row>
    <row r="859" spans="1:14">
      <c r="A859" s="123">
        <v>30</v>
      </c>
      <c r="B859" s="803"/>
      <c r="C859" s="824"/>
      <c r="D859" s="809"/>
      <c r="E859" s="809"/>
      <c r="F859" s="811"/>
      <c r="G859" s="149">
        <v>2651</v>
      </c>
      <c r="H859" s="811"/>
      <c r="I859" s="811"/>
      <c r="J859" s="811"/>
      <c r="K859" s="811"/>
      <c r="L859" s="809"/>
      <c r="M859" s="819"/>
      <c r="N859" s="809"/>
    </row>
    <row r="860" spans="1:14">
      <c r="A860" s="123">
        <v>30</v>
      </c>
      <c r="B860" s="803"/>
      <c r="C860" s="823" t="s">
        <v>3123</v>
      </c>
      <c r="D860" s="808" t="s">
        <v>311</v>
      </c>
      <c r="E860" s="808" t="s">
        <v>320</v>
      </c>
      <c r="F860" s="810" t="s">
        <v>720</v>
      </c>
      <c r="G860" s="810" t="s">
        <v>1756</v>
      </c>
      <c r="H860" s="810" t="s">
        <v>347</v>
      </c>
      <c r="I860" s="149" t="s">
        <v>3124</v>
      </c>
      <c r="J860" s="810"/>
      <c r="K860" s="810" t="s">
        <v>3126</v>
      </c>
      <c r="L860" s="808" t="s">
        <v>309</v>
      </c>
      <c r="M860" s="818" t="s">
        <v>1933</v>
      </c>
      <c r="N860" s="808" t="s">
        <v>1206</v>
      </c>
    </row>
    <row r="861" spans="1:14">
      <c r="A861" s="123">
        <v>30</v>
      </c>
      <c r="B861" s="803"/>
      <c r="C861" s="824"/>
      <c r="D861" s="809"/>
      <c r="E861" s="809"/>
      <c r="F861" s="811"/>
      <c r="G861" s="811"/>
      <c r="H861" s="811"/>
      <c r="I861" s="149" t="s">
        <v>3125</v>
      </c>
      <c r="J861" s="811"/>
      <c r="K861" s="811"/>
      <c r="L861" s="809"/>
      <c r="M861" s="819"/>
      <c r="N861" s="809"/>
    </row>
    <row r="862" spans="1:14">
      <c r="A862" s="123">
        <v>30</v>
      </c>
      <c r="B862" s="803"/>
      <c r="C862" s="111" t="s">
        <v>3127</v>
      </c>
      <c r="D862" s="808" t="s">
        <v>311</v>
      </c>
      <c r="E862" s="808" t="s">
        <v>320</v>
      </c>
      <c r="F862" s="810" t="s">
        <v>690</v>
      </c>
      <c r="G862" s="810" t="s">
        <v>3066</v>
      </c>
      <c r="H862" s="810" t="s">
        <v>354</v>
      </c>
      <c r="I862" s="810" t="s">
        <v>3129</v>
      </c>
      <c r="J862" s="810" t="s">
        <v>638</v>
      </c>
      <c r="K862" s="810" t="s">
        <v>655</v>
      </c>
      <c r="L862" s="808" t="s">
        <v>309</v>
      </c>
      <c r="M862" s="818" t="s">
        <v>1535</v>
      </c>
      <c r="N862" s="808" t="s">
        <v>1206</v>
      </c>
    </row>
    <row r="863" spans="1:14">
      <c r="A863" s="123">
        <v>30</v>
      </c>
      <c r="B863" s="803"/>
      <c r="C863" s="111" t="s">
        <v>3128</v>
      </c>
      <c r="D863" s="809"/>
      <c r="E863" s="809"/>
      <c r="F863" s="811"/>
      <c r="G863" s="811"/>
      <c r="H863" s="811"/>
      <c r="I863" s="811"/>
      <c r="J863" s="811"/>
      <c r="K863" s="811"/>
      <c r="L863" s="809"/>
      <c r="M863" s="819"/>
      <c r="N863" s="809"/>
    </row>
    <row r="864" spans="1:14">
      <c r="A864" s="123">
        <v>30</v>
      </c>
      <c r="B864" s="803"/>
      <c r="C864" s="111" t="s">
        <v>3130</v>
      </c>
      <c r="D864" s="808" t="s">
        <v>311</v>
      </c>
      <c r="E864" s="808" t="s">
        <v>320</v>
      </c>
      <c r="F864" s="810" t="s">
        <v>337</v>
      </c>
      <c r="G864" s="810" t="s">
        <v>3072</v>
      </c>
      <c r="H864" s="810" t="s">
        <v>354</v>
      </c>
      <c r="I864" s="810" t="s">
        <v>3131</v>
      </c>
      <c r="J864" s="810" t="s">
        <v>638</v>
      </c>
      <c r="K864" s="810" t="s">
        <v>713</v>
      </c>
      <c r="L864" s="808" t="s">
        <v>309</v>
      </c>
      <c r="M864" s="818" t="s">
        <v>1810</v>
      </c>
      <c r="N864" s="808" t="s">
        <v>1206</v>
      </c>
    </row>
    <row r="865" spans="1:14">
      <c r="A865" s="123">
        <v>30</v>
      </c>
      <c r="B865" s="803"/>
      <c r="C865" s="111" t="s">
        <v>3107</v>
      </c>
      <c r="D865" s="809"/>
      <c r="E865" s="809"/>
      <c r="F865" s="811"/>
      <c r="G865" s="811"/>
      <c r="H865" s="811"/>
      <c r="I865" s="811"/>
      <c r="J865" s="811"/>
      <c r="K865" s="811"/>
      <c r="L865" s="809"/>
      <c r="M865" s="819"/>
      <c r="N865" s="809"/>
    </row>
    <row r="866" spans="1:14" ht="25.5">
      <c r="A866" s="123">
        <v>30</v>
      </c>
      <c r="B866" s="80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94" t="s">
        <v>1828</v>
      </c>
      <c r="N866" s="148" t="s">
        <v>1206</v>
      </c>
    </row>
    <row r="867" spans="1:14">
      <c r="A867" s="123">
        <v>30</v>
      </c>
      <c r="B867" s="803"/>
      <c r="C867" s="823" t="s">
        <v>3111</v>
      </c>
      <c r="D867" s="808" t="s">
        <v>311</v>
      </c>
      <c r="E867" s="808" t="s">
        <v>675</v>
      </c>
      <c r="F867" s="810" t="s">
        <v>660</v>
      </c>
      <c r="G867" s="810" t="s">
        <v>661</v>
      </c>
      <c r="H867" s="810" t="s">
        <v>662</v>
      </c>
      <c r="I867" s="149" t="s">
        <v>3134</v>
      </c>
      <c r="J867" s="810" t="s">
        <v>638</v>
      </c>
      <c r="K867" s="810" t="s">
        <v>731</v>
      </c>
      <c r="L867" s="808" t="s">
        <v>309</v>
      </c>
      <c r="M867" s="818" t="s">
        <v>1828</v>
      </c>
      <c r="N867" s="808" t="s">
        <v>3136</v>
      </c>
    </row>
    <row r="868" spans="1:14">
      <c r="A868" s="123">
        <v>30</v>
      </c>
      <c r="B868" s="804"/>
      <c r="C868" s="824"/>
      <c r="D868" s="809"/>
      <c r="E868" s="809"/>
      <c r="F868" s="811"/>
      <c r="G868" s="811"/>
      <c r="H868" s="811"/>
      <c r="I868" s="149" t="s">
        <v>3135</v>
      </c>
      <c r="J868" s="811"/>
      <c r="K868" s="811"/>
      <c r="L868" s="809"/>
      <c r="M868" s="819"/>
      <c r="N868" s="809"/>
    </row>
    <row r="869" spans="1:14">
      <c r="A869" s="123">
        <v>31</v>
      </c>
      <c r="B869" s="80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94" t="s">
        <v>3139</v>
      </c>
      <c r="N869" s="148" t="s">
        <v>665</v>
      </c>
    </row>
    <row r="870" spans="1:14" ht="16.5" customHeight="1">
      <c r="A870" s="123">
        <v>31</v>
      </c>
      <c r="B870" s="803"/>
      <c r="C870" s="148" t="s">
        <v>3140</v>
      </c>
      <c r="D870" s="808" t="s">
        <v>306</v>
      </c>
      <c r="E870" s="808" t="s">
        <v>322</v>
      </c>
      <c r="F870" s="808" t="s">
        <v>307</v>
      </c>
      <c r="G870" s="810">
        <v>1566</v>
      </c>
      <c r="H870" s="808" t="s">
        <v>1911</v>
      </c>
      <c r="I870" s="810" t="s">
        <v>3142</v>
      </c>
      <c r="J870" s="808" t="s">
        <v>664</v>
      </c>
      <c r="K870" s="808" t="s">
        <v>3143</v>
      </c>
      <c r="L870" s="808"/>
      <c r="M870" s="818" t="s">
        <v>3144</v>
      </c>
      <c r="N870" s="808" t="s">
        <v>665</v>
      </c>
    </row>
    <row r="871" spans="1:14">
      <c r="A871" s="123">
        <v>31</v>
      </c>
      <c r="B871" s="803"/>
      <c r="C871" s="148" t="s">
        <v>3141</v>
      </c>
      <c r="D871" s="809"/>
      <c r="E871" s="809"/>
      <c r="F871" s="809"/>
      <c r="G871" s="811"/>
      <c r="H871" s="809"/>
      <c r="I871" s="811"/>
      <c r="J871" s="809"/>
      <c r="K871" s="809"/>
      <c r="L871" s="809"/>
      <c r="M871" s="819"/>
      <c r="N871" s="809"/>
    </row>
    <row r="872" spans="1:14">
      <c r="A872" s="123">
        <v>31</v>
      </c>
      <c r="B872" s="80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94" t="s">
        <v>3139</v>
      </c>
      <c r="N872" s="148" t="s">
        <v>665</v>
      </c>
    </row>
    <row r="873" spans="1:14" ht="16.5" customHeight="1">
      <c r="A873" s="123">
        <v>31</v>
      </c>
      <c r="B873" s="803"/>
      <c r="C873" s="389" t="s">
        <v>3140</v>
      </c>
      <c r="D873" s="808" t="s">
        <v>306</v>
      </c>
      <c r="E873" s="808" t="s">
        <v>322</v>
      </c>
      <c r="F873" s="808" t="s">
        <v>307</v>
      </c>
      <c r="G873" s="810" t="s">
        <v>3147</v>
      </c>
      <c r="H873" s="808" t="s">
        <v>3148</v>
      </c>
      <c r="I873" s="810" t="s">
        <v>332</v>
      </c>
      <c r="J873" s="808" t="s">
        <v>1534</v>
      </c>
      <c r="K873" s="808" t="s">
        <v>1157</v>
      </c>
      <c r="L873" s="808"/>
      <c r="M873" s="818" t="s">
        <v>3149</v>
      </c>
      <c r="N873" s="808" t="s">
        <v>425</v>
      </c>
    </row>
    <row r="874" spans="1:14">
      <c r="A874" s="123">
        <v>31</v>
      </c>
      <c r="B874" s="804"/>
      <c r="C874" s="389" t="s">
        <v>3146</v>
      </c>
      <c r="D874" s="809"/>
      <c r="E874" s="809"/>
      <c r="F874" s="809"/>
      <c r="G874" s="811"/>
      <c r="H874" s="809"/>
      <c r="I874" s="811"/>
      <c r="J874" s="809"/>
      <c r="K874" s="809"/>
      <c r="L874" s="809"/>
      <c r="M874" s="819"/>
      <c r="N874" s="809"/>
    </row>
    <row r="875" spans="1:14">
      <c r="A875" s="123">
        <v>31</v>
      </c>
      <c r="B875" s="80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94" t="s">
        <v>3139</v>
      </c>
      <c r="N875" s="148" t="s">
        <v>3151</v>
      </c>
    </row>
    <row r="876" spans="1:14" ht="16.5" customHeight="1">
      <c r="A876" s="123">
        <v>31</v>
      </c>
      <c r="B876" s="803"/>
      <c r="C876" s="808" t="s">
        <v>3128</v>
      </c>
      <c r="D876" s="808" t="s">
        <v>311</v>
      </c>
      <c r="E876" s="808" t="s">
        <v>675</v>
      </c>
      <c r="F876" s="810" t="s">
        <v>660</v>
      </c>
      <c r="G876" s="810" t="s">
        <v>661</v>
      </c>
      <c r="H876" s="810" t="s">
        <v>662</v>
      </c>
      <c r="I876" s="149" t="s">
        <v>3134</v>
      </c>
      <c r="J876" s="810"/>
      <c r="K876" s="810" t="s">
        <v>698</v>
      </c>
      <c r="L876" s="808" t="s">
        <v>309</v>
      </c>
      <c r="M876" s="818" t="s">
        <v>3139</v>
      </c>
      <c r="N876" s="808" t="s">
        <v>3152</v>
      </c>
    </row>
    <row r="877" spans="1:14">
      <c r="A877" s="123">
        <v>31</v>
      </c>
      <c r="B877" s="803"/>
      <c r="C877" s="809"/>
      <c r="D877" s="809"/>
      <c r="E877" s="809"/>
      <c r="F877" s="811"/>
      <c r="G877" s="811"/>
      <c r="H877" s="811"/>
      <c r="I877" s="149" t="s">
        <v>3135</v>
      </c>
      <c r="J877" s="811"/>
      <c r="K877" s="811"/>
      <c r="L877" s="809"/>
      <c r="M877" s="819"/>
      <c r="N877" s="809"/>
    </row>
    <row r="878" spans="1:14" ht="16.5" customHeight="1">
      <c r="A878" s="123">
        <v>31</v>
      </c>
      <c r="B878" s="803"/>
      <c r="C878" s="148" t="s">
        <v>3153</v>
      </c>
      <c r="D878" s="808" t="s">
        <v>311</v>
      </c>
      <c r="E878" s="808" t="s">
        <v>320</v>
      </c>
      <c r="F878" s="810" t="s">
        <v>3068</v>
      </c>
      <c r="G878" s="810" t="s">
        <v>1919</v>
      </c>
      <c r="H878" s="810" t="s">
        <v>3069</v>
      </c>
      <c r="I878" s="810" t="s">
        <v>3154</v>
      </c>
      <c r="J878" s="810"/>
      <c r="K878" s="810" t="s">
        <v>3155</v>
      </c>
      <c r="L878" s="808" t="s">
        <v>309</v>
      </c>
      <c r="M878" s="818" t="s">
        <v>3156</v>
      </c>
      <c r="N878" s="808" t="s">
        <v>3151</v>
      </c>
    </row>
    <row r="879" spans="1:14">
      <c r="A879" s="123">
        <v>31</v>
      </c>
      <c r="B879" s="803"/>
      <c r="C879" s="148" t="s">
        <v>3111</v>
      </c>
      <c r="D879" s="809"/>
      <c r="E879" s="809"/>
      <c r="F879" s="811"/>
      <c r="G879" s="811"/>
      <c r="H879" s="811"/>
      <c r="I879" s="811"/>
      <c r="J879" s="811"/>
      <c r="K879" s="811"/>
      <c r="L879" s="809"/>
      <c r="M879" s="819"/>
      <c r="N879" s="809"/>
    </row>
    <row r="880" spans="1:14">
      <c r="A880" s="123">
        <v>31</v>
      </c>
      <c r="B880" s="80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94" t="s">
        <v>3158</v>
      </c>
      <c r="N880" s="148" t="s">
        <v>3152</v>
      </c>
    </row>
    <row r="881" spans="1:14">
      <c r="A881" s="123">
        <v>31</v>
      </c>
      <c r="B881" s="803"/>
      <c r="C881" s="111" t="s">
        <v>3137</v>
      </c>
      <c r="D881" s="148" t="s">
        <v>311</v>
      </c>
      <c r="E881" s="148" t="s">
        <v>320</v>
      </c>
      <c r="F881" s="390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94" t="s">
        <v>3164</v>
      </c>
      <c r="N881" s="148" t="s">
        <v>1206</v>
      </c>
    </row>
    <row r="882" spans="1:14">
      <c r="A882" s="123">
        <v>31</v>
      </c>
      <c r="B882" s="80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94" t="s">
        <v>3139</v>
      </c>
      <c r="N882" s="148" t="s">
        <v>1206</v>
      </c>
    </row>
    <row r="883" spans="1:14" ht="16.5" customHeight="1">
      <c r="A883" s="123">
        <v>31</v>
      </c>
      <c r="B883" s="803"/>
      <c r="C883" s="111" t="s">
        <v>3166</v>
      </c>
      <c r="D883" s="808" t="s">
        <v>311</v>
      </c>
      <c r="E883" s="808" t="s">
        <v>320</v>
      </c>
      <c r="F883" s="810" t="s">
        <v>337</v>
      </c>
      <c r="G883" s="810" t="s">
        <v>3168</v>
      </c>
      <c r="H883" s="810" t="s">
        <v>3169</v>
      </c>
      <c r="I883" s="810" t="s">
        <v>3170</v>
      </c>
      <c r="J883" s="810" t="s">
        <v>3171</v>
      </c>
      <c r="K883" s="810" t="s">
        <v>3172</v>
      </c>
      <c r="L883" s="808" t="s">
        <v>309</v>
      </c>
      <c r="M883" s="818" t="s">
        <v>3173</v>
      </c>
      <c r="N883" s="808" t="s">
        <v>3136</v>
      </c>
    </row>
    <row r="884" spans="1:14">
      <c r="A884" s="123">
        <v>31</v>
      </c>
      <c r="B884" s="804"/>
      <c r="C884" s="111" t="s">
        <v>3167</v>
      </c>
      <c r="D884" s="809"/>
      <c r="E884" s="809"/>
      <c r="F884" s="811"/>
      <c r="G884" s="811"/>
      <c r="H884" s="811"/>
      <c r="I884" s="811"/>
      <c r="J884" s="811"/>
      <c r="K884" s="811"/>
      <c r="L884" s="809"/>
      <c r="M884" s="819"/>
      <c r="N884" s="809"/>
    </row>
    <row r="885" spans="1:14" ht="27">
      <c r="A885" s="123">
        <v>32</v>
      </c>
      <c r="B885" s="815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2">
        <v>500000</v>
      </c>
      <c r="N885" s="45" t="s">
        <v>665</v>
      </c>
    </row>
    <row r="886" spans="1:14">
      <c r="A886" s="123">
        <v>32</v>
      </c>
      <c r="B886" s="816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2">
        <v>250000</v>
      </c>
      <c r="N886" s="45" t="s">
        <v>3179</v>
      </c>
    </row>
    <row r="887" spans="1:14" ht="40.5">
      <c r="A887" s="123">
        <v>32</v>
      </c>
      <c r="B887" s="816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2">
        <v>1250000</v>
      </c>
      <c r="N887" s="45" t="s">
        <v>665</v>
      </c>
    </row>
    <row r="888" spans="1:14" ht="27">
      <c r="A888" s="123">
        <v>32</v>
      </c>
      <c r="B888" s="817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2">
        <v>500000</v>
      </c>
      <c r="N888" s="45" t="s">
        <v>425</v>
      </c>
    </row>
    <row r="889" spans="1:14">
      <c r="A889" s="123">
        <v>32</v>
      </c>
      <c r="B889" s="815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2">
        <v>250000</v>
      </c>
      <c r="N889" s="45" t="s">
        <v>1206</v>
      </c>
    </row>
    <row r="890" spans="1:14">
      <c r="A890" s="123">
        <v>32</v>
      </c>
      <c r="B890" s="816"/>
      <c r="C890" s="391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2">
        <v>250000</v>
      </c>
      <c r="N890" s="45" t="s">
        <v>1772</v>
      </c>
    </row>
    <row r="891" spans="1:14">
      <c r="A891" s="123">
        <v>32</v>
      </c>
      <c r="B891" s="816"/>
      <c r="C891" s="391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2">
        <v>300000</v>
      </c>
      <c r="N891" s="45" t="s">
        <v>1206</v>
      </c>
    </row>
    <row r="892" spans="1:14">
      <c r="A892" s="123">
        <v>32</v>
      </c>
      <c r="B892" s="817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2">
        <v>300000</v>
      </c>
      <c r="N892" s="45" t="s">
        <v>1206</v>
      </c>
    </row>
    <row r="893" spans="1:14">
      <c r="A893" s="123">
        <v>33</v>
      </c>
      <c r="B893" s="815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2">
        <v>500000</v>
      </c>
      <c r="N893" s="45"/>
    </row>
    <row r="894" spans="1:14">
      <c r="A894" s="123">
        <v>33</v>
      </c>
      <c r="B894" s="816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2">
        <v>1500000</v>
      </c>
      <c r="N894" s="45"/>
    </row>
    <row r="895" spans="1:14">
      <c r="A895" s="123">
        <v>33</v>
      </c>
      <c r="B895" s="817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2">
        <v>1000000</v>
      </c>
      <c r="N895" s="45"/>
    </row>
    <row r="896" spans="1:14" ht="27">
      <c r="A896" s="123">
        <v>33</v>
      </c>
      <c r="B896" s="815" t="s">
        <v>311</v>
      </c>
      <c r="C896" s="391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3" t="s">
        <v>3208</v>
      </c>
      <c r="N896" s="45" t="s">
        <v>3209</v>
      </c>
    </row>
    <row r="897" spans="1:14" ht="27">
      <c r="A897" s="123">
        <v>33</v>
      </c>
      <c r="B897" s="816"/>
      <c r="C897" s="391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2">
        <v>300000</v>
      </c>
      <c r="N897" s="45" t="s">
        <v>3212</v>
      </c>
    </row>
    <row r="898" spans="1:14">
      <c r="A898" s="123">
        <v>33</v>
      </c>
      <c r="B898" s="817"/>
      <c r="C898" s="391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2">
        <v>250000</v>
      </c>
      <c r="N898" s="45" t="s">
        <v>1772</v>
      </c>
    </row>
    <row r="899" spans="1:14">
      <c r="A899" s="123">
        <v>34</v>
      </c>
      <c r="B899" s="81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1" t="s">
        <v>3098</v>
      </c>
      <c r="H899" s="4" t="s">
        <v>3099</v>
      </c>
      <c r="I899" s="401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13"/>
      <c r="C900" s="92" t="s">
        <v>3224</v>
      </c>
      <c r="D900" s="4" t="s">
        <v>306</v>
      </c>
      <c r="E900" s="4" t="s">
        <v>322</v>
      </c>
      <c r="F900" s="4" t="s">
        <v>307</v>
      </c>
      <c r="G900" s="397">
        <v>1567</v>
      </c>
      <c r="H900" s="398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1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1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1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6" t="s">
        <v>692</v>
      </c>
      <c r="L903" s="125" t="s">
        <v>15</v>
      </c>
      <c r="M903" s="399">
        <v>500000</v>
      </c>
      <c r="N903" s="45" t="s">
        <v>3229</v>
      </c>
    </row>
    <row r="904" spans="1:14">
      <c r="A904" s="123">
        <v>34</v>
      </c>
      <c r="B904" s="81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6" t="s">
        <v>692</v>
      </c>
      <c r="L904" s="125" t="s">
        <v>15</v>
      </c>
      <c r="M904" s="399">
        <v>500000</v>
      </c>
      <c r="N904" s="394" t="s">
        <v>978</v>
      </c>
    </row>
    <row r="905" spans="1:14">
      <c r="A905" s="123">
        <v>34</v>
      </c>
      <c r="B905" s="81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6" t="s">
        <v>3074</v>
      </c>
      <c r="L905" s="125" t="s">
        <v>15</v>
      </c>
      <c r="M905" s="399">
        <v>300000</v>
      </c>
      <c r="N905" s="394" t="s">
        <v>978</v>
      </c>
    </row>
    <row r="906" spans="1:14" ht="27">
      <c r="A906" s="123">
        <v>34</v>
      </c>
      <c r="B906" s="81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9">
        <v>300000</v>
      </c>
      <c r="N906" s="395" t="s">
        <v>1876</v>
      </c>
    </row>
    <row r="907" spans="1:14">
      <c r="A907" s="123">
        <v>34</v>
      </c>
      <c r="B907" s="81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7" t="s">
        <v>3077</v>
      </c>
      <c r="L907" s="125" t="s">
        <v>15</v>
      </c>
      <c r="M907" s="399">
        <v>250000</v>
      </c>
      <c r="N907" s="394" t="s">
        <v>978</v>
      </c>
    </row>
    <row r="908" spans="1:14">
      <c r="A908" s="123">
        <v>34</v>
      </c>
      <c r="B908" s="81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6" t="s">
        <v>3074</v>
      </c>
      <c r="L908" s="125" t="s">
        <v>15</v>
      </c>
      <c r="M908" s="399">
        <v>300000</v>
      </c>
      <c r="N908" s="394" t="s">
        <v>978</v>
      </c>
    </row>
    <row r="909" spans="1:14">
      <c r="A909" s="123">
        <v>34</v>
      </c>
      <c r="B909" s="81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7" t="s">
        <v>3077</v>
      </c>
      <c r="L909" s="125" t="s">
        <v>15</v>
      </c>
      <c r="M909" s="399">
        <v>500000</v>
      </c>
      <c r="N909" s="394" t="s">
        <v>978</v>
      </c>
    </row>
    <row r="910" spans="1:14" ht="27">
      <c r="A910" s="123">
        <v>34</v>
      </c>
      <c r="B910" s="81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9">
        <v>300000</v>
      </c>
      <c r="N910" s="394" t="s">
        <v>978</v>
      </c>
    </row>
    <row r="911" spans="1:14" ht="40.5">
      <c r="A911" s="123">
        <v>35</v>
      </c>
      <c r="B911" s="81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1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1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1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1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1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1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1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1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1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12" t="s">
        <v>21</v>
      </c>
      <c r="C917" s="370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9">
        <v>250000</v>
      </c>
      <c r="N917" s="125" t="s">
        <v>3240</v>
      </c>
    </row>
    <row r="918" spans="1:14" ht="27">
      <c r="A918" s="123">
        <v>35</v>
      </c>
      <c r="B918" s="81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9" t="s">
        <v>3259</v>
      </c>
      <c r="N918" s="125" t="s">
        <v>3240</v>
      </c>
    </row>
    <row r="919" spans="1:14">
      <c r="A919" s="123">
        <v>35</v>
      </c>
      <c r="B919" s="813"/>
      <c r="C919" s="370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9">
        <v>300000</v>
      </c>
      <c r="N919" s="125" t="s">
        <v>3240</v>
      </c>
    </row>
    <row r="920" spans="1:14">
      <c r="A920" s="123">
        <v>35</v>
      </c>
      <c r="B920" s="813"/>
      <c r="C920" s="370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9">
        <v>250000</v>
      </c>
      <c r="N920" s="6" t="s">
        <v>3239</v>
      </c>
    </row>
    <row r="921" spans="1:14">
      <c r="A921" s="123">
        <v>35</v>
      </c>
      <c r="B921" s="81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9">
        <v>500000</v>
      </c>
      <c r="N921" s="6" t="s">
        <v>3239</v>
      </c>
    </row>
    <row r="922" spans="1:14">
      <c r="A922" s="123">
        <v>35</v>
      </c>
      <c r="B922" s="81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9">
        <v>500000</v>
      </c>
      <c r="N922" s="6" t="s">
        <v>3243</v>
      </c>
    </row>
    <row r="923" spans="1:14" ht="27">
      <c r="A923" s="123">
        <v>35</v>
      </c>
      <c r="B923" s="81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9" t="s">
        <v>3259</v>
      </c>
      <c r="N923" s="6" t="s">
        <v>128</v>
      </c>
    </row>
    <row r="924" spans="1:14">
      <c r="A924" s="123">
        <v>35</v>
      </c>
      <c r="B924" s="813"/>
      <c r="C924" s="370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7" t="s">
        <v>3077</v>
      </c>
      <c r="L924" s="125" t="s">
        <v>15</v>
      </c>
      <c r="M924" s="399">
        <v>250000</v>
      </c>
      <c r="N924" s="6" t="s">
        <v>3243</v>
      </c>
    </row>
    <row r="925" spans="1:14">
      <c r="A925" s="123">
        <v>35</v>
      </c>
      <c r="B925" s="81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7" t="s">
        <v>3077</v>
      </c>
      <c r="L925" s="125" t="s">
        <v>15</v>
      </c>
      <c r="M925" s="399">
        <v>250000</v>
      </c>
      <c r="N925" s="6" t="s">
        <v>128</v>
      </c>
    </row>
    <row r="926" spans="1:14" ht="18" customHeight="1">
      <c r="A926" s="123">
        <v>35</v>
      </c>
      <c r="B926" s="814"/>
      <c r="C926" s="370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7" t="s">
        <v>3077</v>
      </c>
      <c r="L926" s="125" t="s">
        <v>15</v>
      </c>
      <c r="M926" s="399">
        <v>250000</v>
      </c>
      <c r="N926" s="6" t="s">
        <v>3258</v>
      </c>
    </row>
    <row r="927" spans="1:14">
      <c r="A927" s="123">
        <v>36</v>
      </c>
      <c r="B927" s="807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1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07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1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07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1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07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1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07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1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07" t="s">
        <v>3433</v>
      </c>
      <c r="C932" s="370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07"/>
      <c r="C933" s="370" t="s">
        <v>3442</v>
      </c>
      <c r="D933" s="4" t="s">
        <v>3433</v>
      </c>
      <c r="E933" s="4" t="s">
        <v>3434</v>
      </c>
      <c r="F933" s="397" t="s">
        <v>3443</v>
      </c>
      <c r="G933" s="9" t="s">
        <v>3444</v>
      </c>
      <c r="H933" s="398" t="s">
        <v>3445</v>
      </c>
      <c r="I933" s="9" t="s">
        <v>3446</v>
      </c>
      <c r="J933" s="397"/>
      <c r="K933" s="397" t="s">
        <v>3447</v>
      </c>
      <c r="L933" s="4" t="s">
        <v>3439</v>
      </c>
      <c r="M933" s="410">
        <v>500000</v>
      </c>
      <c r="N933" s="6" t="s">
        <v>3448</v>
      </c>
    </row>
    <row r="934" spans="1:14" ht="27">
      <c r="A934" s="123">
        <v>36</v>
      </c>
      <c r="B934" s="807"/>
      <c r="C934" s="370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7" t="s">
        <v>3454</v>
      </c>
      <c r="L934" s="125" t="s">
        <v>3439</v>
      </c>
      <c r="M934" s="410">
        <v>250000</v>
      </c>
      <c r="N934" s="6" t="s">
        <v>3441</v>
      </c>
    </row>
    <row r="935" spans="1:14" ht="27">
      <c r="A935" s="123">
        <v>36</v>
      </c>
      <c r="B935" s="807"/>
      <c r="C935" s="370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10">
        <v>250000</v>
      </c>
      <c r="N935" s="6" t="s">
        <v>3461</v>
      </c>
    </row>
    <row r="936" spans="1:14" ht="27">
      <c r="A936" s="123">
        <v>36</v>
      </c>
      <c r="B936" s="807"/>
      <c r="C936" s="370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10">
        <v>250000</v>
      </c>
      <c r="N936" s="6" t="s">
        <v>3461</v>
      </c>
    </row>
    <row r="937" spans="1:14" ht="27">
      <c r="A937" s="123">
        <v>36</v>
      </c>
      <c r="B937" s="807"/>
      <c r="C937" s="370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07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10">
        <v>500000</v>
      </c>
      <c r="N938" s="6" t="s">
        <v>3461</v>
      </c>
    </row>
    <row r="939" spans="1:14">
      <c r="A939" s="123">
        <v>37</v>
      </c>
      <c r="B939" s="807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1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07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1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07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1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07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1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07" t="s">
        <v>3485</v>
      </c>
      <c r="C943" s="370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07"/>
      <c r="C944" s="370">
        <v>45902</v>
      </c>
      <c r="D944" s="4" t="s">
        <v>3485</v>
      </c>
      <c r="E944" s="4" t="s">
        <v>3496</v>
      </c>
      <c r="F944" s="4" t="s">
        <v>3497</v>
      </c>
      <c r="G944" s="411" t="s">
        <v>3498</v>
      </c>
      <c r="H944" s="16" t="s">
        <v>3499</v>
      </c>
      <c r="I944" s="193" t="s">
        <v>3500</v>
      </c>
      <c r="J944" s="31"/>
      <c r="K944" s="387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07"/>
      <c r="C945" s="370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07"/>
      <c r="C946" s="370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10">
        <v>250000</v>
      </c>
      <c r="N946" s="6" t="s">
        <v>3517</v>
      </c>
    </row>
    <row r="947" spans="1:14">
      <c r="A947" s="123">
        <v>37</v>
      </c>
      <c r="B947" s="807"/>
      <c r="C947" s="370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7" t="s">
        <v>3522</v>
      </c>
      <c r="L947" s="125" t="s">
        <v>3523</v>
      </c>
      <c r="M947" s="410">
        <v>250000</v>
      </c>
      <c r="N947" s="6" t="s">
        <v>3495</v>
      </c>
    </row>
    <row r="948" spans="1:14" ht="27">
      <c r="A948" s="123">
        <v>37</v>
      </c>
      <c r="B948" s="807"/>
      <c r="C948" s="370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07"/>
      <c r="C949" s="370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10">
        <v>500000</v>
      </c>
      <c r="N949" s="6" t="s">
        <v>3397</v>
      </c>
    </row>
    <row r="950" spans="1:14">
      <c r="A950" s="123">
        <v>37</v>
      </c>
      <c r="B950" s="807"/>
      <c r="C950" s="370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10">
        <v>500000</v>
      </c>
      <c r="N950" s="6" t="s">
        <v>3539</v>
      </c>
    </row>
    <row r="951" spans="1:14">
      <c r="A951" s="123">
        <v>37</v>
      </c>
      <c r="B951" s="807"/>
      <c r="C951" s="370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5" t="s">
        <v>3546</v>
      </c>
      <c r="L951" s="125" t="s">
        <v>84</v>
      </c>
      <c r="M951" s="410">
        <v>1000000</v>
      </c>
      <c r="N951" s="6" t="s">
        <v>3547</v>
      </c>
    </row>
    <row r="952" spans="1:14">
      <c r="A952" s="123">
        <v>37</v>
      </c>
      <c r="B952" s="807"/>
      <c r="C952" s="370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07"/>
      <c r="C953" s="370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10">
        <v>250000</v>
      </c>
      <c r="N953" s="6" t="s">
        <v>3557</v>
      </c>
    </row>
    <row r="954" spans="1:14" ht="27">
      <c r="A954" s="123">
        <v>38</v>
      </c>
      <c r="B954" s="807" t="s">
        <v>175</v>
      </c>
      <c r="C954" s="370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1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07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1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07" t="s">
        <v>3502</v>
      </c>
      <c r="C956" s="370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07"/>
      <c r="C957" s="370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07"/>
      <c r="C958" s="370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07"/>
      <c r="C959" s="370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07"/>
      <c r="C960" s="370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07"/>
      <c r="C961" s="370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07"/>
      <c r="C962" s="370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10">
        <v>500000</v>
      </c>
      <c r="N962" s="6" t="s">
        <v>3610</v>
      </c>
    </row>
    <row r="963" spans="1:14" ht="27">
      <c r="A963" s="123">
        <v>38</v>
      </c>
      <c r="B963" s="807"/>
      <c r="C963" s="370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07"/>
      <c r="C964" s="370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07" t="s">
        <v>3621</v>
      </c>
      <c r="C965" s="370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1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07"/>
      <c r="C966" s="370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1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07"/>
      <c r="C967" s="370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1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07" t="s">
        <v>3502</v>
      </c>
      <c r="C968" s="370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07"/>
      <c r="C969" s="370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07"/>
      <c r="C970" s="370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07"/>
      <c r="C971" s="370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07"/>
      <c r="C972" s="370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07"/>
      <c r="C973" s="370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07"/>
      <c r="C974" s="370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07"/>
      <c r="C975" s="370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10">
        <v>250000</v>
      </c>
      <c r="N975" s="6" t="s">
        <v>3601</v>
      </c>
    </row>
    <row r="976" spans="1:14">
      <c r="A976" s="123">
        <v>40</v>
      </c>
      <c r="B976" s="807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1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07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1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07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1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07" t="s">
        <v>3512</v>
      </c>
      <c r="C979" s="370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07"/>
      <c r="C980" s="370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07"/>
      <c r="C981" s="370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07"/>
      <c r="C982" s="370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07"/>
      <c r="C983" s="370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07"/>
      <c r="C984" s="370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07" t="s">
        <v>3712</v>
      </c>
      <c r="C985" s="403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1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07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1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07" t="s">
        <v>3512</v>
      </c>
      <c r="C987" s="370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07"/>
      <c r="C988" s="370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07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1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07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1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07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1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07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1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07" t="s">
        <v>3502</v>
      </c>
      <c r="C993" s="370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07"/>
      <c r="C994" s="370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07"/>
      <c r="C995" s="370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07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1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07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1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07"/>
      <c r="C998" s="403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1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07" t="s">
        <v>21</v>
      </c>
      <c r="C999" s="370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07"/>
      <c r="C1000" s="370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07"/>
      <c r="C1001" s="370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07"/>
      <c r="C1002" s="370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07"/>
      <c r="C1003" s="370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07"/>
      <c r="C1004" s="370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12">
        <v>300000</v>
      </c>
      <c r="N1004" s="6" t="s">
        <v>3804</v>
      </c>
    </row>
    <row r="1005" spans="1:14">
      <c r="A1005" s="123">
        <v>43</v>
      </c>
      <c r="B1005" s="807"/>
      <c r="C1005" s="370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07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1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07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1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07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1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07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1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07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1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07" t="s">
        <v>3554</v>
      </c>
      <c r="C1011" s="370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07"/>
      <c r="C1012" s="370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07"/>
      <c r="C1013" s="370">
        <v>45959</v>
      </c>
      <c r="D1013" s="4" t="s">
        <v>3540</v>
      </c>
      <c r="E1013" s="4" t="s">
        <v>30</v>
      </c>
      <c r="F1013" s="31" t="s">
        <v>3838</v>
      </c>
      <c r="G1013" s="413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07"/>
      <c r="C1014" s="370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07"/>
      <c r="C1015" s="370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07"/>
      <c r="C1016" s="370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07"/>
      <c r="C1017" s="370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07"/>
      <c r="C1018" s="370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07"/>
      <c r="C1019" s="370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07"/>
      <c r="C1020" s="370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07"/>
      <c r="C1021" s="370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07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1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07"/>
      <c r="C1023" s="403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1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07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1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07"/>
      <c r="C1025" s="403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1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07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1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07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1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07" t="s">
        <v>3885</v>
      </c>
      <c r="C1028" s="370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07"/>
      <c r="C1029" s="370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07"/>
      <c r="C1030" s="370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07"/>
      <c r="C1031" s="370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07"/>
      <c r="C1032" s="370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07"/>
      <c r="C1033" s="370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07"/>
      <c r="C1034" s="370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07"/>
      <c r="C1035" s="370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07" t="s">
        <v>3915</v>
      </c>
      <c r="C1036" s="403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1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07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1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07"/>
      <c r="C1038" s="403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1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07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1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07" t="s">
        <v>21</v>
      </c>
      <c r="C1040" s="370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07"/>
      <c r="C1041" s="370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07"/>
      <c r="C1042" s="370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07"/>
      <c r="C1043" s="370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07"/>
      <c r="C1044" s="370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07"/>
      <c r="C1045" s="370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07"/>
      <c r="C1046" s="370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07"/>
      <c r="C1047" s="370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07"/>
      <c r="C1048" s="370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07" t="s">
        <v>175</v>
      </c>
      <c r="C1049" s="403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1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07"/>
      <c r="C1050" s="403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1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07"/>
      <c r="C1051" s="403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1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07"/>
      <c r="C1052" s="403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1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07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1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07" t="s">
        <v>3554</v>
      </c>
      <c r="C1054" s="370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07"/>
      <c r="C1055" s="370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07"/>
      <c r="C1056" s="370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07"/>
      <c r="C1057" s="370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07"/>
      <c r="C1058" s="370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07"/>
      <c r="C1059" s="370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07"/>
      <c r="C1060" s="370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07"/>
      <c r="C1061" s="370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07"/>
      <c r="C1062" s="370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07"/>
      <c r="C1063" s="370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07"/>
      <c r="C1064" s="370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07"/>
      <c r="C1065" s="370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07"/>
      <c r="C1066" s="370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07"/>
      <c r="C1067" s="370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07"/>
      <c r="C1068" s="370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07"/>
      <c r="C1069" s="370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07"/>
      <c r="C1070" s="370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07"/>
      <c r="C1071" s="370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07" t="s">
        <v>4022</v>
      </c>
      <c r="C1072" s="403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1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07"/>
      <c r="C1073" s="403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1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07"/>
      <c r="C1074" s="403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1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07" t="s">
        <v>3540</v>
      </c>
      <c r="C1075" s="370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07"/>
      <c r="C1076" s="370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07"/>
      <c r="C1077" s="370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07"/>
      <c r="C1078" s="370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07"/>
      <c r="C1079" s="370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07"/>
      <c r="C1080" s="370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07"/>
      <c r="C1081" s="370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07"/>
      <c r="C1082" s="370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07"/>
      <c r="C1083" s="370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07"/>
      <c r="C1084" s="370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07"/>
      <c r="C1085" s="370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07"/>
      <c r="C1086" s="370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07"/>
      <c r="C1087" s="370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07"/>
      <c r="C1088" s="370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07"/>
      <c r="C1089" s="370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07"/>
      <c r="C1090" s="370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07" t="s">
        <v>175</v>
      </c>
      <c r="C1091" s="403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1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07"/>
      <c r="C1092" s="403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1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07"/>
      <c r="C1093" s="403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1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07"/>
      <c r="C1094" s="403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1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07"/>
      <c r="C1095" s="403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1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07"/>
      <c r="C1096" s="403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1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07"/>
      <c r="C1097" s="403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1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07"/>
      <c r="C1098" s="403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1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07"/>
      <c r="C1099" s="403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1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07" t="s">
        <v>3554</v>
      </c>
      <c r="C1100" s="370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07"/>
      <c r="C1101" s="370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07"/>
      <c r="C1102" s="370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07"/>
      <c r="C1103" s="370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07"/>
      <c r="C1104" s="370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07"/>
      <c r="C1105" s="370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07"/>
      <c r="C1106" s="370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07"/>
      <c r="C1107" s="370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07"/>
      <c r="C1108" s="370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07"/>
      <c r="C1109" s="370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07"/>
      <c r="C1110" s="370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07"/>
      <c r="C1111" s="370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07"/>
      <c r="C1112" s="370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07"/>
      <c r="C1113" s="370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4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07"/>
      <c r="C1114" s="370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07" t="s">
        <v>3412</v>
      </c>
      <c r="C1115" s="403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1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07"/>
      <c r="C1116" s="403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1" t="s">
        <v>4028</v>
      </c>
      <c r="J1116" s="4" t="s">
        <v>3564</v>
      </c>
      <c r="K1116" s="4" t="s">
        <v>3708</v>
      </c>
      <c r="L1116" s="4"/>
      <c r="M1116" s="415">
        <v>250000</v>
      </c>
      <c r="N1116" s="416" t="s">
        <v>4155</v>
      </c>
    </row>
    <row r="1117" spans="1:14">
      <c r="A1117" s="123">
        <v>50</v>
      </c>
      <c r="B1117" s="807"/>
      <c r="C1117" s="417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1" t="s">
        <v>4156</v>
      </c>
      <c r="J1117" s="4" t="s">
        <v>664</v>
      </c>
      <c r="K1117" s="4" t="s">
        <v>4158</v>
      </c>
      <c r="L1117" s="4"/>
      <c r="M1117" s="418">
        <v>500000</v>
      </c>
      <c r="N1117" s="4" t="s">
        <v>4155</v>
      </c>
    </row>
    <row r="1118" spans="1:14">
      <c r="A1118" s="123">
        <v>50</v>
      </c>
      <c r="B1118" s="807"/>
      <c r="C1118" s="403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1" t="s">
        <v>3771</v>
      </c>
      <c r="J1118" s="4" t="s">
        <v>737</v>
      </c>
      <c r="K1118" s="4" t="s">
        <v>3828</v>
      </c>
      <c r="L1118" s="4"/>
      <c r="M1118" s="415">
        <v>750000</v>
      </c>
      <c r="N1118" s="416"/>
    </row>
    <row r="1119" spans="1:14">
      <c r="A1119" s="123">
        <v>50</v>
      </c>
      <c r="B1119" s="807"/>
      <c r="C1119" s="403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1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07" t="s">
        <v>21</v>
      </c>
      <c r="C1120" s="370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07"/>
      <c r="C1121" s="370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07"/>
      <c r="C1122" s="370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07"/>
      <c r="C1123" s="370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07"/>
      <c r="C1124" s="370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07"/>
      <c r="C1125" s="370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07"/>
      <c r="C1126" s="370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07"/>
      <c r="C1127" s="370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07"/>
      <c r="C1128" s="370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07"/>
      <c r="C1129" s="370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07"/>
      <c r="C1130" s="370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07"/>
      <c r="C1131" s="370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07" t="s">
        <v>3733</v>
      </c>
      <c r="C1132" s="403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1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07"/>
      <c r="C1133" s="403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1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07"/>
      <c r="C1134" s="403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1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07"/>
      <c r="C1135" s="403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1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07"/>
      <c r="C1136" s="403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1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07"/>
      <c r="C1137" s="403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1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07" t="s">
        <v>21</v>
      </c>
      <c r="C1138" s="403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07"/>
      <c r="C1139" s="370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07"/>
      <c r="C1140" s="370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07"/>
      <c r="C1141" s="370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07"/>
      <c r="C1142" s="370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07"/>
      <c r="C1143" s="370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07"/>
      <c r="C1144" s="370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07"/>
      <c r="C1145" s="370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07"/>
      <c r="C1146" s="370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07"/>
      <c r="C1147" s="370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07"/>
      <c r="C1148" s="370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07"/>
      <c r="C1149" s="370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07" t="s">
        <v>3467</v>
      </c>
      <c r="C1150" s="370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1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07"/>
      <c r="C1151" s="403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1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07"/>
      <c r="C1152" s="403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1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07"/>
      <c r="C1153" s="403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1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07"/>
      <c r="C1154" s="403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1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07"/>
      <c r="C1155" s="403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1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07"/>
      <c r="C1156" s="403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1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07" t="s">
        <v>21</v>
      </c>
      <c r="C1157" s="370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07"/>
      <c r="C1158" s="370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07"/>
      <c r="C1159" s="370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07"/>
      <c r="C1160" s="370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07"/>
      <c r="C1161" s="370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07"/>
      <c r="C1162" s="370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07"/>
      <c r="C1163" s="370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07"/>
      <c r="C1164" s="370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07"/>
      <c r="C1165" s="370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07"/>
      <c r="C1166" s="370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07"/>
      <c r="C1167" s="370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07"/>
      <c r="C1168" s="370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07" t="s">
        <v>175</v>
      </c>
      <c r="C1169" s="370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1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07"/>
      <c r="C1170" s="370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1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07"/>
      <c r="C1171" s="370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1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07"/>
      <c r="C1172" s="370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1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07"/>
      <c r="C1173" s="403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1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07"/>
      <c r="C1174" s="403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1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07"/>
      <c r="C1175" s="403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1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07" t="s">
        <v>4282</v>
      </c>
      <c r="C1176" s="370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9">
        <v>250000</v>
      </c>
      <c r="N1176" s="6" t="s">
        <v>3243</v>
      </c>
    </row>
    <row r="1177" spans="1:14">
      <c r="A1177" s="123">
        <v>53</v>
      </c>
      <c r="B1177" s="807"/>
      <c r="C1177" s="370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9">
        <v>300000</v>
      </c>
      <c r="N1177" s="6" t="s">
        <v>3243</v>
      </c>
    </row>
    <row r="1178" spans="1:14">
      <c r="A1178" s="123">
        <v>53</v>
      </c>
      <c r="B1178" s="807"/>
      <c r="C1178" s="370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9">
        <v>250000</v>
      </c>
      <c r="N1178" s="6" t="s">
        <v>1651</v>
      </c>
    </row>
    <row r="1179" spans="1:14">
      <c r="A1179" s="123">
        <v>53</v>
      </c>
      <c r="B1179" s="807"/>
      <c r="C1179" s="370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9">
        <v>300000</v>
      </c>
      <c r="N1179" s="6" t="s">
        <v>3243</v>
      </c>
    </row>
    <row r="1180" spans="1:14">
      <c r="A1180" s="123">
        <v>53</v>
      </c>
      <c r="B1180" s="807"/>
      <c r="C1180" s="370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9">
        <v>250000</v>
      </c>
      <c r="N1180" s="6" t="s">
        <v>3399</v>
      </c>
    </row>
    <row r="1181" spans="1:14">
      <c r="A1181" s="123">
        <v>53</v>
      </c>
      <c r="B1181" s="807"/>
      <c r="C1181" s="370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9">
        <v>300000</v>
      </c>
      <c r="N1181" s="6" t="s">
        <v>3243</v>
      </c>
    </row>
    <row r="1182" spans="1:14">
      <c r="A1182" s="123">
        <v>53</v>
      </c>
      <c r="B1182" s="807"/>
      <c r="C1182" s="370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9">
        <v>250000</v>
      </c>
      <c r="N1182" s="6" t="s">
        <v>3557</v>
      </c>
    </row>
    <row r="1183" spans="1:14">
      <c r="A1183" s="123">
        <v>53</v>
      </c>
      <c r="B1183" s="807"/>
      <c r="C1183" s="370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07"/>
      <c r="C1184" s="370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07"/>
      <c r="C1185" s="370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9">
        <v>300000</v>
      </c>
      <c r="N1185" s="6" t="s">
        <v>3397</v>
      </c>
    </row>
    <row r="1186" spans="1:14">
      <c r="A1186" s="123">
        <v>1</v>
      </c>
      <c r="B1186" s="807"/>
      <c r="C1186" s="370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9">
        <v>300000</v>
      </c>
      <c r="N1186" s="6" t="s">
        <v>3243</v>
      </c>
    </row>
    <row r="1187" spans="1:14">
      <c r="A1187" s="123">
        <v>1</v>
      </c>
      <c r="B1187" s="807"/>
      <c r="C1187" s="370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9">
        <v>250000</v>
      </c>
      <c r="N1187" s="6" t="s">
        <v>3397</v>
      </c>
    </row>
    <row r="1188" spans="1:14">
      <c r="A1188" s="123">
        <v>1</v>
      </c>
      <c r="B1188" s="807"/>
      <c r="C1188" s="370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9">
        <v>250000</v>
      </c>
      <c r="N1188" s="6" t="s">
        <v>1651</v>
      </c>
    </row>
    <row r="1189" spans="1:14">
      <c r="A1189" s="123">
        <v>2</v>
      </c>
      <c r="B1189" s="805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94">
        <v>750000</v>
      </c>
      <c r="N1189" s="148" t="s">
        <v>4957</v>
      </c>
    </row>
    <row r="1190" spans="1:14">
      <c r="A1190" s="123">
        <v>2</v>
      </c>
      <c r="B1190" s="805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94">
        <v>250000</v>
      </c>
      <c r="N1190" s="148" t="s">
        <v>4957</v>
      </c>
    </row>
    <row r="1191" spans="1:14">
      <c r="A1191" s="123">
        <v>2</v>
      </c>
      <c r="B1191" s="805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94">
        <v>1000000</v>
      </c>
      <c r="N1191" s="148"/>
    </row>
    <row r="1192" spans="1:14">
      <c r="A1192" s="123">
        <v>2</v>
      </c>
      <c r="B1192" s="805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94">
        <v>500000</v>
      </c>
      <c r="N1192" s="148"/>
    </row>
    <row r="1193" spans="1:14">
      <c r="A1193" s="123">
        <v>2</v>
      </c>
      <c r="B1193" s="805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94">
        <v>750000</v>
      </c>
      <c r="N1193" s="148"/>
    </row>
    <row r="1194" spans="1:14">
      <c r="A1194" s="123">
        <v>2</v>
      </c>
      <c r="B1194" s="805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94">
        <v>750000</v>
      </c>
      <c r="N1194" s="148"/>
    </row>
    <row r="1195" spans="1:14">
      <c r="A1195" s="123">
        <v>2</v>
      </c>
      <c r="B1195" s="805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94">
        <v>500000</v>
      </c>
      <c r="N1195" s="148"/>
    </row>
    <row r="1196" spans="1:14">
      <c r="A1196" s="123">
        <v>2</v>
      </c>
      <c r="B1196" s="805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94">
        <v>1000000</v>
      </c>
      <c r="N1196" s="148"/>
    </row>
    <row r="1197" spans="1:14">
      <c r="A1197" s="123">
        <v>2</v>
      </c>
      <c r="B1197" s="805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500">
        <v>900000</v>
      </c>
      <c r="N1197" s="148" t="s">
        <v>4979</v>
      </c>
    </row>
    <row r="1198" spans="1:14">
      <c r="A1198" s="123">
        <v>2</v>
      </c>
      <c r="B1198" s="805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500">
        <v>500000</v>
      </c>
      <c r="N1198" s="148" t="s">
        <v>4979</v>
      </c>
    </row>
    <row r="1199" spans="1:14">
      <c r="A1199" s="123">
        <v>2</v>
      </c>
      <c r="B1199" s="805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500">
        <v>250000</v>
      </c>
      <c r="N1199" s="148" t="s">
        <v>4979</v>
      </c>
    </row>
    <row r="1200" spans="1:14">
      <c r="A1200" s="123">
        <v>2</v>
      </c>
      <c r="B1200" s="805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500">
        <v>300000</v>
      </c>
      <c r="N1200" s="148" t="s">
        <v>4979</v>
      </c>
    </row>
    <row r="1201" spans="1:14">
      <c r="A1201" s="123">
        <v>2</v>
      </c>
      <c r="B1201" s="805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500">
        <v>600000</v>
      </c>
      <c r="N1201" s="148" t="s">
        <v>4979</v>
      </c>
    </row>
    <row r="1202" spans="1:14">
      <c r="A1202" s="123">
        <v>2</v>
      </c>
      <c r="B1202" s="805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500">
        <v>500000</v>
      </c>
      <c r="N1202" s="148" t="s">
        <v>4990</v>
      </c>
    </row>
    <row r="1203" spans="1:14" ht="22.5">
      <c r="A1203" s="123">
        <v>2</v>
      </c>
      <c r="B1203" s="805"/>
      <c r="C1203" s="149" t="s">
        <v>4991</v>
      </c>
      <c r="D1203" s="148" t="s">
        <v>311</v>
      </c>
      <c r="E1203" s="148" t="s">
        <v>675</v>
      </c>
      <c r="F1203" s="484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500">
        <v>1000000</v>
      </c>
      <c r="N1203" s="154" t="s">
        <v>4997</v>
      </c>
    </row>
    <row r="1204" spans="1:14">
      <c r="A1204" s="123">
        <v>2</v>
      </c>
      <c r="B1204" s="805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500">
        <v>500000</v>
      </c>
      <c r="N1204" s="148" t="s">
        <v>1206</v>
      </c>
    </row>
    <row r="1205" spans="1:14">
      <c r="A1205" s="123">
        <v>2</v>
      </c>
      <c r="B1205" s="805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500">
        <v>300000</v>
      </c>
      <c r="N1205" s="148" t="s">
        <v>1206</v>
      </c>
    </row>
    <row r="1206" spans="1:14">
      <c r="A1206" s="123">
        <v>2</v>
      </c>
      <c r="B1206" s="805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500">
        <v>300000</v>
      </c>
      <c r="N1206" s="148" t="s">
        <v>1206</v>
      </c>
    </row>
    <row r="1207" spans="1:14">
      <c r="A1207" s="123">
        <v>2</v>
      </c>
      <c r="B1207" s="805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500">
        <v>500000</v>
      </c>
      <c r="N1207" s="148" t="s">
        <v>1206</v>
      </c>
    </row>
    <row r="1208" spans="1:14">
      <c r="A1208" s="123">
        <v>2</v>
      </c>
      <c r="B1208" s="805"/>
      <c r="C1208" s="950" t="s">
        <v>5007</v>
      </c>
      <c r="D1208" s="948" t="s">
        <v>311</v>
      </c>
      <c r="E1208" s="948" t="s">
        <v>675</v>
      </c>
      <c r="F1208" s="950" t="s">
        <v>337</v>
      </c>
      <c r="G1208" s="950" t="s">
        <v>353</v>
      </c>
      <c r="H1208" s="950" t="s">
        <v>5008</v>
      </c>
      <c r="I1208" s="485" t="s">
        <v>5009</v>
      </c>
      <c r="J1208" s="950" t="s">
        <v>638</v>
      </c>
      <c r="K1208" s="950" t="s">
        <v>713</v>
      </c>
      <c r="L1208" s="948" t="s">
        <v>309</v>
      </c>
      <c r="M1208" s="949">
        <v>250000</v>
      </c>
      <c r="N1208" s="948" t="s">
        <v>4990</v>
      </c>
    </row>
    <row r="1209" spans="1:14">
      <c r="A1209" s="123">
        <v>2</v>
      </c>
      <c r="B1209" s="805"/>
      <c r="C1209" s="950"/>
      <c r="D1209" s="948"/>
      <c r="E1209" s="948"/>
      <c r="F1209" s="950"/>
      <c r="G1209" s="950"/>
      <c r="H1209" s="950"/>
      <c r="I1209" s="485" t="s">
        <v>5010</v>
      </c>
      <c r="J1209" s="950"/>
      <c r="K1209" s="950"/>
      <c r="L1209" s="948"/>
      <c r="M1209" s="949"/>
      <c r="N1209" s="948"/>
    </row>
    <row r="1210" spans="1:14">
      <c r="A1210" s="123">
        <v>2</v>
      </c>
      <c r="B1210" s="805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94">
        <v>250000</v>
      </c>
      <c r="N1210" s="148" t="s">
        <v>4990</v>
      </c>
    </row>
    <row r="1211" spans="1:14">
      <c r="A1211" s="123">
        <v>3</v>
      </c>
      <c r="B1211" s="805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94">
        <v>250000</v>
      </c>
      <c r="N1211" s="148" t="s">
        <v>5015</v>
      </c>
    </row>
    <row r="1212" spans="1:14">
      <c r="A1212" s="123">
        <v>3</v>
      </c>
      <c r="B1212" s="805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94">
        <v>500000</v>
      </c>
      <c r="N1212" s="148" t="s">
        <v>5015</v>
      </c>
    </row>
    <row r="1213" spans="1:14">
      <c r="A1213" s="123">
        <v>3</v>
      </c>
      <c r="B1213" s="805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94">
        <v>1250000</v>
      </c>
      <c r="N1213" s="148"/>
    </row>
    <row r="1214" spans="1:14">
      <c r="A1214" s="123">
        <v>3</v>
      </c>
      <c r="B1214" s="805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94">
        <v>500000</v>
      </c>
      <c r="N1214" s="148"/>
    </row>
    <row r="1215" spans="1:14">
      <c r="A1215" s="123">
        <v>3</v>
      </c>
      <c r="B1215" s="805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94">
        <v>750000</v>
      </c>
      <c r="N1215" s="148"/>
    </row>
    <row r="1216" spans="1:14">
      <c r="A1216" s="123">
        <v>3</v>
      </c>
      <c r="B1216" s="805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94">
        <v>750000</v>
      </c>
      <c r="N1216" s="148"/>
    </row>
    <row r="1217" spans="1:14">
      <c r="A1217" s="123">
        <v>3</v>
      </c>
      <c r="B1217" s="805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94">
        <v>500000</v>
      </c>
      <c r="N1217" s="148"/>
    </row>
    <row r="1218" spans="1:14">
      <c r="A1218" s="123">
        <v>3</v>
      </c>
      <c r="B1218" s="805" t="s">
        <v>5047</v>
      </c>
      <c r="C1218" s="149" t="s">
        <v>5001</v>
      </c>
      <c r="D1218" s="148" t="s">
        <v>311</v>
      </c>
      <c r="E1218" s="148" t="s">
        <v>320</v>
      </c>
      <c r="F1218" s="485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500">
        <v>250000</v>
      </c>
      <c r="N1218" s="148" t="s">
        <v>5025</v>
      </c>
    </row>
    <row r="1219" spans="1:14">
      <c r="A1219" s="123">
        <v>3</v>
      </c>
      <c r="B1219" s="805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500">
        <v>1000000</v>
      </c>
      <c r="N1219" s="148" t="s">
        <v>5025</v>
      </c>
    </row>
    <row r="1220" spans="1:14">
      <c r="A1220" s="123">
        <v>3</v>
      </c>
      <c r="B1220" s="805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500">
        <v>600000</v>
      </c>
      <c r="N1220" s="148" t="s">
        <v>1925</v>
      </c>
    </row>
    <row r="1221" spans="1:14">
      <c r="A1221" s="123">
        <v>3</v>
      </c>
      <c r="B1221" s="805"/>
      <c r="C1221" s="149" t="s">
        <v>5027</v>
      </c>
      <c r="D1221" s="148" t="s">
        <v>311</v>
      </c>
      <c r="E1221" s="148" t="s">
        <v>320</v>
      </c>
      <c r="F1221" s="485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500">
        <v>500000</v>
      </c>
      <c r="N1221" s="148" t="s">
        <v>5032</v>
      </c>
    </row>
    <row r="1222" spans="1:14">
      <c r="A1222" s="123">
        <v>3</v>
      </c>
      <c r="B1222" s="805"/>
      <c r="C1222" s="950" t="s">
        <v>5033</v>
      </c>
      <c r="D1222" s="948" t="s">
        <v>311</v>
      </c>
      <c r="E1222" s="948" t="s">
        <v>675</v>
      </c>
      <c r="F1222" s="149" t="s">
        <v>5034</v>
      </c>
      <c r="G1222" s="149" t="s">
        <v>5036</v>
      </c>
      <c r="H1222" s="950" t="s">
        <v>347</v>
      </c>
      <c r="I1222" s="149" t="s">
        <v>5038</v>
      </c>
      <c r="J1222" s="950"/>
      <c r="K1222" s="950" t="s">
        <v>705</v>
      </c>
      <c r="L1222" s="948" t="s">
        <v>309</v>
      </c>
      <c r="M1222" s="949">
        <v>500000</v>
      </c>
      <c r="N1222" s="948" t="s">
        <v>5032</v>
      </c>
    </row>
    <row r="1223" spans="1:14">
      <c r="A1223" s="123">
        <v>3</v>
      </c>
      <c r="B1223" s="805"/>
      <c r="C1223" s="950"/>
      <c r="D1223" s="948"/>
      <c r="E1223" s="948"/>
      <c r="F1223" s="149" t="s">
        <v>5035</v>
      </c>
      <c r="G1223" s="149" t="s">
        <v>5037</v>
      </c>
      <c r="H1223" s="950"/>
      <c r="I1223" s="149" t="s">
        <v>5039</v>
      </c>
      <c r="J1223" s="950"/>
      <c r="K1223" s="950"/>
      <c r="L1223" s="948"/>
      <c r="M1223" s="949"/>
      <c r="N1223" s="948"/>
    </row>
    <row r="1224" spans="1:14">
      <c r="A1224" s="123">
        <v>3</v>
      </c>
      <c r="B1224" s="805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500">
        <v>300000</v>
      </c>
      <c r="N1224" s="148" t="s">
        <v>5032</v>
      </c>
    </row>
    <row r="1225" spans="1:14">
      <c r="A1225" s="123">
        <v>3</v>
      </c>
      <c r="B1225" s="805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85" t="s">
        <v>5040</v>
      </c>
      <c r="J1225" s="149" t="s">
        <v>638</v>
      </c>
      <c r="K1225" s="148" t="s">
        <v>713</v>
      </c>
      <c r="L1225" s="148" t="s">
        <v>309</v>
      </c>
      <c r="M1225" s="500">
        <v>250000</v>
      </c>
      <c r="N1225" s="148" t="s">
        <v>1925</v>
      </c>
    </row>
    <row r="1226" spans="1:14">
      <c r="A1226" s="123">
        <v>3</v>
      </c>
      <c r="B1226" s="805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85" t="s">
        <v>5043</v>
      </c>
      <c r="J1226" s="149" t="s">
        <v>638</v>
      </c>
      <c r="K1226" s="149" t="s">
        <v>692</v>
      </c>
      <c r="L1226" s="148" t="s">
        <v>309</v>
      </c>
      <c r="M1226" s="500">
        <v>500000</v>
      </c>
      <c r="N1226" s="148" t="s">
        <v>1925</v>
      </c>
    </row>
    <row r="1227" spans="1:14">
      <c r="A1227" s="123">
        <v>3</v>
      </c>
      <c r="B1227" s="805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85" t="s">
        <v>5044</v>
      </c>
      <c r="J1227" s="149" t="s">
        <v>638</v>
      </c>
      <c r="K1227" s="149" t="s">
        <v>731</v>
      </c>
      <c r="L1227" s="148" t="s">
        <v>309</v>
      </c>
      <c r="M1227" s="500">
        <v>300000</v>
      </c>
      <c r="N1227" s="148" t="s">
        <v>1925</v>
      </c>
    </row>
    <row r="1228" spans="1:14">
      <c r="A1228" s="123">
        <v>3</v>
      </c>
      <c r="B1228" s="805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500">
        <v>500000</v>
      </c>
      <c r="N1228" s="148" t="s">
        <v>5032</v>
      </c>
    </row>
    <row r="1229" spans="1:14">
      <c r="A1229" s="123">
        <v>4</v>
      </c>
      <c r="B1229" s="805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94">
        <v>1250000</v>
      </c>
      <c r="N1229" s="148" t="s">
        <v>5049</v>
      </c>
    </row>
    <row r="1230" spans="1:14">
      <c r="A1230" s="123">
        <v>4</v>
      </c>
      <c r="B1230" s="805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94">
        <v>1250000</v>
      </c>
      <c r="N1230" s="148"/>
    </row>
    <row r="1231" spans="1:14">
      <c r="A1231" s="123">
        <v>4</v>
      </c>
      <c r="B1231" s="805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94">
        <v>250000</v>
      </c>
      <c r="N1231" s="148"/>
    </row>
    <row r="1232" spans="1:14">
      <c r="A1232" s="123">
        <v>4</v>
      </c>
      <c r="B1232" s="805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94">
        <v>750000</v>
      </c>
      <c r="N1232" s="148"/>
    </row>
    <row r="1233" spans="1:14">
      <c r="A1233" s="123">
        <v>4</v>
      </c>
      <c r="B1233" s="805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94">
        <v>750000</v>
      </c>
      <c r="N1233" s="148"/>
    </row>
    <row r="1234" spans="1:14">
      <c r="A1234" s="123">
        <v>4</v>
      </c>
      <c r="B1234" s="805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94">
        <v>500000</v>
      </c>
      <c r="N1234" s="148"/>
    </row>
    <row r="1235" spans="1:14">
      <c r="A1235" s="123">
        <v>4</v>
      </c>
      <c r="B1235" s="805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500">
        <v>500000</v>
      </c>
      <c r="N1235" s="148" t="s">
        <v>5065</v>
      </c>
    </row>
    <row r="1236" spans="1:14">
      <c r="A1236" s="123">
        <v>4</v>
      </c>
      <c r="B1236" s="805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500">
        <v>300000</v>
      </c>
      <c r="N1236" s="148" t="s">
        <v>5065</v>
      </c>
    </row>
    <row r="1237" spans="1:14">
      <c r="A1237" s="123">
        <v>4</v>
      </c>
      <c r="B1237" s="805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500">
        <v>750000</v>
      </c>
      <c r="N1237" s="148" t="s">
        <v>5068</v>
      </c>
    </row>
    <row r="1238" spans="1:14">
      <c r="A1238" s="123">
        <v>4</v>
      </c>
      <c r="B1238" s="805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85" t="s">
        <v>5071</v>
      </c>
      <c r="J1238" s="149"/>
      <c r="K1238" s="149" t="s">
        <v>4996</v>
      </c>
      <c r="L1238" s="148" t="s">
        <v>309</v>
      </c>
      <c r="M1238" s="500">
        <v>1000000</v>
      </c>
      <c r="N1238" s="148" t="s">
        <v>1772</v>
      </c>
    </row>
    <row r="1239" spans="1:14" ht="25.5">
      <c r="A1239" s="123">
        <v>4</v>
      </c>
      <c r="B1239" s="805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85" t="s">
        <v>5073</v>
      </c>
      <c r="J1239" s="149" t="s">
        <v>5074</v>
      </c>
      <c r="K1239" s="149" t="s">
        <v>692</v>
      </c>
      <c r="L1239" s="148" t="s">
        <v>309</v>
      </c>
      <c r="M1239" s="500">
        <v>500000</v>
      </c>
      <c r="N1239" s="148" t="s">
        <v>1772</v>
      </c>
    </row>
    <row r="1240" spans="1:14">
      <c r="A1240" s="123">
        <v>4</v>
      </c>
      <c r="B1240" s="805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500">
        <v>250000</v>
      </c>
      <c r="N1240" s="148" t="s">
        <v>3212</v>
      </c>
    </row>
    <row r="1241" spans="1:14">
      <c r="A1241" s="123">
        <v>4</v>
      </c>
      <c r="B1241" s="805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500">
        <v>1500000</v>
      </c>
      <c r="N1241" s="148" t="s">
        <v>3212</v>
      </c>
    </row>
    <row r="1242" spans="1:14" ht="22.5">
      <c r="A1242" s="123">
        <v>4</v>
      </c>
      <c r="B1242" s="805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84" t="s">
        <v>5084</v>
      </c>
      <c r="J1242" s="149" t="s">
        <v>638</v>
      </c>
      <c r="K1242" s="149" t="s">
        <v>3192</v>
      </c>
      <c r="L1242" s="148" t="s">
        <v>309</v>
      </c>
      <c r="M1242" s="500">
        <v>300000</v>
      </c>
      <c r="N1242" s="148" t="s">
        <v>3212</v>
      </c>
    </row>
    <row r="1243" spans="1:14">
      <c r="A1243" s="123">
        <v>5</v>
      </c>
      <c r="B1243" s="805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94">
        <v>1000000</v>
      </c>
      <c r="N1243" s="148" t="s">
        <v>5087</v>
      </c>
    </row>
    <row r="1244" spans="1:14">
      <c r="A1244" s="123">
        <v>5</v>
      </c>
      <c r="B1244" s="805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94">
        <v>1250000</v>
      </c>
      <c r="N1244" s="148"/>
    </row>
    <row r="1245" spans="1:14">
      <c r="A1245" s="123">
        <v>5</v>
      </c>
      <c r="B1245" s="805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94">
        <v>500000</v>
      </c>
      <c r="N1245" s="148"/>
    </row>
    <row r="1246" spans="1:14">
      <c r="A1246" s="123">
        <v>5</v>
      </c>
      <c r="B1246" s="805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94">
        <v>750000</v>
      </c>
      <c r="N1246" s="148"/>
    </row>
    <row r="1247" spans="1:14">
      <c r="A1247" s="123">
        <v>5</v>
      </c>
      <c r="B1247" s="805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94">
        <v>500000</v>
      </c>
      <c r="N1247" s="148"/>
    </row>
    <row r="1248" spans="1:14">
      <c r="A1248" s="123">
        <v>5</v>
      </c>
      <c r="B1248" s="805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94">
        <v>750000</v>
      </c>
      <c r="N1248" s="148"/>
    </row>
    <row r="1249" spans="1:14">
      <c r="A1249" s="123">
        <v>5</v>
      </c>
      <c r="B1249" s="805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500">
        <v>500000</v>
      </c>
      <c r="N1249" s="148" t="s">
        <v>1206</v>
      </c>
    </row>
    <row r="1250" spans="1:14">
      <c r="A1250" s="123">
        <v>5</v>
      </c>
      <c r="B1250" s="805"/>
      <c r="C1250" s="950" t="s">
        <v>5098</v>
      </c>
      <c r="D1250" s="948" t="s">
        <v>311</v>
      </c>
      <c r="E1250" s="948" t="s">
        <v>675</v>
      </c>
      <c r="F1250" s="948" t="s">
        <v>4986</v>
      </c>
      <c r="G1250" s="948">
        <v>1017</v>
      </c>
      <c r="H1250" s="948" t="s">
        <v>347</v>
      </c>
      <c r="I1250" s="149" t="s">
        <v>5099</v>
      </c>
      <c r="J1250" s="950"/>
      <c r="K1250" s="950" t="s">
        <v>692</v>
      </c>
      <c r="L1250" s="948" t="s">
        <v>309</v>
      </c>
      <c r="M1250" s="949">
        <v>500000</v>
      </c>
      <c r="N1250" s="948" t="s">
        <v>5032</v>
      </c>
    </row>
    <row r="1251" spans="1:14">
      <c r="A1251" s="123">
        <v>5</v>
      </c>
      <c r="B1251" s="805"/>
      <c r="C1251" s="950"/>
      <c r="D1251" s="948"/>
      <c r="E1251" s="948"/>
      <c r="F1251" s="948"/>
      <c r="G1251" s="948"/>
      <c r="H1251" s="948"/>
      <c r="I1251" s="149" t="s">
        <v>5100</v>
      </c>
      <c r="J1251" s="950"/>
      <c r="K1251" s="950"/>
      <c r="L1251" s="948"/>
      <c r="M1251" s="949"/>
      <c r="N1251" s="948"/>
    </row>
    <row r="1252" spans="1:14">
      <c r="A1252" s="123">
        <v>5</v>
      </c>
      <c r="B1252" s="805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85" t="s">
        <v>1426</v>
      </c>
      <c r="J1252" s="149" t="s">
        <v>638</v>
      </c>
      <c r="K1252" s="149" t="s">
        <v>713</v>
      </c>
      <c r="L1252" s="148" t="s">
        <v>309</v>
      </c>
      <c r="M1252" s="500">
        <v>250000</v>
      </c>
      <c r="N1252" s="148" t="s">
        <v>1206</v>
      </c>
    </row>
    <row r="1253" spans="1:14">
      <c r="A1253" s="123">
        <v>5</v>
      </c>
      <c r="B1253" s="805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85" t="s">
        <v>1426</v>
      </c>
      <c r="J1253" s="149" t="s">
        <v>638</v>
      </c>
      <c r="K1253" s="149" t="s">
        <v>3192</v>
      </c>
      <c r="L1253" s="148" t="s">
        <v>309</v>
      </c>
      <c r="M1253" s="500">
        <v>300000</v>
      </c>
      <c r="N1253" s="148" t="s">
        <v>1206</v>
      </c>
    </row>
    <row r="1254" spans="1:14">
      <c r="A1254" s="123">
        <v>5</v>
      </c>
      <c r="B1254" s="805"/>
      <c r="C1254" s="950" t="s">
        <v>5103</v>
      </c>
      <c r="D1254" s="948" t="s">
        <v>311</v>
      </c>
      <c r="E1254" s="948" t="s">
        <v>675</v>
      </c>
      <c r="F1254" s="950" t="s">
        <v>5070</v>
      </c>
      <c r="G1254" s="950">
        <v>3006</v>
      </c>
      <c r="H1254" s="950" t="s">
        <v>347</v>
      </c>
      <c r="I1254" s="485" t="s">
        <v>5104</v>
      </c>
      <c r="J1254" s="950"/>
      <c r="K1254" s="950" t="s">
        <v>705</v>
      </c>
      <c r="L1254" s="948" t="s">
        <v>309</v>
      </c>
      <c r="M1254" s="949">
        <v>500000</v>
      </c>
      <c r="N1254" s="948" t="s">
        <v>5032</v>
      </c>
    </row>
    <row r="1255" spans="1:14">
      <c r="A1255" s="123">
        <v>5</v>
      </c>
      <c r="B1255" s="805"/>
      <c r="C1255" s="950"/>
      <c r="D1255" s="948"/>
      <c r="E1255" s="948"/>
      <c r="F1255" s="950"/>
      <c r="G1255" s="950"/>
      <c r="H1255" s="950"/>
      <c r="I1255" s="485" t="s">
        <v>5105</v>
      </c>
      <c r="J1255" s="950"/>
      <c r="K1255" s="950"/>
      <c r="L1255" s="948"/>
      <c r="M1255" s="949"/>
      <c r="N1255" s="948"/>
    </row>
    <row r="1256" spans="1:14">
      <c r="A1256" s="123">
        <v>5</v>
      </c>
      <c r="B1256" s="805"/>
      <c r="C1256" s="950" t="s">
        <v>5103</v>
      </c>
      <c r="D1256" s="948" t="s">
        <v>311</v>
      </c>
      <c r="E1256" s="948" t="s">
        <v>675</v>
      </c>
      <c r="F1256" s="950" t="s">
        <v>5070</v>
      </c>
      <c r="G1256" s="950">
        <v>3006</v>
      </c>
      <c r="H1256" s="950" t="s">
        <v>347</v>
      </c>
      <c r="I1256" s="485" t="s">
        <v>5104</v>
      </c>
      <c r="J1256" s="950"/>
      <c r="K1256" s="950" t="s">
        <v>4936</v>
      </c>
      <c r="L1256" s="948" t="s">
        <v>309</v>
      </c>
      <c r="M1256" s="949">
        <v>600000</v>
      </c>
      <c r="N1256" s="948" t="s">
        <v>5032</v>
      </c>
    </row>
    <row r="1257" spans="1:14">
      <c r="A1257" s="123">
        <v>5</v>
      </c>
      <c r="B1257" s="805"/>
      <c r="C1257" s="950"/>
      <c r="D1257" s="948"/>
      <c r="E1257" s="948"/>
      <c r="F1257" s="950"/>
      <c r="G1257" s="950"/>
      <c r="H1257" s="950"/>
      <c r="I1257" s="485" t="s">
        <v>5105</v>
      </c>
      <c r="J1257" s="950"/>
      <c r="K1257" s="950"/>
      <c r="L1257" s="948"/>
      <c r="M1257" s="949"/>
      <c r="N1257" s="948"/>
    </row>
    <row r="1258" spans="1:14">
      <c r="A1258" s="123">
        <v>5</v>
      </c>
      <c r="B1258" s="805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500">
        <v>500000</v>
      </c>
      <c r="N1258" s="148" t="s">
        <v>5032</v>
      </c>
    </row>
    <row r="1259" spans="1:14">
      <c r="A1259" s="123">
        <v>6</v>
      </c>
      <c r="B1259" s="805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94">
        <v>500000</v>
      </c>
      <c r="N1259" s="148"/>
    </row>
    <row r="1260" spans="1:14">
      <c r="A1260" s="123">
        <v>6</v>
      </c>
      <c r="B1260" s="805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94">
        <v>750000</v>
      </c>
      <c r="N1260" s="148"/>
    </row>
    <row r="1261" spans="1:14">
      <c r="A1261" s="123">
        <v>6</v>
      </c>
      <c r="B1261" s="805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94">
        <v>500000</v>
      </c>
      <c r="N1261" s="148"/>
    </row>
    <row r="1262" spans="1:14">
      <c r="A1262" s="123">
        <v>6</v>
      </c>
      <c r="B1262" s="805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94">
        <v>750000</v>
      </c>
      <c r="N1262" s="148"/>
    </row>
    <row r="1263" spans="1:14">
      <c r="A1263" s="123">
        <v>6</v>
      </c>
      <c r="B1263" s="805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94">
        <v>1250000</v>
      </c>
      <c r="N1263" s="148"/>
    </row>
    <row r="1264" spans="1:14">
      <c r="A1264" s="123">
        <v>6</v>
      </c>
      <c r="B1264" s="805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85" t="s">
        <v>5112</v>
      </c>
      <c r="J1264" s="149"/>
      <c r="K1264" s="149" t="s">
        <v>713</v>
      </c>
      <c r="L1264" s="148" t="s">
        <v>309</v>
      </c>
      <c r="M1264" s="500">
        <v>250000</v>
      </c>
      <c r="N1264" s="148" t="s">
        <v>5113</v>
      </c>
    </row>
    <row r="1265" spans="1:14">
      <c r="A1265" s="123">
        <v>6</v>
      </c>
      <c r="B1265" s="805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500">
        <v>500000</v>
      </c>
      <c r="N1265" s="148" t="s">
        <v>5113</v>
      </c>
    </row>
    <row r="1266" spans="1:14">
      <c r="A1266" s="123">
        <v>6</v>
      </c>
      <c r="B1266" s="805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85" t="s">
        <v>1426</v>
      </c>
      <c r="J1266" s="149"/>
      <c r="K1266" s="149" t="s">
        <v>713</v>
      </c>
      <c r="L1266" s="148" t="s">
        <v>309</v>
      </c>
      <c r="M1266" s="500">
        <v>250000</v>
      </c>
      <c r="N1266" s="148" t="s">
        <v>5117</v>
      </c>
    </row>
    <row r="1267" spans="1:14">
      <c r="A1267" s="123">
        <v>6</v>
      </c>
      <c r="B1267" s="805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85" t="s">
        <v>5120</v>
      </c>
      <c r="J1267" s="149" t="s">
        <v>638</v>
      </c>
      <c r="K1267" s="149" t="s">
        <v>5121</v>
      </c>
      <c r="L1267" s="148" t="s">
        <v>309</v>
      </c>
      <c r="M1267" s="500">
        <v>300000</v>
      </c>
      <c r="N1267" s="148" t="s">
        <v>1925</v>
      </c>
    </row>
    <row r="1268" spans="1:14">
      <c r="A1268" s="123">
        <v>6</v>
      </c>
      <c r="B1268" s="805"/>
      <c r="C1268" s="950" t="s">
        <v>5122</v>
      </c>
      <c r="D1268" s="948" t="s">
        <v>311</v>
      </c>
      <c r="E1268" s="948" t="s">
        <v>675</v>
      </c>
      <c r="F1268" s="149" t="s">
        <v>5123</v>
      </c>
      <c r="G1268" s="484" t="s">
        <v>5125</v>
      </c>
      <c r="H1268" s="390" t="s">
        <v>347</v>
      </c>
      <c r="I1268" s="950" t="s">
        <v>5128</v>
      </c>
      <c r="J1268" s="950" t="s">
        <v>638</v>
      </c>
      <c r="K1268" s="950" t="s">
        <v>692</v>
      </c>
      <c r="L1268" s="948" t="s">
        <v>309</v>
      </c>
      <c r="M1268" s="949">
        <v>500000</v>
      </c>
      <c r="N1268" s="948" t="s">
        <v>1772</v>
      </c>
    </row>
    <row r="1269" spans="1:14">
      <c r="A1269" s="123">
        <v>6</v>
      </c>
      <c r="B1269" s="805"/>
      <c r="C1269" s="950"/>
      <c r="D1269" s="948"/>
      <c r="E1269" s="948"/>
      <c r="F1269" s="149" t="s">
        <v>5124</v>
      </c>
      <c r="G1269" s="484" t="s">
        <v>5126</v>
      </c>
      <c r="H1269" s="390" t="s">
        <v>5127</v>
      </c>
      <c r="I1269" s="950"/>
      <c r="J1269" s="950"/>
      <c r="K1269" s="950"/>
      <c r="L1269" s="948"/>
      <c r="M1269" s="949"/>
      <c r="N1269" s="948"/>
    </row>
    <row r="1270" spans="1:14" ht="24">
      <c r="A1270" s="123">
        <v>6</v>
      </c>
      <c r="B1270" s="805"/>
      <c r="C1270" s="149" t="s">
        <v>5122</v>
      </c>
      <c r="D1270" s="148" t="s">
        <v>311</v>
      </c>
      <c r="E1270" s="148" t="s">
        <v>320</v>
      </c>
      <c r="F1270" s="485" t="s">
        <v>720</v>
      </c>
      <c r="G1270" s="149" t="s">
        <v>5129</v>
      </c>
      <c r="H1270" s="149" t="s">
        <v>3060</v>
      </c>
      <c r="I1270" s="485" t="s">
        <v>5130</v>
      </c>
      <c r="J1270" s="149" t="s">
        <v>702</v>
      </c>
      <c r="K1270" s="149" t="s">
        <v>5131</v>
      </c>
      <c r="L1270" s="148" t="s">
        <v>309</v>
      </c>
      <c r="M1270" s="500">
        <v>550000</v>
      </c>
      <c r="N1270" s="148" t="s">
        <v>1925</v>
      </c>
    </row>
    <row r="1271" spans="1:14">
      <c r="A1271" s="123">
        <v>6</v>
      </c>
      <c r="B1271" s="805"/>
      <c r="C1271" s="149" t="s">
        <v>5122</v>
      </c>
      <c r="D1271" s="148" t="s">
        <v>311</v>
      </c>
      <c r="E1271" s="148" t="s">
        <v>320</v>
      </c>
      <c r="F1271" s="484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500">
        <v>500000</v>
      </c>
      <c r="N1271" s="148" t="s">
        <v>1206</v>
      </c>
    </row>
    <row r="1272" spans="1:14">
      <c r="A1272" s="123">
        <v>7</v>
      </c>
      <c r="B1272" s="805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94">
        <v>500000</v>
      </c>
      <c r="N1272" s="148" t="s">
        <v>5135</v>
      </c>
    </row>
    <row r="1273" spans="1:14">
      <c r="A1273" s="123">
        <v>7</v>
      </c>
      <c r="B1273" s="805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94">
        <v>500000</v>
      </c>
      <c r="N1273" s="148"/>
    </row>
    <row r="1274" spans="1:14">
      <c r="A1274" s="123">
        <v>7</v>
      </c>
      <c r="B1274" s="805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94">
        <v>500000</v>
      </c>
      <c r="N1274" s="148"/>
    </row>
    <row r="1275" spans="1:14">
      <c r="A1275" s="123">
        <v>7</v>
      </c>
      <c r="B1275" s="805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94">
        <v>500000</v>
      </c>
      <c r="N1275" s="148"/>
    </row>
    <row r="1276" spans="1:14">
      <c r="A1276" s="123">
        <v>7</v>
      </c>
      <c r="B1276" s="805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94">
        <v>1000000</v>
      </c>
      <c r="N1276" s="148"/>
    </row>
    <row r="1277" spans="1:14">
      <c r="A1277" s="123">
        <v>7</v>
      </c>
      <c r="B1277" s="805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500">
        <v>500000</v>
      </c>
      <c r="N1277" s="148" t="s">
        <v>1772</v>
      </c>
    </row>
    <row r="1278" spans="1:14" ht="25.5">
      <c r="A1278" s="123">
        <v>7</v>
      </c>
      <c r="B1278" s="805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500">
        <v>300000</v>
      </c>
      <c r="N1278" s="148" t="s">
        <v>1772</v>
      </c>
    </row>
    <row r="1279" spans="1:14">
      <c r="A1279" s="123">
        <v>7</v>
      </c>
      <c r="B1279" s="805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500">
        <v>500000</v>
      </c>
      <c r="N1279" s="148" t="s">
        <v>1772</v>
      </c>
    </row>
    <row r="1280" spans="1:14">
      <c r="A1280" s="123">
        <v>7</v>
      </c>
      <c r="B1280" s="805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500">
        <v>300000</v>
      </c>
      <c r="N1280" s="148" t="s">
        <v>1772</v>
      </c>
    </row>
    <row r="1281" spans="1:14">
      <c r="A1281" s="123">
        <v>8</v>
      </c>
      <c r="B1281" s="805" t="s">
        <v>20</v>
      </c>
      <c r="C1281" s="540" t="s">
        <v>5146</v>
      </c>
      <c r="D1281" s="532" t="s">
        <v>306</v>
      </c>
      <c r="E1281" s="532" t="s">
        <v>322</v>
      </c>
      <c r="F1281" s="532" t="s">
        <v>307</v>
      </c>
      <c r="G1281" s="540" t="s">
        <v>5060</v>
      </c>
      <c r="H1281" s="540" t="s">
        <v>354</v>
      </c>
      <c r="I1281" s="540" t="s">
        <v>4915</v>
      </c>
      <c r="J1281" s="532" t="s">
        <v>664</v>
      </c>
      <c r="K1281" s="532" t="s">
        <v>3182</v>
      </c>
      <c r="L1281" s="532"/>
      <c r="M1281" s="533">
        <v>1250000</v>
      </c>
      <c r="N1281" s="148"/>
    </row>
    <row r="1282" spans="1:14">
      <c r="A1282" s="123">
        <v>8</v>
      </c>
      <c r="B1282" s="805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94">
        <v>1250000</v>
      </c>
      <c r="N1282" s="148"/>
    </row>
    <row r="1283" spans="1:14">
      <c r="A1283" s="123">
        <v>8</v>
      </c>
      <c r="B1283" s="805"/>
      <c r="C1283" s="540" t="s">
        <v>5148</v>
      </c>
      <c r="D1283" s="532" t="s">
        <v>306</v>
      </c>
      <c r="E1283" s="532" t="s">
        <v>322</v>
      </c>
      <c r="F1283" s="532" t="s">
        <v>307</v>
      </c>
      <c r="G1283" s="540" t="s">
        <v>3054</v>
      </c>
      <c r="H1283" s="540" t="s">
        <v>354</v>
      </c>
      <c r="I1283" s="540" t="s">
        <v>310</v>
      </c>
      <c r="J1283" s="532" t="s">
        <v>664</v>
      </c>
      <c r="K1283" s="532" t="s">
        <v>4943</v>
      </c>
      <c r="L1283" s="532"/>
      <c r="M1283" s="533">
        <v>750000</v>
      </c>
      <c r="N1283" s="148"/>
    </row>
    <row r="1284" spans="1:14">
      <c r="A1284" s="123">
        <v>8</v>
      </c>
      <c r="B1284" s="805"/>
      <c r="C1284" s="540" t="s">
        <v>5149</v>
      </c>
      <c r="D1284" s="532" t="s">
        <v>306</v>
      </c>
      <c r="E1284" s="532" t="s">
        <v>322</v>
      </c>
      <c r="F1284" s="532" t="s">
        <v>307</v>
      </c>
      <c r="G1284" s="540" t="s">
        <v>4803</v>
      </c>
      <c r="H1284" s="540" t="s">
        <v>662</v>
      </c>
      <c r="I1284" s="540" t="s">
        <v>1096</v>
      </c>
      <c r="J1284" s="532" t="s">
        <v>664</v>
      </c>
      <c r="K1284" s="532" t="s">
        <v>3101</v>
      </c>
      <c r="L1284" s="532"/>
      <c r="M1284" s="533">
        <v>500000</v>
      </c>
      <c r="N1284" s="148"/>
    </row>
    <row r="1285" spans="1:14">
      <c r="A1285" s="123">
        <v>8</v>
      </c>
      <c r="B1285" s="805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500">
        <v>250000</v>
      </c>
      <c r="N1285" s="148" t="s">
        <v>5152</v>
      </c>
    </row>
    <row r="1286" spans="1:14">
      <c r="A1286" s="123">
        <v>8</v>
      </c>
      <c r="B1286" s="805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500">
        <v>250000</v>
      </c>
      <c r="N1286" s="148" t="s">
        <v>5152</v>
      </c>
    </row>
    <row r="1287" spans="1:14">
      <c r="A1287" s="123">
        <v>8</v>
      </c>
      <c r="B1287" s="805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500">
        <v>300000</v>
      </c>
      <c r="N1287" s="148" t="s">
        <v>1206</v>
      </c>
    </row>
    <row r="1288" spans="1:14">
      <c r="A1288" s="123">
        <v>8</v>
      </c>
      <c r="B1288" s="805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500">
        <v>300000</v>
      </c>
      <c r="N1288" s="148" t="s">
        <v>1206</v>
      </c>
    </row>
    <row r="1289" spans="1:14">
      <c r="A1289" s="123">
        <v>8</v>
      </c>
      <c r="B1289" s="805"/>
      <c r="C1289" s="951" t="s">
        <v>5158</v>
      </c>
      <c r="D1289" s="952" t="s">
        <v>311</v>
      </c>
      <c r="E1289" s="952" t="s">
        <v>675</v>
      </c>
      <c r="F1289" s="515" t="s">
        <v>5123</v>
      </c>
      <c r="G1289" s="516" t="s">
        <v>5125</v>
      </c>
      <c r="H1289" s="516" t="s">
        <v>347</v>
      </c>
      <c r="I1289" s="951" t="s">
        <v>5128</v>
      </c>
      <c r="J1289" s="951"/>
      <c r="K1289" s="951" t="s">
        <v>692</v>
      </c>
      <c r="L1289" s="952" t="s">
        <v>309</v>
      </c>
      <c r="M1289" s="953">
        <v>500000</v>
      </c>
      <c r="N1289" s="948" t="s">
        <v>5032</v>
      </c>
    </row>
    <row r="1290" spans="1:14" ht="19.5">
      <c r="A1290" s="123">
        <v>8</v>
      </c>
      <c r="B1290" s="805"/>
      <c r="C1290" s="950"/>
      <c r="D1290" s="948"/>
      <c r="E1290" s="948"/>
      <c r="F1290" s="149" t="s">
        <v>5124</v>
      </c>
      <c r="G1290" s="484" t="s">
        <v>5126</v>
      </c>
      <c r="H1290" s="486" t="s">
        <v>5127</v>
      </c>
      <c r="I1290" s="950"/>
      <c r="J1290" s="950"/>
      <c r="K1290" s="950"/>
      <c r="L1290" s="948"/>
      <c r="M1290" s="949"/>
      <c r="N1290" s="948"/>
    </row>
    <row r="1291" spans="1:14">
      <c r="A1291" s="123">
        <v>8</v>
      </c>
      <c r="B1291" s="805"/>
      <c r="C1291" s="951" t="s">
        <v>5159</v>
      </c>
      <c r="D1291" s="952" t="s">
        <v>311</v>
      </c>
      <c r="E1291" s="952" t="s">
        <v>320</v>
      </c>
      <c r="F1291" s="954" t="s">
        <v>709</v>
      </c>
      <c r="G1291" s="951" t="s">
        <v>3098</v>
      </c>
      <c r="H1291" s="951" t="s">
        <v>3099</v>
      </c>
      <c r="I1291" s="515" t="s">
        <v>5312</v>
      </c>
      <c r="J1291" s="951" t="s">
        <v>638</v>
      </c>
      <c r="K1291" s="951" t="s">
        <v>713</v>
      </c>
      <c r="L1291" s="952" t="s">
        <v>309</v>
      </c>
      <c r="M1291" s="953">
        <v>250000</v>
      </c>
      <c r="N1291" s="948" t="s">
        <v>5032</v>
      </c>
    </row>
    <row r="1292" spans="1:14">
      <c r="A1292" s="123">
        <v>8</v>
      </c>
      <c r="B1292" s="805"/>
      <c r="C1292" s="950"/>
      <c r="D1292" s="948"/>
      <c r="E1292" s="948"/>
      <c r="F1292" s="955"/>
      <c r="G1292" s="950"/>
      <c r="H1292" s="950"/>
      <c r="I1292" s="149" t="s">
        <v>5160</v>
      </c>
      <c r="J1292" s="950"/>
      <c r="K1292" s="950"/>
      <c r="L1292" s="948"/>
      <c r="M1292" s="949"/>
      <c r="N1292" s="948"/>
    </row>
    <row r="1293" spans="1:14">
      <c r="A1293" s="123">
        <v>8</v>
      </c>
      <c r="B1293" s="805"/>
      <c r="C1293" s="951" t="s">
        <v>5161</v>
      </c>
      <c r="D1293" s="952" t="s">
        <v>311</v>
      </c>
      <c r="E1293" s="952" t="s">
        <v>320</v>
      </c>
      <c r="F1293" s="951" t="s">
        <v>337</v>
      </c>
      <c r="G1293" s="951" t="s">
        <v>3168</v>
      </c>
      <c r="H1293" s="951" t="s">
        <v>3057</v>
      </c>
      <c r="I1293" s="515" t="s">
        <v>5313</v>
      </c>
      <c r="J1293" s="951" t="s">
        <v>638</v>
      </c>
      <c r="K1293" s="951" t="s">
        <v>692</v>
      </c>
      <c r="L1293" s="952" t="s">
        <v>309</v>
      </c>
      <c r="M1293" s="953">
        <v>500000</v>
      </c>
      <c r="N1293" s="948" t="s">
        <v>1206</v>
      </c>
    </row>
    <row r="1294" spans="1:14">
      <c r="A1294" s="123">
        <v>8</v>
      </c>
      <c r="B1294" s="805"/>
      <c r="C1294" s="950"/>
      <c r="D1294" s="948"/>
      <c r="E1294" s="948"/>
      <c r="F1294" s="950"/>
      <c r="G1294" s="950"/>
      <c r="H1294" s="950"/>
      <c r="I1294" s="149" t="s">
        <v>5162</v>
      </c>
      <c r="J1294" s="950"/>
      <c r="K1294" s="950"/>
      <c r="L1294" s="948"/>
      <c r="M1294" s="949"/>
      <c r="N1294" s="948"/>
    </row>
    <row r="1295" spans="1:14">
      <c r="A1295" s="123">
        <v>9</v>
      </c>
      <c r="B1295" s="805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94">
        <v>600000</v>
      </c>
      <c r="N1295" s="148" t="s">
        <v>5135</v>
      </c>
    </row>
    <row r="1296" spans="1:14">
      <c r="A1296" s="123">
        <v>9</v>
      </c>
      <c r="B1296" s="805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94">
        <v>300000</v>
      </c>
      <c r="N1296" s="148" t="s">
        <v>5165</v>
      </c>
    </row>
    <row r="1297" spans="1:14">
      <c r="A1297" s="123">
        <v>9</v>
      </c>
      <c r="B1297" s="805"/>
      <c r="C1297" s="502" t="s">
        <v>5166</v>
      </c>
      <c r="D1297" s="503" t="s">
        <v>306</v>
      </c>
      <c r="E1297" s="503" t="s">
        <v>322</v>
      </c>
      <c r="F1297" s="503" t="s">
        <v>307</v>
      </c>
      <c r="G1297" s="502" t="s">
        <v>5167</v>
      </c>
      <c r="H1297" s="502" t="s">
        <v>662</v>
      </c>
      <c r="I1297" s="502" t="s">
        <v>1096</v>
      </c>
      <c r="J1297" s="503" t="s">
        <v>664</v>
      </c>
      <c r="K1297" s="503" t="s">
        <v>4971</v>
      </c>
      <c r="L1297" s="503"/>
      <c r="M1297" s="504">
        <v>500000</v>
      </c>
      <c r="N1297" s="148"/>
    </row>
    <row r="1298" spans="1:14">
      <c r="A1298" s="123">
        <v>9</v>
      </c>
      <c r="B1298" s="805"/>
      <c r="C1298" s="502" t="s">
        <v>5168</v>
      </c>
      <c r="D1298" s="503" t="s">
        <v>306</v>
      </c>
      <c r="E1298" s="503" t="s">
        <v>322</v>
      </c>
      <c r="F1298" s="503" t="s">
        <v>307</v>
      </c>
      <c r="G1298" s="502">
        <v>1570</v>
      </c>
      <c r="H1298" s="502" t="s">
        <v>3175</v>
      </c>
      <c r="I1298" s="502" t="s">
        <v>5018</v>
      </c>
      <c r="J1298" s="503" t="s">
        <v>664</v>
      </c>
      <c r="K1298" s="503" t="s">
        <v>4971</v>
      </c>
      <c r="L1298" s="503"/>
      <c r="M1298" s="504">
        <v>500000</v>
      </c>
      <c r="N1298" s="148"/>
    </row>
    <row r="1299" spans="1:14">
      <c r="A1299" s="123">
        <v>9</v>
      </c>
      <c r="B1299" s="805"/>
      <c r="C1299" s="540" t="s">
        <v>5169</v>
      </c>
      <c r="D1299" s="532" t="s">
        <v>306</v>
      </c>
      <c r="E1299" s="532" t="s">
        <v>322</v>
      </c>
      <c r="F1299" s="532" t="s">
        <v>307</v>
      </c>
      <c r="G1299" s="540">
        <v>8263</v>
      </c>
      <c r="H1299" s="540" t="s">
        <v>3175</v>
      </c>
      <c r="I1299" s="540" t="s">
        <v>1096</v>
      </c>
      <c r="J1299" s="532" t="s">
        <v>664</v>
      </c>
      <c r="K1299" s="532" t="s">
        <v>4961</v>
      </c>
      <c r="L1299" s="532"/>
      <c r="M1299" s="533">
        <v>1000000</v>
      </c>
      <c r="N1299" s="148"/>
    </row>
    <row r="1300" spans="1:14">
      <c r="A1300" s="123">
        <v>9</v>
      </c>
      <c r="B1300" s="805"/>
      <c r="C1300" s="540" t="s">
        <v>5166</v>
      </c>
      <c r="D1300" s="532" t="s">
        <v>306</v>
      </c>
      <c r="E1300" s="532" t="s">
        <v>322</v>
      </c>
      <c r="F1300" s="532" t="s">
        <v>307</v>
      </c>
      <c r="G1300" s="540">
        <v>594</v>
      </c>
      <c r="H1300" s="540" t="s">
        <v>1047</v>
      </c>
      <c r="I1300" s="540" t="s">
        <v>4915</v>
      </c>
      <c r="J1300" s="532" t="s">
        <v>664</v>
      </c>
      <c r="K1300" s="532" t="s">
        <v>3101</v>
      </c>
      <c r="L1300" s="532"/>
      <c r="M1300" s="533">
        <v>500000</v>
      </c>
      <c r="N1300" s="148"/>
    </row>
    <row r="1301" spans="1:14">
      <c r="A1301" s="123">
        <v>9</v>
      </c>
      <c r="B1301" s="805"/>
      <c r="C1301" s="540" t="s">
        <v>5168</v>
      </c>
      <c r="D1301" s="532" t="s">
        <v>306</v>
      </c>
      <c r="E1301" s="532" t="s">
        <v>322</v>
      </c>
      <c r="F1301" s="532" t="s">
        <v>307</v>
      </c>
      <c r="G1301" s="540" t="s">
        <v>4938</v>
      </c>
      <c r="H1301" s="540" t="s">
        <v>1911</v>
      </c>
      <c r="I1301" s="540" t="s">
        <v>1096</v>
      </c>
      <c r="J1301" s="532" t="s">
        <v>664</v>
      </c>
      <c r="K1301" s="532" t="s">
        <v>3101</v>
      </c>
      <c r="L1301" s="532"/>
      <c r="M1301" s="533">
        <v>500000</v>
      </c>
      <c r="N1301" s="148"/>
    </row>
    <row r="1302" spans="1:14">
      <c r="A1302" s="123">
        <v>9</v>
      </c>
      <c r="B1302" s="805" t="s">
        <v>5196</v>
      </c>
      <c r="C1302" s="515" t="s">
        <v>5171</v>
      </c>
      <c r="D1302" s="517" t="s">
        <v>311</v>
      </c>
      <c r="E1302" s="517" t="s">
        <v>320</v>
      </c>
      <c r="F1302" s="515" t="s">
        <v>337</v>
      </c>
      <c r="G1302" s="515" t="s">
        <v>3168</v>
      </c>
      <c r="H1302" s="515" t="s">
        <v>3057</v>
      </c>
      <c r="I1302" s="515" t="s">
        <v>5314</v>
      </c>
      <c r="J1302" s="515"/>
      <c r="K1302" s="515" t="s">
        <v>692</v>
      </c>
      <c r="L1302" s="517" t="s">
        <v>309</v>
      </c>
      <c r="M1302" s="518">
        <v>600000</v>
      </c>
      <c r="N1302" s="148" t="s">
        <v>5172</v>
      </c>
    </row>
    <row r="1303" spans="1:14">
      <c r="A1303" s="123">
        <v>9</v>
      </c>
      <c r="B1303" s="805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500">
        <v>600000</v>
      </c>
      <c r="N1303" s="148" t="s">
        <v>5172</v>
      </c>
    </row>
    <row r="1304" spans="1:14">
      <c r="A1304" s="123">
        <v>9</v>
      </c>
      <c r="B1304" s="805"/>
      <c r="C1304" s="951" t="s">
        <v>5175</v>
      </c>
      <c r="D1304" s="952" t="s">
        <v>311</v>
      </c>
      <c r="E1304" s="952" t="s">
        <v>320</v>
      </c>
      <c r="F1304" s="951" t="s">
        <v>337</v>
      </c>
      <c r="G1304" s="951" t="s">
        <v>3168</v>
      </c>
      <c r="H1304" s="951" t="s">
        <v>3057</v>
      </c>
      <c r="I1304" s="519" t="s">
        <v>5176</v>
      </c>
      <c r="J1304" s="951" t="s">
        <v>638</v>
      </c>
      <c r="K1304" s="951" t="s">
        <v>713</v>
      </c>
      <c r="L1304" s="952" t="s">
        <v>309</v>
      </c>
      <c r="M1304" s="953">
        <v>250000</v>
      </c>
      <c r="N1304" s="948" t="s">
        <v>5032</v>
      </c>
    </row>
    <row r="1305" spans="1:14">
      <c r="A1305" s="123">
        <v>9</v>
      </c>
      <c r="B1305" s="805"/>
      <c r="C1305" s="950"/>
      <c r="D1305" s="948"/>
      <c r="E1305" s="948"/>
      <c r="F1305" s="950"/>
      <c r="G1305" s="950"/>
      <c r="H1305" s="950"/>
      <c r="I1305" s="485" t="s">
        <v>5177</v>
      </c>
      <c r="J1305" s="950"/>
      <c r="K1305" s="950"/>
      <c r="L1305" s="948"/>
      <c r="M1305" s="949"/>
      <c r="N1305" s="948"/>
    </row>
    <row r="1306" spans="1:14">
      <c r="A1306" s="123">
        <v>9</v>
      </c>
      <c r="B1306" s="805"/>
      <c r="C1306" s="951" t="s">
        <v>5175</v>
      </c>
      <c r="D1306" s="952" t="s">
        <v>311</v>
      </c>
      <c r="E1306" s="952" t="s">
        <v>320</v>
      </c>
      <c r="F1306" s="951" t="s">
        <v>5178</v>
      </c>
      <c r="G1306" s="515" t="s">
        <v>689</v>
      </c>
      <c r="H1306" s="951" t="s">
        <v>5180</v>
      </c>
      <c r="I1306" s="515" t="s">
        <v>5315</v>
      </c>
      <c r="J1306" s="951"/>
      <c r="K1306" s="951" t="s">
        <v>713</v>
      </c>
      <c r="L1306" s="952" t="s">
        <v>309</v>
      </c>
      <c r="M1306" s="953">
        <v>250000</v>
      </c>
      <c r="N1306" s="948" t="s">
        <v>5032</v>
      </c>
    </row>
    <row r="1307" spans="1:14">
      <c r="A1307" s="123">
        <v>9</v>
      </c>
      <c r="B1307" s="805"/>
      <c r="C1307" s="950"/>
      <c r="D1307" s="948"/>
      <c r="E1307" s="948"/>
      <c r="F1307" s="950"/>
      <c r="G1307" s="149" t="s">
        <v>5179</v>
      </c>
      <c r="H1307" s="950"/>
      <c r="I1307" s="149" t="s">
        <v>5181</v>
      </c>
      <c r="J1307" s="950"/>
      <c r="K1307" s="950"/>
      <c r="L1307" s="948"/>
      <c r="M1307" s="949"/>
      <c r="N1307" s="948"/>
    </row>
    <row r="1308" spans="1:14">
      <c r="A1308" s="123">
        <v>9</v>
      </c>
      <c r="B1308" s="805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85" t="s">
        <v>5182</v>
      </c>
      <c r="J1308" s="149"/>
      <c r="K1308" s="149" t="s">
        <v>3192</v>
      </c>
      <c r="L1308" s="148" t="s">
        <v>309</v>
      </c>
      <c r="M1308" s="500">
        <v>300000</v>
      </c>
      <c r="N1308" s="148" t="s">
        <v>1925</v>
      </c>
    </row>
    <row r="1309" spans="1:14">
      <c r="A1309" s="123">
        <v>9</v>
      </c>
      <c r="B1309" s="805"/>
      <c r="C1309" s="951" t="s">
        <v>5183</v>
      </c>
      <c r="D1309" s="952" t="s">
        <v>311</v>
      </c>
      <c r="E1309" s="952" t="s">
        <v>320</v>
      </c>
      <c r="F1309" s="951" t="s">
        <v>337</v>
      </c>
      <c r="G1309" s="515" t="s">
        <v>3401</v>
      </c>
      <c r="H1309" s="951" t="s">
        <v>5029</v>
      </c>
      <c r="I1309" s="951" t="s">
        <v>5316</v>
      </c>
      <c r="J1309" s="951"/>
      <c r="K1309" s="951" t="s">
        <v>692</v>
      </c>
      <c r="L1309" s="952" t="s">
        <v>309</v>
      </c>
      <c r="M1309" s="953">
        <v>500000</v>
      </c>
      <c r="N1309" s="948" t="s">
        <v>5032</v>
      </c>
    </row>
    <row r="1310" spans="1:14">
      <c r="A1310" s="123">
        <v>9</v>
      </c>
      <c r="B1310" s="805"/>
      <c r="C1310" s="950"/>
      <c r="D1310" s="948"/>
      <c r="E1310" s="948"/>
      <c r="F1310" s="950"/>
      <c r="G1310" s="149" t="s">
        <v>5184</v>
      </c>
      <c r="H1310" s="950"/>
      <c r="I1310" s="950"/>
      <c r="J1310" s="950"/>
      <c r="K1310" s="950"/>
      <c r="L1310" s="948"/>
      <c r="M1310" s="949"/>
      <c r="N1310" s="948"/>
    </row>
    <row r="1311" spans="1:14" ht="24">
      <c r="A1311" s="123">
        <v>9</v>
      </c>
      <c r="B1311" s="805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85" t="s">
        <v>5186</v>
      </c>
      <c r="J1311" s="149"/>
      <c r="K1311" s="149" t="s">
        <v>731</v>
      </c>
      <c r="L1311" s="148" t="s">
        <v>309</v>
      </c>
      <c r="M1311" s="500">
        <v>300000</v>
      </c>
      <c r="N1311" s="148" t="s">
        <v>5032</v>
      </c>
    </row>
    <row r="1312" spans="1:14">
      <c r="A1312" s="123">
        <v>9</v>
      </c>
      <c r="B1312" s="805"/>
      <c r="C1312" s="951" t="s">
        <v>5187</v>
      </c>
      <c r="D1312" s="952" t="s">
        <v>311</v>
      </c>
      <c r="E1312" s="952" t="s">
        <v>675</v>
      </c>
      <c r="F1312" s="951" t="s">
        <v>5188</v>
      </c>
      <c r="G1312" s="516" t="s">
        <v>1919</v>
      </c>
      <c r="H1312" s="951" t="s">
        <v>347</v>
      </c>
      <c r="I1312" s="951" t="s">
        <v>5319</v>
      </c>
      <c r="J1312" s="951"/>
      <c r="K1312" s="951" t="s">
        <v>692</v>
      </c>
      <c r="L1312" s="952" t="s">
        <v>309</v>
      </c>
      <c r="M1312" s="956">
        <v>500000</v>
      </c>
      <c r="N1312" s="948" t="s">
        <v>1925</v>
      </c>
    </row>
    <row r="1313" spans="1:14">
      <c r="A1313" s="123">
        <v>9</v>
      </c>
      <c r="B1313" s="805"/>
      <c r="C1313" s="950"/>
      <c r="D1313" s="948"/>
      <c r="E1313" s="948"/>
      <c r="F1313" s="950"/>
      <c r="G1313" s="484" t="s">
        <v>5189</v>
      </c>
      <c r="H1313" s="950"/>
      <c r="I1313" s="950"/>
      <c r="J1313" s="950"/>
      <c r="K1313" s="950"/>
      <c r="L1313" s="948"/>
      <c r="M1313" s="957"/>
      <c r="N1313" s="948"/>
    </row>
    <row r="1314" spans="1:14">
      <c r="A1314" s="123">
        <v>10</v>
      </c>
      <c r="B1314" s="805" t="s">
        <v>5170</v>
      </c>
      <c r="C1314" s="502" t="s">
        <v>5190</v>
      </c>
      <c r="D1314" s="503" t="s">
        <v>306</v>
      </c>
      <c r="E1314" s="503" t="s">
        <v>322</v>
      </c>
      <c r="F1314" s="503" t="s">
        <v>307</v>
      </c>
      <c r="G1314" s="502">
        <v>8263</v>
      </c>
      <c r="H1314" s="502" t="s">
        <v>3175</v>
      </c>
      <c r="I1314" s="502" t="s">
        <v>1096</v>
      </c>
      <c r="J1314" s="503" t="s">
        <v>664</v>
      </c>
      <c r="K1314" s="503" t="s">
        <v>4969</v>
      </c>
      <c r="L1314" s="503"/>
      <c r="M1314" s="504">
        <v>750000</v>
      </c>
      <c r="N1314" s="148"/>
    </row>
    <row r="1315" spans="1:14">
      <c r="A1315" s="123">
        <v>10</v>
      </c>
      <c r="B1315" s="805"/>
      <c r="C1315" s="502" t="s">
        <v>5191</v>
      </c>
      <c r="D1315" s="503" t="s">
        <v>306</v>
      </c>
      <c r="E1315" s="503" t="s">
        <v>322</v>
      </c>
      <c r="F1315" s="503" t="s">
        <v>307</v>
      </c>
      <c r="G1315" s="502" t="s">
        <v>5192</v>
      </c>
      <c r="H1315" s="502" t="s">
        <v>5193</v>
      </c>
      <c r="I1315" s="502" t="s">
        <v>5194</v>
      </c>
      <c r="J1315" s="503" t="s">
        <v>664</v>
      </c>
      <c r="K1315" s="503" t="s">
        <v>4971</v>
      </c>
      <c r="L1315" s="503"/>
      <c r="M1315" s="504">
        <v>500000</v>
      </c>
      <c r="N1315" s="148"/>
    </row>
    <row r="1316" spans="1:14">
      <c r="A1316" s="123">
        <v>10</v>
      </c>
      <c r="B1316" s="805"/>
      <c r="C1316" s="540" t="s">
        <v>5195</v>
      </c>
      <c r="D1316" s="532" t="s">
        <v>306</v>
      </c>
      <c r="E1316" s="532" t="s">
        <v>322</v>
      </c>
      <c r="F1316" s="532" t="s">
        <v>307</v>
      </c>
      <c r="G1316" s="540" t="s">
        <v>4964</v>
      </c>
      <c r="H1316" s="540" t="s">
        <v>347</v>
      </c>
      <c r="I1316" s="540" t="s">
        <v>4915</v>
      </c>
      <c r="J1316" s="532" t="s">
        <v>664</v>
      </c>
      <c r="K1316" s="532" t="s">
        <v>3182</v>
      </c>
      <c r="L1316" s="532"/>
      <c r="M1316" s="533">
        <v>1250000</v>
      </c>
      <c r="N1316" s="148"/>
    </row>
    <row r="1317" spans="1:14">
      <c r="A1317" s="123">
        <v>10</v>
      </c>
      <c r="B1317" s="805"/>
      <c r="C1317" s="540" t="s">
        <v>5195</v>
      </c>
      <c r="D1317" s="532" t="s">
        <v>306</v>
      </c>
      <c r="E1317" s="532" t="s">
        <v>322</v>
      </c>
      <c r="F1317" s="532" t="s">
        <v>307</v>
      </c>
      <c r="G1317" s="540" t="s">
        <v>4803</v>
      </c>
      <c r="H1317" s="540" t="s">
        <v>662</v>
      </c>
      <c r="I1317" s="540" t="s">
        <v>1096</v>
      </c>
      <c r="J1317" s="532" t="s">
        <v>664</v>
      </c>
      <c r="K1317" s="532" t="s">
        <v>3182</v>
      </c>
      <c r="L1317" s="532"/>
      <c r="M1317" s="533">
        <v>1250000</v>
      </c>
      <c r="N1317" s="148"/>
    </row>
    <row r="1318" spans="1:14">
      <c r="A1318" s="123">
        <v>10</v>
      </c>
      <c r="B1318" s="805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85" t="s">
        <v>5197</v>
      </c>
      <c r="J1318" s="149"/>
      <c r="K1318" s="149" t="s">
        <v>731</v>
      </c>
      <c r="L1318" s="148" t="s">
        <v>309</v>
      </c>
      <c r="M1318" s="500">
        <v>300000</v>
      </c>
      <c r="N1318" s="148" t="s">
        <v>5198</v>
      </c>
    </row>
    <row r="1319" spans="1:14">
      <c r="A1319" s="123">
        <v>10</v>
      </c>
      <c r="B1319" s="805"/>
      <c r="C1319" s="515" t="s">
        <v>5317</v>
      </c>
      <c r="D1319" s="517" t="s">
        <v>311</v>
      </c>
      <c r="E1319" s="517" t="s">
        <v>320</v>
      </c>
      <c r="F1319" s="516" t="s">
        <v>337</v>
      </c>
      <c r="G1319" s="515" t="s">
        <v>3054</v>
      </c>
      <c r="H1319" s="515" t="s">
        <v>3057</v>
      </c>
      <c r="I1319" s="515" t="s">
        <v>5318</v>
      </c>
      <c r="J1319" s="515" t="s">
        <v>638</v>
      </c>
      <c r="K1319" s="515" t="s">
        <v>692</v>
      </c>
      <c r="L1319" s="517" t="s">
        <v>309</v>
      </c>
      <c r="M1319" s="518">
        <v>500000</v>
      </c>
      <c r="N1319" s="148" t="s">
        <v>5198</v>
      </c>
    </row>
    <row r="1320" spans="1:14" ht="25.5">
      <c r="A1320" s="123">
        <v>10</v>
      </c>
      <c r="B1320" s="805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500">
        <v>300000</v>
      </c>
      <c r="N1320" s="148" t="s">
        <v>5198</v>
      </c>
    </row>
    <row r="1321" spans="1:14">
      <c r="A1321" s="123">
        <v>10</v>
      </c>
      <c r="B1321" s="805"/>
      <c r="C1321" s="950" t="s">
        <v>5201</v>
      </c>
      <c r="D1321" s="948" t="s">
        <v>311</v>
      </c>
      <c r="E1321" s="948" t="s">
        <v>320</v>
      </c>
      <c r="F1321" s="950" t="s">
        <v>337</v>
      </c>
      <c r="G1321" s="950" t="s">
        <v>3168</v>
      </c>
      <c r="H1321" s="950" t="s">
        <v>3057</v>
      </c>
      <c r="I1321" s="485" t="s">
        <v>5176</v>
      </c>
      <c r="J1321" s="950" t="s">
        <v>638</v>
      </c>
      <c r="K1321" s="950" t="s">
        <v>705</v>
      </c>
      <c r="L1321" s="948" t="s">
        <v>309</v>
      </c>
      <c r="M1321" s="949">
        <v>500000</v>
      </c>
      <c r="N1321" s="948" t="s">
        <v>1206</v>
      </c>
    </row>
    <row r="1322" spans="1:14">
      <c r="A1322" s="123">
        <v>10</v>
      </c>
      <c r="B1322" s="805"/>
      <c r="C1322" s="950"/>
      <c r="D1322" s="948"/>
      <c r="E1322" s="948"/>
      <c r="F1322" s="950"/>
      <c r="G1322" s="950"/>
      <c r="H1322" s="950"/>
      <c r="I1322" s="485" t="s">
        <v>5177</v>
      </c>
      <c r="J1322" s="950"/>
      <c r="K1322" s="950"/>
      <c r="L1322" s="948"/>
      <c r="M1322" s="949"/>
      <c r="N1322" s="948"/>
    </row>
    <row r="1323" spans="1:14">
      <c r="A1323" s="123">
        <v>10</v>
      </c>
      <c r="B1323" s="805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500">
        <v>250000</v>
      </c>
      <c r="N1323" s="148" t="s">
        <v>5032</v>
      </c>
    </row>
    <row r="1324" spans="1:14">
      <c r="A1324" s="123">
        <v>10</v>
      </c>
      <c r="B1324" s="805"/>
      <c r="C1324" s="515" t="s">
        <v>5202</v>
      </c>
      <c r="D1324" s="517" t="s">
        <v>311</v>
      </c>
      <c r="E1324" s="517" t="s">
        <v>675</v>
      </c>
      <c r="F1324" s="515" t="s">
        <v>720</v>
      </c>
      <c r="G1324" s="515" t="s">
        <v>1756</v>
      </c>
      <c r="H1324" s="515" t="s">
        <v>347</v>
      </c>
      <c r="I1324" s="515" t="s">
        <v>5320</v>
      </c>
      <c r="J1324" s="515" t="s">
        <v>638</v>
      </c>
      <c r="K1324" s="515" t="s">
        <v>713</v>
      </c>
      <c r="L1324" s="517" t="s">
        <v>309</v>
      </c>
      <c r="M1324" s="518">
        <v>250000</v>
      </c>
      <c r="N1324" s="148" t="s">
        <v>5032</v>
      </c>
    </row>
    <row r="1325" spans="1:14">
      <c r="A1325" s="123">
        <v>10</v>
      </c>
      <c r="B1325" s="805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500">
        <v>250000</v>
      </c>
      <c r="N1325" s="148" t="s">
        <v>5032</v>
      </c>
    </row>
    <row r="1326" spans="1:14">
      <c r="A1326" s="123">
        <v>10</v>
      </c>
      <c r="B1326" s="805"/>
      <c r="C1326" s="950" t="s">
        <v>5202</v>
      </c>
      <c r="D1326" s="948" t="s">
        <v>311</v>
      </c>
      <c r="E1326" s="948" t="s">
        <v>320</v>
      </c>
      <c r="F1326" s="950" t="s">
        <v>337</v>
      </c>
      <c r="G1326" s="950" t="s">
        <v>3168</v>
      </c>
      <c r="H1326" s="950" t="s">
        <v>3057</v>
      </c>
      <c r="I1326" s="485" t="s">
        <v>5176</v>
      </c>
      <c r="J1326" s="950"/>
      <c r="K1326" s="950" t="s">
        <v>705</v>
      </c>
      <c r="L1326" s="948" t="s">
        <v>309</v>
      </c>
      <c r="M1326" s="949">
        <v>500000</v>
      </c>
      <c r="N1326" s="948" t="s">
        <v>1206</v>
      </c>
    </row>
    <row r="1327" spans="1:14">
      <c r="A1327" s="123">
        <v>10</v>
      </c>
      <c r="B1327" s="805"/>
      <c r="C1327" s="950"/>
      <c r="D1327" s="948"/>
      <c r="E1327" s="948"/>
      <c r="F1327" s="950"/>
      <c r="G1327" s="950"/>
      <c r="H1327" s="950"/>
      <c r="I1327" s="485" t="s">
        <v>5177</v>
      </c>
      <c r="J1327" s="950"/>
      <c r="K1327" s="950"/>
      <c r="L1327" s="948"/>
      <c r="M1327" s="949"/>
      <c r="N1327" s="948"/>
    </row>
    <row r="1328" spans="1:14" ht="25.5">
      <c r="A1328" s="123">
        <v>10</v>
      </c>
      <c r="B1328" s="805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500">
        <v>600000</v>
      </c>
      <c r="N1328" s="148" t="s">
        <v>5032</v>
      </c>
    </row>
    <row r="1329" spans="1:14">
      <c r="A1329" s="123">
        <v>10</v>
      </c>
      <c r="B1329" s="805"/>
      <c r="C1329" s="951" t="s">
        <v>5209</v>
      </c>
      <c r="D1329" s="952" t="s">
        <v>311</v>
      </c>
      <c r="E1329" s="952" t="s">
        <v>675</v>
      </c>
      <c r="F1329" s="515" t="s">
        <v>5210</v>
      </c>
      <c r="G1329" s="951" t="s">
        <v>5212</v>
      </c>
      <c r="H1329" s="951" t="s">
        <v>662</v>
      </c>
      <c r="I1329" s="951" t="s">
        <v>5321</v>
      </c>
      <c r="J1329" s="951" t="s">
        <v>638</v>
      </c>
      <c r="K1329" s="951" t="s">
        <v>713</v>
      </c>
      <c r="L1329" s="952" t="s">
        <v>309</v>
      </c>
      <c r="M1329" s="953">
        <v>250000</v>
      </c>
      <c r="N1329" s="948" t="s">
        <v>5032</v>
      </c>
    </row>
    <row r="1330" spans="1:14">
      <c r="A1330" s="123">
        <v>10</v>
      </c>
      <c r="B1330" s="805"/>
      <c r="C1330" s="950"/>
      <c r="D1330" s="948"/>
      <c r="E1330" s="948"/>
      <c r="F1330" s="149" t="s">
        <v>5211</v>
      </c>
      <c r="G1330" s="950"/>
      <c r="H1330" s="950"/>
      <c r="I1330" s="950"/>
      <c r="J1330" s="950"/>
      <c r="K1330" s="950"/>
      <c r="L1330" s="948"/>
      <c r="M1330" s="949"/>
      <c r="N1330" s="948"/>
    </row>
    <row r="1331" spans="1:14">
      <c r="A1331" s="123">
        <v>10</v>
      </c>
      <c r="B1331" s="805"/>
      <c r="C1331" s="951" t="s">
        <v>5213</v>
      </c>
      <c r="D1331" s="952" t="s">
        <v>311</v>
      </c>
      <c r="E1331" s="952" t="s">
        <v>675</v>
      </c>
      <c r="F1331" s="951" t="s">
        <v>5214</v>
      </c>
      <c r="G1331" s="516" t="s">
        <v>5126</v>
      </c>
      <c r="H1331" s="973" t="s">
        <v>347</v>
      </c>
      <c r="I1331" s="515" t="s">
        <v>5322</v>
      </c>
      <c r="J1331" s="951"/>
      <c r="K1331" s="951" t="s">
        <v>692</v>
      </c>
      <c r="L1331" s="952" t="s">
        <v>309</v>
      </c>
      <c r="M1331" s="953">
        <v>500000</v>
      </c>
      <c r="N1331" s="948" t="s">
        <v>5032</v>
      </c>
    </row>
    <row r="1332" spans="1:14">
      <c r="A1332" s="123">
        <v>10</v>
      </c>
      <c r="B1332" s="805"/>
      <c r="C1332" s="950"/>
      <c r="D1332" s="948"/>
      <c r="E1332" s="948"/>
      <c r="F1332" s="950"/>
      <c r="G1332" s="484" t="s">
        <v>5215</v>
      </c>
      <c r="H1332" s="974"/>
      <c r="I1332" s="149" t="s">
        <v>5217</v>
      </c>
      <c r="J1332" s="950"/>
      <c r="K1332" s="950"/>
      <c r="L1332" s="948"/>
      <c r="M1332" s="949"/>
      <c r="N1332" s="948"/>
    </row>
    <row r="1333" spans="1:14">
      <c r="A1333" s="123">
        <v>11</v>
      </c>
      <c r="B1333" s="805" t="s">
        <v>5233</v>
      </c>
      <c r="C1333" s="485" t="s">
        <v>5218</v>
      </c>
      <c r="D1333" s="487" t="s">
        <v>306</v>
      </c>
      <c r="E1333" s="487" t="s">
        <v>322</v>
      </c>
      <c r="F1333" s="487" t="s">
        <v>307</v>
      </c>
      <c r="G1333" s="485">
        <v>7062</v>
      </c>
      <c r="H1333" s="485" t="s">
        <v>1814</v>
      </c>
      <c r="I1333" s="485" t="s">
        <v>5219</v>
      </c>
      <c r="J1333" s="487" t="s">
        <v>664</v>
      </c>
      <c r="K1333" s="487" t="s">
        <v>5121</v>
      </c>
      <c r="L1333" s="487"/>
      <c r="M1333" s="490">
        <v>300000</v>
      </c>
      <c r="N1333" s="487" t="s">
        <v>5220</v>
      </c>
    </row>
    <row r="1334" spans="1:14">
      <c r="A1334" s="123">
        <v>11</v>
      </c>
      <c r="B1334" s="805"/>
      <c r="C1334" s="505" t="s">
        <v>5221</v>
      </c>
      <c r="D1334" s="506" t="s">
        <v>306</v>
      </c>
      <c r="E1334" s="506" t="s">
        <v>322</v>
      </c>
      <c r="F1334" s="506" t="s">
        <v>307</v>
      </c>
      <c r="G1334" s="505" t="s">
        <v>4938</v>
      </c>
      <c r="H1334" s="505" t="s">
        <v>3175</v>
      </c>
      <c r="I1334" s="505" t="s">
        <v>1096</v>
      </c>
      <c r="J1334" s="506" t="s">
        <v>664</v>
      </c>
      <c r="K1334" s="506" t="s">
        <v>5111</v>
      </c>
      <c r="L1334" s="506"/>
      <c r="M1334" s="507">
        <v>1250000</v>
      </c>
      <c r="N1334" s="487"/>
    </row>
    <row r="1335" spans="1:14">
      <c r="A1335" s="123">
        <v>11</v>
      </c>
      <c r="B1335" s="805"/>
      <c r="C1335" s="541" t="s">
        <v>5221</v>
      </c>
      <c r="D1335" s="534" t="s">
        <v>306</v>
      </c>
      <c r="E1335" s="534" t="s">
        <v>322</v>
      </c>
      <c r="F1335" s="534" t="s">
        <v>307</v>
      </c>
      <c r="G1335" s="541" t="s">
        <v>4938</v>
      </c>
      <c r="H1335" s="541" t="s">
        <v>3175</v>
      </c>
      <c r="I1335" s="541" t="s">
        <v>5327</v>
      </c>
      <c r="J1335" s="534" t="s">
        <v>664</v>
      </c>
      <c r="K1335" s="534" t="s">
        <v>5222</v>
      </c>
      <c r="L1335" s="534"/>
      <c r="M1335" s="535">
        <v>750000</v>
      </c>
      <c r="N1335" s="487"/>
    </row>
    <row r="1336" spans="1:14">
      <c r="A1336" s="123">
        <v>11</v>
      </c>
      <c r="B1336" s="805"/>
      <c r="C1336" s="541" t="s">
        <v>5221</v>
      </c>
      <c r="D1336" s="534" t="s">
        <v>306</v>
      </c>
      <c r="E1336" s="534" t="s">
        <v>322</v>
      </c>
      <c r="F1336" s="534" t="s">
        <v>307</v>
      </c>
      <c r="G1336" s="541" t="s">
        <v>4938</v>
      </c>
      <c r="H1336" s="541" t="s">
        <v>3175</v>
      </c>
      <c r="I1336" s="541" t="s">
        <v>5194</v>
      </c>
      <c r="J1336" s="534" t="s">
        <v>664</v>
      </c>
      <c r="K1336" s="534" t="s">
        <v>5223</v>
      </c>
      <c r="L1336" s="534"/>
      <c r="M1336" s="535">
        <v>500000</v>
      </c>
      <c r="N1336" s="487"/>
    </row>
    <row r="1337" spans="1:14">
      <c r="A1337" s="123">
        <v>11</v>
      </c>
      <c r="B1337" s="805"/>
      <c r="C1337" s="541" t="s">
        <v>5221</v>
      </c>
      <c r="D1337" s="534" t="s">
        <v>306</v>
      </c>
      <c r="E1337" s="534" t="s">
        <v>322</v>
      </c>
      <c r="F1337" s="534" t="s">
        <v>307</v>
      </c>
      <c r="G1337" s="541" t="s">
        <v>5224</v>
      </c>
      <c r="H1337" s="541" t="s">
        <v>3113</v>
      </c>
      <c r="I1337" s="541" t="s">
        <v>4915</v>
      </c>
      <c r="J1337" s="534" t="s">
        <v>664</v>
      </c>
      <c r="K1337" s="534" t="s">
        <v>3182</v>
      </c>
      <c r="L1337" s="534"/>
      <c r="M1337" s="535">
        <v>1250000</v>
      </c>
      <c r="N1337" s="487"/>
    </row>
    <row r="1338" spans="1:14">
      <c r="A1338" s="123">
        <v>11</v>
      </c>
      <c r="B1338" s="805"/>
      <c r="C1338" s="522" t="s">
        <v>5221</v>
      </c>
      <c r="D1338" s="523" t="s">
        <v>306</v>
      </c>
      <c r="E1338" s="523" t="s">
        <v>322</v>
      </c>
      <c r="F1338" s="523" t="s">
        <v>307</v>
      </c>
      <c r="G1338" s="522">
        <v>7062</v>
      </c>
      <c r="H1338" s="522" t="s">
        <v>347</v>
      </c>
      <c r="I1338" s="522" t="s">
        <v>4915</v>
      </c>
      <c r="J1338" s="523" t="s">
        <v>664</v>
      </c>
      <c r="K1338" s="523" t="s">
        <v>692</v>
      </c>
      <c r="L1338" s="523"/>
      <c r="M1338" s="524">
        <v>500000</v>
      </c>
      <c r="N1338" s="487"/>
    </row>
    <row r="1339" spans="1:14">
      <c r="A1339" s="123">
        <v>11</v>
      </c>
      <c r="B1339" s="805" t="s">
        <v>5163</v>
      </c>
      <c r="C1339" s="973" t="s">
        <v>5218</v>
      </c>
      <c r="D1339" s="975" t="s">
        <v>311</v>
      </c>
      <c r="E1339" s="975" t="s">
        <v>675</v>
      </c>
      <c r="F1339" s="973" t="s">
        <v>5214</v>
      </c>
      <c r="G1339" s="519" t="s">
        <v>5126</v>
      </c>
      <c r="H1339" s="973" t="s">
        <v>347</v>
      </c>
      <c r="I1339" s="519" t="s">
        <v>5216</v>
      </c>
      <c r="J1339" s="973"/>
      <c r="K1339" s="973" t="s">
        <v>692</v>
      </c>
      <c r="L1339" s="975" t="s">
        <v>309</v>
      </c>
      <c r="M1339" s="976">
        <v>500000</v>
      </c>
      <c r="N1339" s="974" t="s">
        <v>5225</v>
      </c>
    </row>
    <row r="1340" spans="1:14">
      <c r="A1340" s="123">
        <v>11</v>
      </c>
      <c r="B1340" s="805"/>
      <c r="C1340" s="974"/>
      <c r="D1340" s="971"/>
      <c r="E1340" s="971"/>
      <c r="F1340" s="974"/>
      <c r="G1340" s="485" t="s">
        <v>5215</v>
      </c>
      <c r="H1340" s="974"/>
      <c r="I1340" s="485" t="s">
        <v>5217</v>
      </c>
      <c r="J1340" s="974"/>
      <c r="K1340" s="974"/>
      <c r="L1340" s="971"/>
      <c r="M1340" s="977"/>
      <c r="N1340" s="974"/>
    </row>
    <row r="1341" spans="1:14">
      <c r="A1341" s="123">
        <v>11</v>
      </c>
      <c r="B1341" s="805"/>
      <c r="C1341" s="541" t="s">
        <v>5323</v>
      </c>
      <c r="D1341" s="534" t="s">
        <v>311</v>
      </c>
      <c r="E1341" s="534" t="s">
        <v>320</v>
      </c>
      <c r="F1341" s="541" t="s">
        <v>2601</v>
      </c>
      <c r="G1341" s="541" t="s">
        <v>4924</v>
      </c>
      <c r="H1341" s="541" t="s">
        <v>3113</v>
      </c>
      <c r="I1341" s="541" t="s">
        <v>5324</v>
      </c>
      <c r="J1341" s="522" t="s">
        <v>1111</v>
      </c>
      <c r="K1341" s="522" t="s">
        <v>5226</v>
      </c>
      <c r="L1341" s="523" t="s">
        <v>309</v>
      </c>
      <c r="M1341" s="525">
        <v>500000</v>
      </c>
      <c r="N1341" s="485" t="s">
        <v>5227</v>
      </c>
    </row>
    <row r="1342" spans="1:14">
      <c r="A1342" s="123">
        <v>11</v>
      </c>
      <c r="B1342" s="805"/>
      <c r="C1342" s="488" t="s">
        <v>5228</v>
      </c>
      <c r="D1342" s="489" t="s">
        <v>311</v>
      </c>
      <c r="E1342" s="489" t="s">
        <v>320</v>
      </c>
      <c r="F1342" s="488" t="s">
        <v>337</v>
      </c>
      <c r="G1342" s="488" t="s">
        <v>3168</v>
      </c>
      <c r="H1342" s="488" t="s">
        <v>3057</v>
      </c>
      <c r="I1342" s="488" t="s">
        <v>5229</v>
      </c>
      <c r="J1342" s="488" t="s">
        <v>702</v>
      </c>
      <c r="K1342" s="488" t="s">
        <v>5230</v>
      </c>
      <c r="L1342" s="489" t="s">
        <v>309</v>
      </c>
      <c r="M1342" s="501">
        <v>800000</v>
      </c>
      <c r="N1342" s="485" t="s">
        <v>5231</v>
      </c>
    </row>
    <row r="1343" spans="1:14" ht="36">
      <c r="A1343" s="123">
        <v>11</v>
      </c>
      <c r="B1343" s="805"/>
      <c r="C1343" s="519" t="s">
        <v>5228</v>
      </c>
      <c r="D1343" s="520" t="s">
        <v>311</v>
      </c>
      <c r="E1343" s="520" t="s">
        <v>320</v>
      </c>
      <c r="F1343" s="519" t="s">
        <v>709</v>
      </c>
      <c r="G1343" s="519" t="s">
        <v>3098</v>
      </c>
      <c r="H1343" s="519" t="s">
        <v>3099</v>
      </c>
      <c r="I1343" s="519" t="s">
        <v>5325</v>
      </c>
      <c r="J1343" s="519" t="s">
        <v>638</v>
      </c>
      <c r="K1343" s="519" t="s">
        <v>713</v>
      </c>
      <c r="L1343" s="520" t="s">
        <v>309</v>
      </c>
      <c r="M1343" s="521">
        <v>250000</v>
      </c>
      <c r="N1343" s="485" t="s">
        <v>5232</v>
      </c>
    </row>
    <row r="1344" spans="1:14">
      <c r="A1344" s="123">
        <v>12</v>
      </c>
      <c r="B1344" s="805" t="s">
        <v>5170</v>
      </c>
      <c r="C1344" s="542">
        <v>46102</v>
      </c>
      <c r="D1344" s="536" t="s">
        <v>19</v>
      </c>
      <c r="E1344" s="536" t="s">
        <v>25</v>
      </c>
      <c r="F1344" s="536" t="s">
        <v>307</v>
      </c>
      <c r="G1344" s="543">
        <v>7062</v>
      </c>
      <c r="H1344" s="544" t="s">
        <v>4914</v>
      </c>
      <c r="I1344" s="545" t="s">
        <v>4916</v>
      </c>
      <c r="J1344" s="536" t="s">
        <v>4918</v>
      </c>
      <c r="K1344" s="536" t="s">
        <v>4919</v>
      </c>
      <c r="L1344" s="536"/>
      <c r="M1344" s="537">
        <v>250000</v>
      </c>
      <c r="N1344" s="26"/>
    </row>
    <row r="1345" spans="1:14">
      <c r="A1345" s="123">
        <v>12</v>
      </c>
      <c r="B1345" s="805"/>
      <c r="C1345" s="526">
        <v>46104</v>
      </c>
      <c r="D1345" s="527" t="s">
        <v>19</v>
      </c>
      <c r="E1345" s="527" t="s">
        <v>25</v>
      </c>
      <c r="F1345" s="527" t="s">
        <v>307</v>
      </c>
      <c r="G1345" s="528" t="s">
        <v>4925</v>
      </c>
      <c r="H1345" s="529" t="s">
        <v>4926</v>
      </c>
      <c r="I1345" s="530" t="s">
        <v>5326</v>
      </c>
      <c r="J1345" s="527" t="s">
        <v>4918</v>
      </c>
      <c r="K1345" s="527" t="s">
        <v>4937</v>
      </c>
      <c r="L1345" s="527"/>
      <c r="M1345" s="531">
        <f>250000*2</f>
        <v>500000</v>
      </c>
      <c r="N1345" s="26"/>
    </row>
    <row r="1346" spans="1:14">
      <c r="A1346" s="123">
        <v>12</v>
      </c>
      <c r="B1346" s="805"/>
      <c r="C1346" s="526" t="s">
        <v>4922</v>
      </c>
      <c r="D1346" s="527" t="s">
        <v>19</v>
      </c>
      <c r="E1346" s="527" t="s">
        <v>25</v>
      </c>
      <c r="F1346" s="527" t="s">
        <v>307</v>
      </c>
      <c r="G1346" s="528" t="s">
        <v>4920</v>
      </c>
      <c r="H1346" s="529" t="s">
        <v>4921</v>
      </c>
      <c r="I1346" s="530" t="s">
        <v>4916</v>
      </c>
      <c r="J1346" s="527" t="s">
        <v>4918</v>
      </c>
      <c r="K1346" s="527" t="s">
        <v>4923</v>
      </c>
      <c r="L1346" s="527"/>
      <c r="M1346" s="531">
        <f>250000*4</f>
        <v>1000000</v>
      </c>
      <c r="N1346" s="26"/>
    </row>
    <row r="1347" spans="1:14">
      <c r="A1347" s="123">
        <v>12</v>
      </c>
      <c r="B1347" s="805"/>
      <c r="C1347" s="542" t="s">
        <v>4913</v>
      </c>
      <c r="D1347" s="536" t="s">
        <v>19</v>
      </c>
      <c r="E1347" s="536" t="s">
        <v>25</v>
      </c>
      <c r="F1347" s="536" t="s">
        <v>307</v>
      </c>
      <c r="G1347" s="543" t="s">
        <v>4939</v>
      </c>
      <c r="H1347" s="544" t="s">
        <v>4940</v>
      </c>
      <c r="I1347" s="545" t="s">
        <v>4941</v>
      </c>
      <c r="J1347" s="536" t="s">
        <v>4917</v>
      </c>
      <c r="K1347" s="508" t="s">
        <v>5310</v>
      </c>
      <c r="L1347" s="249"/>
      <c r="M1347" s="514">
        <f>250000*10</f>
        <v>2500000</v>
      </c>
      <c r="N1347" s="26"/>
    </row>
    <row r="1348" spans="1:14">
      <c r="A1348" s="123">
        <v>12</v>
      </c>
      <c r="B1348" s="805"/>
      <c r="C1348" s="476" t="s">
        <v>4945</v>
      </c>
      <c r="D1348" s="249" t="s">
        <v>19</v>
      </c>
      <c r="E1348" s="249" t="s">
        <v>25</v>
      </c>
      <c r="F1348" s="249" t="s">
        <v>307</v>
      </c>
      <c r="G1348" s="470" t="s">
        <v>4939</v>
      </c>
      <c r="H1348" s="471" t="s">
        <v>4950</v>
      </c>
      <c r="I1348" s="250" t="s">
        <v>4949</v>
      </c>
      <c r="J1348" s="249" t="s">
        <v>4942</v>
      </c>
      <c r="K1348" s="633" t="s">
        <v>4946</v>
      </c>
      <c r="L1348" s="538"/>
      <c r="M1348" s="539">
        <f>250000*2</f>
        <v>500000</v>
      </c>
      <c r="N1348" s="26"/>
    </row>
    <row r="1349" spans="1:14">
      <c r="A1349" s="123">
        <v>12</v>
      </c>
      <c r="B1349" s="805"/>
      <c r="C1349" s="476" t="s">
        <v>4913</v>
      </c>
      <c r="D1349" s="249" t="s">
        <v>19</v>
      </c>
      <c r="E1349" s="249" t="s">
        <v>25</v>
      </c>
      <c r="F1349" s="249" t="s">
        <v>307</v>
      </c>
      <c r="G1349" s="470" t="s">
        <v>4947</v>
      </c>
      <c r="H1349" s="471" t="s">
        <v>4948</v>
      </c>
      <c r="I1349" s="250" t="s">
        <v>4949</v>
      </c>
      <c r="J1349" s="249" t="s">
        <v>4942</v>
      </c>
      <c r="K1349" s="536" t="s">
        <v>4944</v>
      </c>
      <c r="L1349" s="538"/>
      <c r="M1349" s="539">
        <f>250000*3</f>
        <v>750000</v>
      </c>
      <c r="N1349" s="26"/>
    </row>
    <row r="1350" spans="1:14">
      <c r="A1350" s="123">
        <v>12</v>
      </c>
      <c r="B1350" s="805" t="s">
        <v>5196</v>
      </c>
      <c r="C1350" s="127">
        <v>46104</v>
      </c>
      <c r="D1350" s="3" t="s">
        <v>21</v>
      </c>
      <c r="E1350" s="3" t="s">
        <v>14</v>
      </c>
      <c r="F1350" s="462" t="s">
        <v>1787</v>
      </c>
      <c r="G1350" s="462" t="s">
        <v>2817</v>
      </c>
      <c r="H1350" s="467" t="s">
        <v>23</v>
      </c>
      <c r="I1350" s="461" t="s">
        <v>4933</v>
      </c>
      <c r="J1350" s="462"/>
      <c r="K1350" s="461" t="s">
        <v>4934</v>
      </c>
      <c r="L1350" s="136" t="s">
        <v>4935</v>
      </c>
      <c r="M1350" s="473">
        <v>500000</v>
      </c>
      <c r="N1350" s="474" t="s">
        <v>4952</v>
      </c>
    </row>
    <row r="1351" spans="1:14">
      <c r="A1351" s="123">
        <v>12</v>
      </c>
      <c r="B1351" s="805"/>
      <c r="C1351" s="127">
        <v>46105</v>
      </c>
      <c r="D1351" s="3" t="s">
        <v>21</v>
      </c>
      <c r="E1351" s="3" t="s">
        <v>14</v>
      </c>
      <c r="F1351" s="462" t="s">
        <v>107</v>
      </c>
      <c r="G1351" s="462" t="s">
        <v>2959</v>
      </c>
      <c r="H1351" s="467" t="s">
        <v>376</v>
      </c>
      <c r="I1351" s="461" t="s">
        <v>4931</v>
      </c>
      <c r="J1351" s="462" t="s">
        <v>4930</v>
      </c>
      <c r="K1351" s="462" t="s">
        <v>487</v>
      </c>
      <c r="L1351" s="136" t="s">
        <v>15</v>
      </c>
      <c r="M1351" s="475">
        <v>500000</v>
      </c>
      <c r="N1351" s="474" t="s">
        <v>4953</v>
      </c>
    </row>
    <row r="1352" spans="1:14" ht="27">
      <c r="A1352" s="123">
        <v>12</v>
      </c>
      <c r="B1352" s="805"/>
      <c r="C1352" s="127">
        <v>46105</v>
      </c>
      <c r="D1352" s="3" t="s">
        <v>21</v>
      </c>
      <c r="E1352" s="3" t="s">
        <v>14</v>
      </c>
      <c r="F1352" s="481" t="s">
        <v>107</v>
      </c>
      <c r="G1352" s="462" t="s">
        <v>3386</v>
      </c>
      <c r="H1352" s="467" t="s">
        <v>23</v>
      </c>
      <c r="I1352" s="461" t="s">
        <v>4932</v>
      </c>
      <c r="J1352" s="462" t="s">
        <v>90</v>
      </c>
      <c r="K1352" s="462" t="s">
        <v>3974</v>
      </c>
      <c r="L1352" s="136" t="s">
        <v>15</v>
      </c>
      <c r="M1352" s="475">
        <v>600000</v>
      </c>
      <c r="N1352" s="474" t="s">
        <v>4954</v>
      </c>
    </row>
    <row r="1353" spans="1:14">
      <c r="A1353" s="123">
        <v>12</v>
      </c>
      <c r="B1353" s="805"/>
      <c r="C1353" s="127">
        <v>46106</v>
      </c>
      <c r="D1353" s="3" t="s">
        <v>21</v>
      </c>
      <c r="E1353" s="3" t="s">
        <v>14</v>
      </c>
      <c r="F1353" s="462" t="s">
        <v>1787</v>
      </c>
      <c r="G1353" s="462" t="s">
        <v>2817</v>
      </c>
      <c r="H1353" s="467" t="s">
        <v>23</v>
      </c>
      <c r="I1353" s="461" t="s">
        <v>4951</v>
      </c>
      <c r="J1353" s="462"/>
      <c r="K1353" s="696" t="s">
        <v>487</v>
      </c>
      <c r="L1353" s="136" t="s">
        <v>15</v>
      </c>
      <c r="M1353" s="473">
        <v>500000</v>
      </c>
      <c r="N1353" s="474" t="s">
        <v>4955</v>
      </c>
    </row>
    <row r="1354" spans="1:14">
      <c r="A1354" s="123">
        <v>13</v>
      </c>
      <c r="B1354" s="805" t="s">
        <v>5309</v>
      </c>
      <c r="C1354" s="400">
        <v>46106</v>
      </c>
      <c r="D1354" s="249" t="s">
        <v>124</v>
      </c>
      <c r="E1354" s="249" t="s">
        <v>151</v>
      </c>
      <c r="F1354" s="249" t="s">
        <v>5254</v>
      </c>
      <c r="G1354" s="470">
        <v>594</v>
      </c>
      <c r="H1354" s="471" t="s">
        <v>264</v>
      </c>
      <c r="I1354" s="250" t="s">
        <v>5255</v>
      </c>
      <c r="J1354" s="249" t="s">
        <v>168</v>
      </c>
      <c r="K1354" s="670" t="s">
        <v>686</v>
      </c>
      <c r="L1354" s="249"/>
      <c r="M1354" s="472">
        <v>250000</v>
      </c>
    </row>
    <row r="1355" spans="1:14">
      <c r="A1355" s="123">
        <v>13</v>
      </c>
      <c r="B1355" s="805"/>
      <c r="C1355" s="400">
        <v>46107</v>
      </c>
      <c r="D1355" s="249" t="s">
        <v>124</v>
      </c>
      <c r="E1355" s="249" t="s">
        <v>151</v>
      </c>
      <c r="F1355" s="249" t="s">
        <v>5254</v>
      </c>
      <c r="G1355" s="470" t="s">
        <v>3589</v>
      </c>
      <c r="H1355" s="471" t="s">
        <v>34</v>
      </c>
      <c r="I1355" s="250" t="s">
        <v>5274</v>
      </c>
      <c r="J1355" s="249"/>
      <c r="K1355" s="249" t="s">
        <v>999</v>
      </c>
      <c r="L1355" s="249"/>
      <c r="M1355" s="472">
        <v>300000</v>
      </c>
      <c r="N1355" s="26"/>
    </row>
    <row r="1356" spans="1:14">
      <c r="A1356" s="123">
        <v>13</v>
      </c>
      <c r="B1356" s="805"/>
      <c r="C1356" s="400">
        <v>46107</v>
      </c>
      <c r="D1356" s="249" t="s">
        <v>49</v>
      </c>
      <c r="E1356" s="249" t="s">
        <v>151</v>
      </c>
      <c r="F1356" s="249" t="s">
        <v>5254</v>
      </c>
      <c r="G1356" s="470" t="s">
        <v>5275</v>
      </c>
      <c r="H1356" s="471" t="s">
        <v>102</v>
      </c>
      <c r="I1356" s="250" t="s">
        <v>4272</v>
      </c>
      <c r="J1356" s="249"/>
      <c r="K1356" s="249" t="s">
        <v>3075</v>
      </c>
      <c r="L1356" s="249"/>
      <c r="M1356" s="472">
        <v>300000</v>
      </c>
      <c r="N1356" s="26"/>
    </row>
    <row r="1357" spans="1:14">
      <c r="A1357" s="123">
        <v>13</v>
      </c>
      <c r="B1357" s="805"/>
      <c r="C1357" s="400">
        <v>46108</v>
      </c>
      <c r="D1357" s="249" t="s">
        <v>49</v>
      </c>
      <c r="E1357" s="249" t="s">
        <v>151</v>
      </c>
      <c r="F1357" s="249" t="s">
        <v>5254</v>
      </c>
      <c r="G1357" s="470" t="s">
        <v>3589</v>
      </c>
      <c r="H1357" s="471" t="s">
        <v>34</v>
      </c>
      <c r="I1357" s="250" t="s">
        <v>5274</v>
      </c>
      <c r="J1357" s="249"/>
      <c r="K1357" s="249" t="s">
        <v>999</v>
      </c>
      <c r="L1357" s="249"/>
      <c r="M1357" s="472">
        <v>300000</v>
      </c>
      <c r="N1357" s="26"/>
    </row>
    <row r="1358" spans="1:14" ht="27">
      <c r="A1358" s="123">
        <v>13</v>
      </c>
      <c r="B1358" s="805"/>
      <c r="C1358" s="512" t="s">
        <v>5297</v>
      </c>
      <c r="D1358" s="508" t="s">
        <v>49</v>
      </c>
      <c r="E1358" s="508" t="s">
        <v>151</v>
      </c>
      <c r="F1358" s="508" t="s">
        <v>5254</v>
      </c>
      <c r="G1358" s="509" t="s">
        <v>4939</v>
      </c>
      <c r="H1358" s="510" t="s">
        <v>482</v>
      </c>
      <c r="I1358" s="511" t="s">
        <v>5298</v>
      </c>
      <c r="J1358" s="508" t="s">
        <v>126</v>
      </c>
      <c r="K1358" s="536" t="s">
        <v>5655</v>
      </c>
      <c r="L1358" s="249"/>
      <c r="M1358" s="514">
        <f>250000*7</f>
        <v>1750000</v>
      </c>
      <c r="N1358" s="26"/>
    </row>
    <row r="1359" spans="1:14" ht="27">
      <c r="A1359" s="123">
        <v>13</v>
      </c>
      <c r="B1359" s="805"/>
      <c r="C1359" s="370" t="s">
        <v>5299</v>
      </c>
      <c r="D1359" s="249" t="s">
        <v>49</v>
      </c>
      <c r="E1359" s="249" t="s">
        <v>151</v>
      </c>
      <c r="F1359" s="249" t="s">
        <v>5254</v>
      </c>
      <c r="G1359" s="470" t="s">
        <v>4939</v>
      </c>
      <c r="H1359" s="471" t="s">
        <v>482</v>
      </c>
      <c r="I1359" s="250" t="s">
        <v>5300</v>
      </c>
      <c r="J1359" s="249" t="s">
        <v>1948</v>
      </c>
      <c r="K1359" s="633" t="s">
        <v>3251</v>
      </c>
      <c r="L1359" s="249"/>
      <c r="M1359" s="472">
        <f>250000*5</f>
        <v>1250000</v>
      </c>
      <c r="N1359" s="26"/>
    </row>
    <row r="1360" spans="1:14" ht="27">
      <c r="A1360" s="123">
        <v>13</v>
      </c>
      <c r="B1360" s="805"/>
      <c r="C1360" s="400" t="s">
        <v>5301</v>
      </c>
      <c r="D1360" s="249" t="s">
        <v>49</v>
      </c>
      <c r="E1360" s="249" t="s">
        <v>151</v>
      </c>
      <c r="F1360" s="249" t="s">
        <v>5254</v>
      </c>
      <c r="G1360" s="470" t="s">
        <v>3386</v>
      </c>
      <c r="H1360" s="471" t="s">
        <v>143</v>
      </c>
      <c r="I1360" s="250" t="s">
        <v>1105</v>
      </c>
      <c r="J1360" s="249" t="s">
        <v>1259</v>
      </c>
      <c r="K1360" s="670" t="s">
        <v>641</v>
      </c>
      <c r="L1360" s="249"/>
      <c r="M1360" s="472">
        <f>250000*2</f>
        <v>500000</v>
      </c>
      <c r="N1360" s="26"/>
    </row>
    <row r="1361" spans="1:14" ht="27">
      <c r="A1361" s="123">
        <v>13</v>
      </c>
      <c r="B1361" s="805"/>
      <c r="C1361" s="400" t="s">
        <v>5302</v>
      </c>
      <c r="D1361" s="249" t="s">
        <v>49</v>
      </c>
      <c r="E1361" s="249" t="s">
        <v>151</v>
      </c>
      <c r="F1361" s="249" t="s">
        <v>5254</v>
      </c>
      <c r="G1361" s="470" t="s">
        <v>4947</v>
      </c>
      <c r="H1361" s="471" t="s">
        <v>102</v>
      </c>
      <c r="I1361" s="250" t="s">
        <v>2497</v>
      </c>
      <c r="J1361" s="249" t="s">
        <v>1259</v>
      </c>
      <c r="K1361" s="670" t="s">
        <v>5305</v>
      </c>
      <c r="L1361" s="249"/>
      <c r="M1361" s="472">
        <f>250000*4</f>
        <v>1000000</v>
      </c>
      <c r="N1361" s="26"/>
    </row>
    <row r="1362" spans="1:14" ht="27">
      <c r="A1362" s="123">
        <v>13</v>
      </c>
      <c r="B1362" s="805"/>
      <c r="C1362" s="513" t="s">
        <v>5303</v>
      </c>
      <c r="D1362" s="508" t="s">
        <v>49</v>
      </c>
      <c r="E1362" s="508" t="s">
        <v>151</v>
      </c>
      <c r="F1362" s="508" t="s">
        <v>5254</v>
      </c>
      <c r="G1362" s="509">
        <v>1614</v>
      </c>
      <c r="H1362" s="510" t="s">
        <v>482</v>
      </c>
      <c r="I1362" s="511" t="s">
        <v>378</v>
      </c>
      <c r="J1362" s="508" t="s">
        <v>126</v>
      </c>
      <c r="K1362" s="508" t="s">
        <v>5311</v>
      </c>
      <c r="L1362" s="249"/>
      <c r="M1362" s="514">
        <f>250000*3</f>
        <v>750000</v>
      </c>
      <c r="N1362" s="26"/>
    </row>
    <row r="1363" spans="1:14">
      <c r="A1363" s="123">
        <v>13</v>
      </c>
      <c r="B1363" s="805" t="s">
        <v>5308</v>
      </c>
      <c r="C1363" s="370">
        <v>46107</v>
      </c>
      <c r="D1363" s="3" t="s">
        <v>21</v>
      </c>
      <c r="E1363" s="3" t="s">
        <v>14</v>
      </c>
      <c r="F1363" s="462" t="s">
        <v>107</v>
      </c>
      <c r="G1363" s="462" t="s">
        <v>1968</v>
      </c>
      <c r="H1363" s="467" t="s">
        <v>376</v>
      </c>
      <c r="I1363" s="461" t="s">
        <v>303</v>
      </c>
      <c r="J1363" s="462" t="s">
        <v>90</v>
      </c>
      <c r="K1363" s="385" t="s">
        <v>686</v>
      </c>
      <c r="L1363" s="136" t="s">
        <v>66</v>
      </c>
      <c r="M1363" s="473">
        <v>250000</v>
      </c>
      <c r="N1363" s="26"/>
    </row>
    <row r="1364" spans="1:14" ht="27">
      <c r="A1364" s="123">
        <v>13</v>
      </c>
      <c r="B1364" s="805"/>
      <c r="C1364" s="400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61" t="s">
        <v>90</v>
      </c>
      <c r="K1364" s="696" t="s">
        <v>41</v>
      </c>
      <c r="L1364" s="125" t="s">
        <v>15</v>
      </c>
      <c r="M1364" s="475">
        <v>250000</v>
      </c>
      <c r="N1364" s="26"/>
    </row>
    <row r="1365" spans="1:14" ht="27">
      <c r="A1365" s="123">
        <v>13</v>
      </c>
      <c r="B1365" s="805"/>
      <c r="C1365" s="400">
        <v>46113</v>
      </c>
      <c r="D1365" s="3" t="s">
        <v>21</v>
      </c>
      <c r="E1365" s="3" t="s">
        <v>14</v>
      </c>
      <c r="F1365" s="462" t="s">
        <v>1788</v>
      </c>
      <c r="G1365" s="481" t="s">
        <v>3332</v>
      </c>
      <c r="H1365" s="467" t="s">
        <v>23</v>
      </c>
      <c r="I1365" s="461" t="s">
        <v>5234</v>
      </c>
      <c r="J1365" s="462"/>
      <c r="K1365" s="692" t="s">
        <v>487</v>
      </c>
      <c r="L1365" s="136" t="s">
        <v>15</v>
      </c>
      <c r="M1365" s="475">
        <v>500000</v>
      </c>
      <c r="N1365" s="26"/>
    </row>
    <row r="1366" spans="1:14" ht="27">
      <c r="A1366" s="123">
        <v>13</v>
      </c>
      <c r="B1366" s="805"/>
      <c r="C1366" s="400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92" t="s">
        <v>487</v>
      </c>
      <c r="L1366" s="125" t="s">
        <v>15</v>
      </c>
      <c r="M1366" s="475">
        <v>500000</v>
      </c>
      <c r="N1366" s="26"/>
    </row>
    <row r="1367" spans="1:14">
      <c r="A1367" s="123">
        <v>13</v>
      </c>
      <c r="B1367" s="805"/>
      <c r="C1367" s="400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61" t="s">
        <v>5287</v>
      </c>
      <c r="J1367" s="462" t="s">
        <v>90</v>
      </c>
      <c r="K1367" s="629" t="s">
        <v>5273</v>
      </c>
      <c r="L1367" s="136" t="s">
        <v>15</v>
      </c>
      <c r="M1367" s="475">
        <f>450000+250000</f>
        <v>700000</v>
      </c>
      <c r="N1367" s="26"/>
    </row>
    <row r="1368" spans="1:14">
      <c r="A1368" s="123">
        <v>13</v>
      </c>
      <c r="B1368" s="805"/>
      <c r="C1368" s="370">
        <v>46115</v>
      </c>
      <c r="D1368" s="3" t="s">
        <v>21</v>
      </c>
      <c r="E1368" s="3" t="s">
        <v>14</v>
      </c>
      <c r="F1368" s="462" t="s">
        <v>1893</v>
      </c>
      <c r="G1368" s="462" t="s">
        <v>4939</v>
      </c>
      <c r="H1368" s="467" t="s">
        <v>34</v>
      </c>
      <c r="I1368" s="461" t="s">
        <v>5296</v>
      </c>
      <c r="J1368" s="461" t="s">
        <v>202</v>
      </c>
      <c r="K1368" s="692" t="s">
        <v>487</v>
      </c>
      <c r="L1368" s="125" t="s">
        <v>15</v>
      </c>
      <c r="M1368" s="475">
        <f>250000*2</f>
        <v>500000</v>
      </c>
      <c r="N1368" s="26"/>
    </row>
    <row r="1369" spans="1:14">
      <c r="A1369" s="123">
        <v>14</v>
      </c>
      <c r="B1369" s="96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75" t="s">
        <v>5401</v>
      </c>
      <c r="J1369" s="576" t="s">
        <v>1111</v>
      </c>
      <c r="K1369" s="635" t="s">
        <v>3105</v>
      </c>
      <c r="L1369" s="487"/>
      <c r="M1369" s="490">
        <v>250000</v>
      </c>
      <c r="N1369" s="971" t="s">
        <v>5443</v>
      </c>
    </row>
    <row r="1370" spans="1:14">
      <c r="A1370" s="123">
        <v>14</v>
      </c>
      <c r="B1370" s="97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77" t="s">
        <v>4964</v>
      </c>
      <c r="H1370" s="577" t="s">
        <v>347</v>
      </c>
      <c r="I1370" s="577" t="s">
        <v>4915</v>
      </c>
      <c r="J1370" s="576" t="s">
        <v>1534</v>
      </c>
      <c r="K1370" s="630" t="s">
        <v>713</v>
      </c>
      <c r="L1370" s="487"/>
      <c r="M1370" s="490">
        <v>250000</v>
      </c>
      <c r="N1370" s="971"/>
    </row>
    <row r="1371" spans="1:14">
      <c r="A1371" s="123">
        <v>14</v>
      </c>
      <c r="B1371" s="970"/>
      <c r="C1371" s="578" t="s">
        <v>5444</v>
      </c>
      <c r="D1371" s="129" t="s">
        <v>306</v>
      </c>
      <c r="E1371" s="129" t="s">
        <v>322</v>
      </c>
      <c r="F1371" s="130" t="s">
        <v>5400</v>
      </c>
      <c r="G1371" s="577" t="s">
        <v>4938</v>
      </c>
      <c r="H1371" s="577" t="s">
        <v>1911</v>
      </c>
      <c r="I1371" s="577" t="s">
        <v>5402</v>
      </c>
      <c r="J1371" s="576" t="s">
        <v>1111</v>
      </c>
      <c r="K1371" s="635" t="s">
        <v>5677</v>
      </c>
      <c r="L1371" s="487"/>
      <c r="M1371" s="490">
        <v>2500000</v>
      </c>
      <c r="N1371" s="580"/>
    </row>
    <row r="1372" spans="1:14">
      <c r="A1372" s="123">
        <v>14</v>
      </c>
      <c r="B1372" s="970"/>
      <c r="C1372" s="130" t="s">
        <v>5445</v>
      </c>
      <c r="D1372" s="576" t="s">
        <v>306</v>
      </c>
      <c r="E1372" s="576" t="s">
        <v>322</v>
      </c>
      <c r="F1372" s="576" t="s">
        <v>5400</v>
      </c>
      <c r="G1372" s="577" t="s">
        <v>4938</v>
      </c>
      <c r="H1372" s="577" t="s">
        <v>1911</v>
      </c>
      <c r="I1372" s="577" t="s">
        <v>5446</v>
      </c>
      <c r="J1372" s="576" t="s">
        <v>5447</v>
      </c>
      <c r="K1372" s="635" t="s">
        <v>4943</v>
      </c>
      <c r="L1372" s="487"/>
      <c r="M1372" s="490">
        <v>750000</v>
      </c>
      <c r="N1372" s="580"/>
    </row>
    <row r="1373" spans="1:14">
      <c r="A1373" s="123">
        <v>14</v>
      </c>
      <c r="B1373" s="97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77" t="s">
        <v>5449</v>
      </c>
      <c r="H1373" s="577" t="s">
        <v>662</v>
      </c>
      <c r="I1373" s="577" t="s">
        <v>5450</v>
      </c>
      <c r="J1373" s="576" t="s">
        <v>1534</v>
      </c>
      <c r="K1373" s="630" t="s">
        <v>713</v>
      </c>
      <c r="L1373" s="487"/>
      <c r="M1373" s="490">
        <v>250000</v>
      </c>
      <c r="N1373" s="580"/>
    </row>
    <row r="1374" spans="1:14">
      <c r="A1374" s="123">
        <v>14</v>
      </c>
      <c r="B1374" s="97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77" t="s">
        <v>5092</v>
      </c>
      <c r="H1374" s="577" t="s">
        <v>347</v>
      </c>
      <c r="I1374" s="577" t="s">
        <v>5452</v>
      </c>
      <c r="J1374" s="576" t="s">
        <v>1534</v>
      </c>
      <c r="K1374" s="630" t="s">
        <v>1054</v>
      </c>
      <c r="L1374" s="487"/>
      <c r="M1374" s="490">
        <v>1000000</v>
      </c>
      <c r="N1374" s="580"/>
    </row>
    <row r="1375" spans="1:14">
      <c r="A1375" s="123">
        <v>14</v>
      </c>
      <c r="B1375" s="970"/>
      <c r="C1375" s="130" t="s">
        <v>5453</v>
      </c>
      <c r="D1375" s="576" t="s">
        <v>306</v>
      </c>
      <c r="E1375" s="576" t="s">
        <v>322</v>
      </c>
      <c r="F1375" s="576" t="s">
        <v>5400</v>
      </c>
      <c r="G1375" s="577" t="s">
        <v>5454</v>
      </c>
      <c r="H1375" s="577" t="s">
        <v>3113</v>
      </c>
      <c r="I1375" s="577" t="s">
        <v>5455</v>
      </c>
      <c r="J1375" s="576" t="s">
        <v>5447</v>
      </c>
      <c r="K1375" s="634" t="s">
        <v>3101</v>
      </c>
      <c r="L1375" s="487"/>
      <c r="M1375" s="490">
        <v>500000</v>
      </c>
      <c r="N1375" s="487"/>
    </row>
    <row r="1376" spans="1:14">
      <c r="A1376" s="123">
        <v>14</v>
      </c>
      <c r="B1376" s="97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77" t="s">
        <v>4938</v>
      </c>
      <c r="H1376" s="577" t="s">
        <v>3113</v>
      </c>
      <c r="I1376" s="577" t="s">
        <v>5458</v>
      </c>
      <c r="J1376" s="576" t="s">
        <v>702</v>
      </c>
      <c r="K1376" s="693" t="s">
        <v>705</v>
      </c>
      <c r="L1376" s="487"/>
      <c r="M1376" s="490">
        <v>500000</v>
      </c>
      <c r="N1376" s="26"/>
    </row>
    <row r="1377" spans="1:14">
      <c r="A1377" s="123">
        <v>14</v>
      </c>
      <c r="B1377" s="97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75" t="s">
        <v>5460</v>
      </c>
      <c r="J1377" s="576" t="s">
        <v>638</v>
      </c>
      <c r="K1377" s="630" t="s">
        <v>713</v>
      </c>
      <c r="L1377" s="487" t="s">
        <v>309</v>
      </c>
      <c r="M1377" s="490">
        <v>250000</v>
      </c>
      <c r="N1377" s="485" t="s">
        <v>5461</v>
      </c>
    </row>
    <row r="1378" spans="1:14" ht="36">
      <c r="A1378" s="123">
        <v>14</v>
      </c>
      <c r="B1378" s="972"/>
      <c r="C1378" s="578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77" t="s">
        <v>5463</v>
      </c>
      <c r="J1378" s="130" t="s">
        <v>638</v>
      </c>
      <c r="K1378" s="632" t="s">
        <v>713</v>
      </c>
      <c r="L1378" s="148" t="s">
        <v>309</v>
      </c>
      <c r="M1378" s="501">
        <v>250000</v>
      </c>
      <c r="N1378" s="485" t="s">
        <v>5464</v>
      </c>
    </row>
    <row r="1379" spans="1:14">
      <c r="A1379" s="123">
        <v>14</v>
      </c>
      <c r="B1379" s="97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28" t="s">
        <v>692</v>
      </c>
      <c r="L1379" s="148" t="s">
        <v>309</v>
      </c>
      <c r="M1379" s="501">
        <v>500000</v>
      </c>
      <c r="N1379" s="485" t="s">
        <v>5466</v>
      </c>
    </row>
    <row r="1380" spans="1:14">
      <c r="A1380" s="123">
        <v>14</v>
      </c>
      <c r="B1380" s="97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28" t="s">
        <v>692</v>
      </c>
      <c r="L1380" s="148" t="s">
        <v>309</v>
      </c>
      <c r="M1380" s="501">
        <v>500000</v>
      </c>
      <c r="N1380" s="485" t="s">
        <v>5466</v>
      </c>
    </row>
    <row r="1381" spans="1:14" ht="22.5">
      <c r="A1381" s="123">
        <v>14</v>
      </c>
      <c r="B1381" s="972"/>
      <c r="C1381" s="130" t="s">
        <v>5468</v>
      </c>
      <c r="D1381" s="129" t="s">
        <v>311</v>
      </c>
      <c r="E1381" s="129" t="s">
        <v>320</v>
      </c>
      <c r="F1381" s="579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28" t="s">
        <v>692</v>
      </c>
      <c r="L1381" s="148" t="s">
        <v>309</v>
      </c>
      <c r="M1381" s="501">
        <v>500000</v>
      </c>
      <c r="N1381" s="485" t="s">
        <v>5466</v>
      </c>
    </row>
    <row r="1382" spans="1:14" ht="22.5">
      <c r="A1382" s="123">
        <v>14</v>
      </c>
      <c r="B1382" s="972"/>
      <c r="C1382" s="130" t="s">
        <v>5470</v>
      </c>
      <c r="D1382" s="129" t="s">
        <v>311</v>
      </c>
      <c r="E1382" s="129" t="s">
        <v>320</v>
      </c>
      <c r="F1382" s="579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28" t="s">
        <v>692</v>
      </c>
      <c r="L1382" s="148" t="s">
        <v>309</v>
      </c>
      <c r="M1382" s="501">
        <v>500000</v>
      </c>
      <c r="N1382" s="485" t="s">
        <v>5466</v>
      </c>
    </row>
    <row r="1383" spans="1:14">
      <c r="A1383" s="123">
        <v>15</v>
      </c>
      <c r="B1383" s="807" t="s">
        <v>20</v>
      </c>
      <c r="C1383" s="583" t="s">
        <v>5489</v>
      </c>
      <c r="D1383" s="94" t="s">
        <v>306</v>
      </c>
      <c r="E1383" s="94" t="s">
        <v>322</v>
      </c>
      <c r="F1383" s="584" t="s">
        <v>5400</v>
      </c>
      <c r="G1383" s="584" t="s">
        <v>5488</v>
      </c>
      <c r="H1383" s="584" t="s">
        <v>23</v>
      </c>
      <c r="I1383" s="585" t="s">
        <v>5509</v>
      </c>
      <c r="J1383" s="94" t="s">
        <v>1111</v>
      </c>
      <c r="K1383" s="591" t="s">
        <v>3974</v>
      </c>
      <c r="L1383" s="45"/>
      <c r="M1383" s="393">
        <v>600000</v>
      </c>
      <c r="N1383" s="592" t="s">
        <v>5487</v>
      </c>
    </row>
    <row r="1384" spans="1:14">
      <c r="A1384" s="123">
        <v>15</v>
      </c>
      <c r="B1384" s="807"/>
      <c r="C1384" s="583">
        <v>46123</v>
      </c>
      <c r="D1384" s="94" t="s">
        <v>306</v>
      </c>
      <c r="E1384" s="94" t="s">
        <v>322</v>
      </c>
      <c r="F1384" s="584" t="s">
        <v>5400</v>
      </c>
      <c r="G1384" s="584" t="s">
        <v>4938</v>
      </c>
      <c r="H1384" s="584" t="s">
        <v>1911</v>
      </c>
      <c r="I1384" s="585" t="s">
        <v>5401</v>
      </c>
      <c r="J1384" s="94" t="s">
        <v>1111</v>
      </c>
      <c r="K1384" s="636" t="s">
        <v>3105</v>
      </c>
      <c r="L1384" s="45"/>
      <c r="M1384" s="393">
        <v>250000</v>
      </c>
      <c r="N1384" s="592" t="s">
        <v>5441</v>
      </c>
    </row>
    <row r="1385" spans="1:14">
      <c r="A1385" s="123">
        <v>15</v>
      </c>
      <c r="B1385" s="807"/>
      <c r="C1385" s="583">
        <v>46125</v>
      </c>
      <c r="D1385" s="94" t="s">
        <v>5524</v>
      </c>
      <c r="E1385" s="94" t="s">
        <v>322</v>
      </c>
      <c r="F1385" s="584" t="s">
        <v>5400</v>
      </c>
      <c r="G1385" s="584" t="s">
        <v>5525</v>
      </c>
      <c r="H1385" s="584" t="s">
        <v>5526</v>
      </c>
      <c r="I1385" s="585" t="s">
        <v>5527</v>
      </c>
      <c r="J1385" s="94" t="s">
        <v>5529</v>
      </c>
      <c r="K1385" s="631" t="s">
        <v>5528</v>
      </c>
      <c r="L1385" s="45"/>
      <c r="M1385" s="393">
        <v>250000</v>
      </c>
      <c r="N1385" s="592"/>
    </row>
    <row r="1386" spans="1:14" ht="27">
      <c r="A1386" s="123">
        <v>15</v>
      </c>
      <c r="B1386" s="807"/>
      <c r="C1386" s="586" t="s">
        <v>5505</v>
      </c>
      <c r="D1386" s="45" t="s">
        <v>124</v>
      </c>
      <c r="E1386" s="45" t="s">
        <v>151</v>
      </c>
      <c r="F1386" s="373" t="s">
        <v>5254</v>
      </c>
      <c r="G1386" s="38">
        <v>1614</v>
      </c>
      <c r="H1386" s="584" t="s">
        <v>1911</v>
      </c>
      <c r="I1386" s="260" t="s">
        <v>3402</v>
      </c>
      <c r="J1386" s="45" t="s">
        <v>1259</v>
      </c>
      <c r="K1386" s="637" t="s">
        <v>5523</v>
      </c>
      <c r="L1386" s="45"/>
      <c r="M1386" s="96">
        <f>250000*5</f>
        <v>1250000</v>
      </c>
      <c r="N1386" s="593"/>
    </row>
    <row r="1387" spans="1:14" ht="27">
      <c r="A1387" s="123">
        <v>15</v>
      </c>
      <c r="B1387" s="807"/>
      <c r="C1387" s="586" t="s">
        <v>5507</v>
      </c>
      <c r="D1387" s="45" t="s">
        <v>124</v>
      </c>
      <c r="E1387" s="45" t="s">
        <v>151</v>
      </c>
      <c r="F1387" s="373" t="s">
        <v>5254</v>
      </c>
      <c r="G1387" s="38" t="s">
        <v>5506</v>
      </c>
      <c r="H1387" s="588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93"/>
    </row>
    <row r="1388" spans="1:14" ht="27">
      <c r="A1388" s="123">
        <v>15</v>
      </c>
      <c r="B1388" s="807"/>
      <c r="C1388" s="586" t="s">
        <v>5505</v>
      </c>
      <c r="D1388" s="45" t="s">
        <v>124</v>
      </c>
      <c r="E1388" s="45" t="s">
        <v>151</v>
      </c>
      <c r="F1388" s="373" t="s">
        <v>5254</v>
      </c>
      <c r="G1388" s="38" t="s">
        <v>5506</v>
      </c>
      <c r="H1388" s="588" t="s">
        <v>1225</v>
      </c>
      <c r="I1388" s="260" t="s">
        <v>3020</v>
      </c>
      <c r="J1388" s="45" t="s">
        <v>1264</v>
      </c>
      <c r="K1388" s="637" t="s">
        <v>3251</v>
      </c>
      <c r="L1388" s="45"/>
      <c r="M1388" s="96">
        <f>250000*5</f>
        <v>1250000</v>
      </c>
      <c r="N1388" s="593"/>
    </row>
    <row r="1389" spans="1:14">
      <c r="A1389" s="123">
        <v>15</v>
      </c>
      <c r="B1389" s="807" t="s">
        <v>5531</v>
      </c>
      <c r="C1389" s="583">
        <v>46097</v>
      </c>
      <c r="D1389" s="45" t="s">
        <v>21</v>
      </c>
      <c r="E1389" s="45" t="s">
        <v>14</v>
      </c>
      <c r="F1389" s="38" t="s">
        <v>1319</v>
      </c>
      <c r="G1389" s="373" t="s">
        <v>2916</v>
      </c>
      <c r="H1389" s="587" t="s">
        <v>2917</v>
      </c>
      <c r="I1389" s="38" t="s">
        <v>4887</v>
      </c>
      <c r="J1389" s="373"/>
      <c r="K1389" s="373" t="s">
        <v>2500</v>
      </c>
      <c r="L1389" s="45" t="s">
        <v>15</v>
      </c>
      <c r="M1389" s="96">
        <v>600000</v>
      </c>
      <c r="N1389" s="592" t="s">
        <v>5487</v>
      </c>
    </row>
    <row r="1390" spans="1:14">
      <c r="A1390" s="123">
        <v>15</v>
      </c>
      <c r="B1390" s="807"/>
      <c r="C1390" s="586">
        <v>46120</v>
      </c>
      <c r="D1390" s="45" t="s">
        <v>21</v>
      </c>
      <c r="E1390" s="45" t="s">
        <v>14</v>
      </c>
      <c r="F1390" s="373" t="s">
        <v>107</v>
      </c>
      <c r="G1390" s="373" t="s">
        <v>2959</v>
      </c>
      <c r="H1390" s="588" t="s">
        <v>143</v>
      </c>
      <c r="I1390" s="38" t="s">
        <v>3607</v>
      </c>
      <c r="J1390" s="373"/>
      <c r="K1390" s="627" t="s">
        <v>1300</v>
      </c>
      <c r="L1390" s="45" t="s">
        <v>15</v>
      </c>
      <c r="M1390" s="96">
        <v>250000</v>
      </c>
      <c r="N1390" s="592" t="s">
        <v>5441</v>
      </c>
    </row>
    <row r="1391" spans="1:14">
      <c r="A1391" s="123">
        <v>15</v>
      </c>
      <c r="B1391" s="807"/>
      <c r="C1391" s="583">
        <v>46125</v>
      </c>
      <c r="D1391" s="45" t="s">
        <v>24</v>
      </c>
      <c r="E1391" s="45" t="s">
        <v>139</v>
      </c>
      <c r="F1391" s="373" t="s">
        <v>78</v>
      </c>
      <c r="G1391" s="38" t="s">
        <v>3008</v>
      </c>
      <c r="H1391" s="588" t="s">
        <v>1382</v>
      </c>
      <c r="I1391" s="38" t="s">
        <v>5359</v>
      </c>
      <c r="J1391" s="373" t="s">
        <v>202</v>
      </c>
      <c r="K1391" s="627" t="s">
        <v>686</v>
      </c>
      <c r="L1391" s="45" t="s">
        <v>15</v>
      </c>
      <c r="M1391" s="594">
        <v>250000</v>
      </c>
      <c r="N1391" s="592" t="s">
        <v>3904</v>
      </c>
    </row>
    <row r="1392" spans="1:14">
      <c r="A1392" s="123">
        <v>15</v>
      </c>
      <c r="B1392" s="807"/>
      <c r="C1392" s="586">
        <v>46125</v>
      </c>
      <c r="D1392" s="45" t="s">
        <v>24</v>
      </c>
      <c r="E1392" s="45" t="s">
        <v>139</v>
      </c>
      <c r="F1392" s="589" t="s">
        <v>1787</v>
      </c>
      <c r="G1392" s="373" t="s">
        <v>2135</v>
      </c>
      <c r="H1392" s="587" t="s">
        <v>67</v>
      </c>
      <c r="I1392" s="38" t="s">
        <v>5480</v>
      </c>
      <c r="J1392" s="373" t="s">
        <v>90</v>
      </c>
      <c r="K1392" s="626" t="s">
        <v>686</v>
      </c>
      <c r="L1392" s="45" t="s">
        <v>15</v>
      </c>
      <c r="M1392" s="594">
        <v>250000</v>
      </c>
      <c r="N1392" s="592" t="s">
        <v>3904</v>
      </c>
    </row>
    <row r="1393" spans="1:14" ht="27">
      <c r="A1393" s="123">
        <v>15</v>
      </c>
      <c r="B1393" s="807"/>
      <c r="C1393" s="583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88" t="s">
        <v>171</v>
      </c>
      <c r="I1393" s="38" t="s">
        <v>5483</v>
      </c>
      <c r="J1393" s="38" t="s">
        <v>5484</v>
      </c>
      <c r="K1393" s="626" t="s">
        <v>686</v>
      </c>
      <c r="L1393" s="45" t="s">
        <v>15</v>
      </c>
      <c r="M1393" s="594">
        <v>250000</v>
      </c>
      <c r="N1393" s="592" t="s">
        <v>127</v>
      </c>
    </row>
    <row r="1394" spans="1:14" ht="16.5" customHeight="1">
      <c r="A1394" s="123">
        <v>15</v>
      </c>
      <c r="B1394" s="807"/>
      <c r="C1394" s="583">
        <v>46128</v>
      </c>
      <c r="D1394" s="44" t="s">
        <v>21</v>
      </c>
      <c r="E1394" s="44" t="s">
        <v>14</v>
      </c>
      <c r="F1394" s="589" t="s">
        <v>107</v>
      </c>
      <c r="G1394" s="589" t="s">
        <v>1968</v>
      </c>
      <c r="H1394" s="587" t="s">
        <v>376</v>
      </c>
      <c r="I1394" s="590" t="s">
        <v>4843</v>
      </c>
      <c r="J1394" s="589" t="s">
        <v>90</v>
      </c>
      <c r="K1394" s="627" t="s">
        <v>641</v>
      </c>
      <c r="L1394" s="44" t="s">
        <v>15</v>
      </c>
      <c r="M1394" s="594">
        <f>250000*2</f>
        <v>500000</v>
      </c>
      <c r="N1394" s="592" t="s">
        <v>393</v>
      </c>
    </row>
    <row r="1395" spans="1:14">
      <c r="A1395" s="123">
        <v>15</v>
      </c>
      <c r="B1395" s="807"/>
      <c r="C1395" s="586">
        <v>46128</v>
      </c>
      <c r="D1395" s="45" t="s">
        <v>24</v>
      </c>
      <c r="E1395" s="45" t="s">
        <v>139</v>
      </c>
      <c r="F1395" s="589" t="s">
        <v>1787</v>
      </c>
      <c r="G1395" s="373" t="s">
        <v>2817</v>
      </c>
      <c r="H1395" s="587" t="s">
        <v>23</v>
      </c>
      <c r="I1395" s="38" t="s">
        <v>5434</v>
      </c>
      <c r="J1395" s="589"/>
      <c r="K1395" s="626" t="s">
        <v>641</v>
      </c>
      <c r="L1395" s="45"/>
      <c r="M1395" s="594">
        <f>250000*2</f>
        <v>500000</v>
      </c>
      <c r="N1395" s="592" t="s">
        <v>5508</v>
      </c>
    </row>
    <row r="1396" spans="1:14" ht="27">
      <c r="A1396" s="123">
        <v>15</v>
      </c>
      <c r="B1396" s="807"/>
      <c r="C1396" s="586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88" t="s">
        <v>36</v>
      </c>
      <c r="I1396" s="38" t="s">
        <v>5491</v>
      </c>
      <c r="J1396" s="373" t="s">
        <v>5473</v>
      </c>
      <c r="K1396" s="38" t="s">
        <v>410</v>
      </c>
      <c r="L1396" s="45" t="s">
        <v>15</v>
      </c>
      <c r="M1396" s="594">
        <v>300000</v>
      </c>
      <c r="N1396" s="592" t="s">
        <v>127</v>
      </c>
    </row>
    <row r="1397" spans="1:14">
      <c r="A1397" s="123">
        <v>15</v>
      </c>
      <c r="B1397" s="807"/>
      <c r="C1397" s="586">
        <v>46129</v>
      </c>
      <c r="D1397" s="44" t="s">
        <v>21</v>
      </c>
      <c r="E1397" s="44" t="s">
        <v>31</v>
      </c>
      <c r="F1397" s="38" t="s">
        <v>78</v>
      </c>
      <c r="G1397" s="589" t="s">
        <v>2329</v>
      </c>
      <c r="H1397" s="587" t="s">
        <v>23</v>
      </c>
      <c r="I1397" s="590" t="s">
        <v>5439</v>
      </c>
      <c r="J1397" s="373" t="s">
        <v>1277</v>
      </c>
      <c r="K1397" s="38" t="s">
        <v>686</v>
      </c>
      <c r="L1397" s="45" t="s">
        <v>15</v>
      </c>
      <c r="M1397" s="594">
        <v>250000</v>
      </c>
      <c r="N1397" s="592" t="s">
        <v>3904</v>
      </c>
    </row>
    <row r="1398" spans="1:14">
      <c r="A1398" s="123">
        <v>16</v>
      </c>
      <c r="B1398" s="807" t="s">
        <v>20</v>
      </c>
      <c r="C1398" s="586">
        <v>46132</v>
      </c>
      <c r="D1398" s="148" t="s">
        <v>306</v>
      </c>
      <c r="E1398" s="148" t="s">
        <v>322</v>
      </c>
      <c r="F1398" s="149" t="s">
        <v>5400</v>
      </c>
      <c r="G1398" s="485" t="s">
        <v>5092</v>
      </c>
      <c r="H1398" s="485" t="s">
        <v>347</v>
      </c>
      <c r="I1398" s="485" t="s">
        <v>5452</v>
      </c>
      <c r="J1398" s="487" t="s">
        <v>1534</v>
      </c>
      <c r="K1398" s="637" t="s">
        <v>2828</v>
      </c>
      <c r="L1398" s="45"/>
      <c r="M1398" s="393">
        <f>250000*2</f>
        <v>500000</v>
      </c>
      <c r="N1398" s="592"/>
    </row>
    <row r="1399" spans="1:14" ht="27">
      <c r="A1399" s="123">
        <v>16</v>
      </c>
      <c r="B1399" s="807"/>
      <c r="C1399" s="586" t="s">
        <v>5574</v>
      </c>
      <c r="D1399" s="148" t="s">
        <v>306</v>
      </c>
      <c r="E1399" s="148" t="s">
        <v>322</v>
      </c>
      <c r="F1399" s="149" t="s">
        <v>5400</v>
      </c>
      <c r="G1399" s="485">
        <v>7063</v>
      </c>
      <c r="H1399" s="485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3">
        <f>250000*3</f>
        <v>750000</v>
      </c>
      <c r="N1399" s="592"/>
    </row>
    <row r="1400" spans="1:14" ht="27">
      <c r="A1400" s="123">
        <v>16</v>
      </c>
      <c r="B1400" s="807"/>
      <c r="C1400" s="586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1" t="s">
        <v>1105</v>
      </c>
      <c r="J1400" s="487" t="s">
        <v>1534</v>
      </c>
      <c r="K1400" s="637" t="s">
        <v>3716</v>
      </c>
      <c r="L1400" s="45"/>
      <c r="M1400" s="393">
        <f>250000*4</f>
        <v>1000000</v>
      </c>
      <c r="N1400" s="592"/>
    </row>
    <row r="1401" spans="1:14" ht="27">
      <c r="A1401" s="123">
        <v>16</v>
      </c>
      <c r="B1401" s="807"/>
      <c r="C1401" s="586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1" t="s">
        <v>1105</v>
      </c>
      <c r="J1401" s="487" t="s">
        <v>1534</v>
      </c>
      <c r="K1401" s="637" t="s">
        <v>5575</v>
      </c>
      <c r="L1401" s="45"/>
      <c r="M1401" s="393">
        <f>250000*5</f>
        <v>1250000</v>
      </c>
      <c r="N1401" s="592"/>
    </row>
    <row r="1402" spans="1:14">
      <c r="A1402" s="123">
        <v>16</v>
      </c>
      <c r="B1402" s="807" t="s">
        <v>21</v>
      </c>
      <c r="C1402" s="586">
        <v>46124</v>
      </c>
      <c r="D1402" s="45" t="s">
        <v>21</v>
      </c>
      <c r="E1402" s="45" t="s">
        <v>17</v>
      </c>
      <c r="F1402" s="38" t="s">
        <v>5276</v>
      </c>
      <c r="G1402" s="373" t="s">
        <v>2329</v>
      </c>
      <c r="H1402" s="587" t="s">
        <v>23</v>
      </c>
      <c r="I1402" s="38" t="s">
        <v>5532</v>
      </c>
      <c r="J1402" s="373" t="s">
        <v>202</v>
      </c>
      <c r="K1402" s="694" t="s">
        <v>487</v>
      </c>
      <c r="L1402" s="45" t="s">
        <v>15</v>
      </c>
      <c r="M1402" s="96">
        <v>500000</v>
      </c>
      <c r="N1402" s="592" t="s">
        <v>5533</v>
      </c>
    </row>
    <row r="1403" spans="1:14">
      <c r="A1403" s="123">
        <v>16</v>
      </c>
      <c r="B1403" s="807"/>
      <c r="C1403" s="127">
        <v>46132</v>
      </c>
      <c r="D1403" s="3" t="s">
        <v>21</v>
      </c>
      <c r="E1403" s="3" t="s">
        <v>14</v>
      </c>
      <c r="F1403" s="481" t="s">
        <v>107</v>
      </c>
      <c r="G1403" s="462" t="s">
        <v>2959</v>
      </c>
      <c r="H1403" s="467" t="s">
        <v>143</v>
      </c>
      <c r="I1403" s="461" t="s">
        <v>5570</v>
      </c>
      <c r="J1403" s="462" t="s">
        <v>126</v>
      </c>
      <c r="K1403" s="462" t="s">
        <v>2828</v>
      </c>
      <c r="L1403" s="136" t="s">
        <v>15</v>
      </c>
      <c r="M1403" s="96">
        <v>250000</v>
      </c>
      <c r="N1403" s="592" t="s">
        <v>128</v>
      </c>
    </row>
    <row r="1404" spans="1:14">
      <c r="A1404" s="123">
        <v>16</v>
      </c>
      <c r="B1404" s="807"/>
      <c r="C1404" s="370">
        <v>46136</v>
      </c>
      <c r="D1404" s="3" t="s">
        <v>21</v>
      </c>
      <c r="E1404" s="3" t="s">
        <v>14</v>
      </c>
      <c r="F1404" s="462" t="s">
        <v>107</v>
      </c>
      <c r="G1404" s="462" t="s">
        <v>1968</v>
      </c>
      <c r="H1404" s="467" t="s">
        <v>376</v>
      </c>
      <c r="I1404" s="461" t="s">
        <v>5397</v>
      </c>
      <c r="J1404" s="462" t="s">
        <v>90</v>
      </c>
      <c r="K1404" s="462" t="s">
        <v>2828</v>
      </c>
      <c r="L1404" s="136" t="s">
        <v>15</v>
      </c>
      <c r="M1404" s="594">
        <v>250000</v>
      </c>
      <c r="N1404" s="592" t="s">
        <v>583</v>
      </c>
    </row>
    <row r="1405" spans="1:14">
      <c r="A1405" s="615">
        <v>17</v>
      </c>
      <c r="B1405" s="805" t="s">
        <v>123</v>
      </c>
      <c r="C1405" s="583">
        <v>46139</v>
      </c>
      <c r="D1405" s="94" t="s">
        <v>306</v>
      </c>
      <c r="E1405" s="94" t="s">
        <v>322</v>
      </c>
      <c r="F1405" s="584" t="s">
        <v>5400</v>
      </c>
      <c r="G1405" s="584" t="s">
        <v>3244</v>
      </c>
      <c r="H1405" s="584" t="s">
        <v>106</v>
      </c>
      <c r="I1405" s="585" t="s">
        <v>5599</v>
      </c>
      <c r="J1405" s="597" t="s">
        <v>168</v>
      </c>
      <c r="K1405" s="591" t="s">
        <v>999</v>
      </c>
      <c r="L1405" s="609"/>
      <c r="M1405" s="393">
        <f>250000*1</f>
        <v>250000</v>
      </c>
      <c r="N1405" s="26"/>
    </row>
    <row r="1406" spans="1:14">
      <c r="A1406" s="615">
        <v>17</v>
      </c>
      <c r="B1406" s="805"/>
      <c r="C1406" s="583">
        <v>46139</v>
      </c>
      <c r="D1406" s="94" t="s">
        <v>306</v>
      </c>
      <c r="E1406" s="94" t="s">
        <v>322</v>
      </c>
      <c r="F1406" s="584" t="s">
        <v>5400</v>
      </c>
      <c r="G1406" s="584">
        <v>1571</v>
      </c>
      <c r="H1406" s="584" t="s">
        <v>482</v>
      </c>
      <c r="I1406" s="585" t="s">
        <v>2962</v>
      </c>
      <c r="J1406" s="597" t="s">
        <v>126</v>
      </c>
      <c r="K1406" s="591" t="s">
        <v>2828</v>
      </c>
      <c r="L1406" s="609"/>
      <c r="M1406" s="393">
        <v>250000</v>
      </c>
      <c r="N1406" s="26"/>
    </row>
    <row r="1407" spans="1:14">
      <c r="A1407" s="615">
        <v>17</v>
      </c>
      <c r="B1407" s="805"/>
      <c r="C1407" s="583" t="s">
        <v>5615</v>
      </c>
      <c r="D1407" s="94" t="s">
        <v>306</v>
      </c>
      <c r="E1407" s="94" t="s">
        <v>322</v>
      </c>
      <c r="F1407" s="584" t="s">
        <v>5400</v>
      </c>
      <c r="G1407" s="584">
        <v>1615</v>
      </c>
      <c r="H1407" s="584" t="s">
        <v>482</v>
      </c>
      <c r="I1407" s="585" t="s">
        <v>5616</v>
      </c>
      <c r="J1407" s="597"/>
      <c r="K1407" s="591" t="s">
        <v>5617</v>
      </c>
      <c r="L1407" s="609"/>
      <c r="M1407" s="393">
        <f>250000*2</f>
        <v>500000</v>
      </c>
      <c r="N1407" s="26"/>
    </row>
    <row r="1408" spans="1:14" ht="27">
      <c r="A1408" s="615">
        <v>17</v>
      </c>
      <c r="B1408" s="805"/>
      <c r="C1408" s="583" t="s">
        <v>5600</v>
      </c>
      <c r="D1408" s="94" t="s">
        <v>306</v>
      </c>
      <c r="E1408" s="94" t="s">
        <v>322</v>
      </c>
      <c r="F1408" s="584" t="s">
        <v>5400</v>
      </c>
      <c r="G1408" s="584" t="s">
        <v>5572</v>
      </c>
      <c r="H1408" s="584" t="s">
        <v>102</v>
      </c>
      <c r="I1408" s="585" t="s">
        <v>5613</v>
      </c>
      <c r="J1408" s="597" t="s">
        <v>1534</v>
      </c>
      <c r="K1408" s="753" t="s">
        <v>5614</v>
      </c>
      <c r="L1408" s="609"/>
      <c r="M1408" s="393">
        <f>250000*4</f>
        <v>1000000</v>
      </c>
      <c r="N1408" s="26"/>
    </row>
    <row r="1409" spans="1:14" ht="26.25" customHeight="1">
      <c r="A1409" s="615">
        <v>17</v>
      </c>
      <c r="B1409" s="805"/>
      <c r="C1409" s="583" t="s">
        <v>5601</v>
      </c>
      <c r="D1409" s="94" t="s">
        <v>306</v>
      </c>
      <c r="E1409" s="94" t="s">
        <v>322</v>
      </c>
      <c r="F1409" s="584" t="s">
        <v>5400</v>
      </c>
      <c r="G1409" s="598">
        <v>7063</v>
      </c>
      <c r="H1409" s="598" t="s">
        <v>1391</v>
      </c>
      <c r="I1409" s="598" t="s">
        <v>2962</v>
      </c>
      <c r="J1409" s="597" t="s">
        <v>1948</v>
      </c>
      <c r="K1409" s="591" t="s">
        <v>2543</v>
      </c>
      <c r="L1409" s="609"/>
      <c r="M1409" s="393">
        <f>250000*3</f>
        <v>750000</v>
      </c>
      <c r="N1409" s="26"/>
    </row>
    <row r="1410" spans="1:14">
      <c r="A1410" s="615">
        <v>17</v>
      </c>
      <c r="B1410" s="802" t="s">
        <v>5650</v>
      </c>
      <c r="C1410" s="127">
        <v>46136</v>
      </c>
      <c r="D1410" s="3" t="s">
        <v>21</v>
      </c>
      <c r="E1410" s="3" t="s">
        <v>14</v>
      </c>
      <c r="F1410" s="462" t="s">
        <v>107</v>
      </c>
      <c r="G1410" s="462" t="s">
        <v>1968</v>
      </c>
      <c r="H1410" s="467" t="s">
        <v>376</v>
      </c>
      <c r="I1410" s="461" t="s">
        <v>5397</v>
      </c>
      <c r="J1410" s="462" t="s">
        <v>90</v>
      </c>
      <c r="K1410" s="695" t="s">
        <v>41</v>
      </c>
      <c r="L1410" s="136" t="s">
        <v>15</v>
      </c>
      <c r="M1410" s="96">
        <v>250000</v>
      </c>
      <c r="N1410" s="26"/>
    </row>
    <row r="1411" spans="1:14">
      <c r="A1411" s="615">
        <v>17</v>
      </c>
      <c r="B1411" s="803"/>
      <c r="C1411" s="127">
        <v>46136</v>
      </c>
      <c r="D1411" s="3" t="s">
        <v>21</v>
      </c>
      <c r="E1411" s="3" t="s">
        <v>14</v>
      </c>
      <c r="F1411" s="462" t="s">
        <v>107</v>
      </c>
      <c r="G1411" s="462" t="s">
        <v>1968</v>
      </c>
      <c r="H1411" s="467" t="s">
        <v>67</v>
      </c>
      <c r="I1411" s="461" t="s">
        <v>1310</v>
      </c>
      <c r="J1411" s="462" t="s">
        <v>90</v>
      </c>
      <c r="K1411" s="462" t="s">
        <v>3074</v>
      </c>
      <c r="L1411" s="136" t="s">
        <v>15</v>
      </c>
      <c r="M1411" s="96">
        <v>300000</v>
      </c>
      <c r="N1411" s="26"/>
    </row>
    <row r="1412" spans="1:14">
      <c r="A1412" s="615">
        <v>17</v>
      </c>
      <c r="B1412" s="803"/>
      <c r="C1412" s="583">
        <v>46140</v>
      </c>
      <c r="D1412" s="609" t="s">
        <v>21</v>
      </c>
      <c r="E1412" s="609" t="s">
        <v>14</v>
      </c>
      <c r="F1412" s="610" t="s">
        <v>1787</v>
      </c>
      <c r="G1412" s="38" t="s">
        <v>5409</v>
      </c>
      <c r="H1412" s="588" t="s">
        <v>23</v>
      </c>
      <c r="I1412" s="38" t="s">
        <v>5584</v>
      </c>
      <c r="J1412" s="610" t="s">
        <v>120</v>
      </c>
      <c r="K1412" s="589" t="s">
        <v>2828</v>
      </c>
      <c r="L1412" s="609" t="s">
        <v>15</v>
      </c>
      <c r="M1412" s="96">
        <v>250000</v>
      </c>
      <c r="N1412" s="26"/>
    </row>
    <row r="1413" spans="1:14">
      <c r="A1413" s="615">
        <v>17</v>
      </c>
      <c r="B1413" s="803"/>
      <c r="C1413" s="583">
        <v>46141</v>
      </c>
      <c r="D1413" s="609" t="s">
        <v>21</v>
      </c>
      <c r="E1413" s="609" t="s">
        <v>14</v>
      </c>
      <c r="F1413" s="610" t="s">
        <v>1787</v>
      </c>
      <c r="G1413" s="38" t="s">
        <v>2978</v>
      </c>
      <c r="H1413" s="588" t="s">
        <v>143</v>
      </c>
      <c r="I1413" s="38" t="s">
        <v>5593</v>
      </c>
      <c r="J1413" s="610" t="s">
        <v>120</v>
      </c>
      <c r="K1413" s="589" t="s">
        <v>2828</v>
      </c>
      <c r="L1413" s="609" t="s">
        <v>15</v>
      </c>
      <c r="M1413" s="96">
        <v>250000</v>
      </c>
      <c r="N1413" s="26"/>
    </row>
    <row r="1414" spans="1:14" ht="27">
      <c r="A1414" s="615">
        <v>17</v>
      </c>
      <c r="B1414" s="804"/>
      <c r="C1414" s="586">
        <v>46142</v>
      </c>
      <c r="D1414" s="44" t="s">
        <v>21</v>
      </c>
      <c r="E1414" s="44" t="s">
        <v>14</v>
      </c>
      <c r="F1414" s="589" t="s">
        <v>107</v>
      </c>
      <c r="G1414" s="589" t="s">
        <v>3386</v>
      </c>
      <c r="H1414" s="588" t="s">
        <v>23</v>
      </c>
      <c r="I1414" s="38" t="s">
        <v>5588</v>
      </c>
      <c r="J1414" s="589" t="s">
        <v>90</v>
      </c>
      <c r="K1414" s="589" t="s">
        <v>2828</v>
      </c>
      <c r="L1414" s="44" t="s">
        <v>15</v>
      </c>
      <c r="M1414" s="594">
        <v>250000</v>
      </c>
      <c r="N1414" s="620"/>
    </row>
    <row r="1415" spans="1:14">
      <c r="A1415" s="615">
        <v>18</v>
      </c>
      <c r="B1415" s="805" t="s">
        <v>5693</v>
      </c>
      <c r="C1415" s="586">
        <v>46148</v>
      </c>
      <c r="D1415" s="94" t="s">
        <v>306</v>
      </c>
      <c r="E1415" s="94" t="s">
        <v>322</v>
      </c>
      <c r="F1415" s="584" t="s">
        <v>5400</v>
      </c>
      <c r="G1415" s="584" t="s">
        <v>4939</v>
      </c>
      <c r="H1415" s="584" t="s">
        <v>482</v>
      </c>
      <c r="I1415" s="585" t="s">
        <v>2979</v>
      </c>
      <c r="J1415" s="597" t="s">
        <v>126</v>
      </c>
      <c r="K1415" s="591" t="s">
        <v>5664</v>
      </c>
      <c r="L1415" s="624"/>
      <c r="M1415" s="393">
        <f>250000*2</f>
        <v>500000</v>
      </c>
      <c r="N1415" s="713"/>
    </row>
    <row r="1416" spans="1:14">
      <c r="A1416" s="615">
        <v>18</v>
      </c>
      <c r="B1416" s="805"/>
      <c r="C1416" s="586" t="s">
        <v>5665</v>
      </c>
      <c r="D1416" s="94" t="s">
        <v>306</v>
      </c>
      <c r="E1416" s="94" t="s">
        <v>322</v>
      </c>
      <c r="F1416" s="584" t="s">
        <v>5400</v>
      </c>
      <c r="G1416" s="584">
        <v>1615</v>
      </c>
      <c r="H1416" s="584" t="s">
        <v>482</v>
      </c>
      <c r="I1416" s="585" t="s">
        <v>5663</v>
      </c>
      <c r="J1416" s="597" t="s">
        <v>1948</v>
      </c>
      <c r="K1416" s="591" t="s">
        <v>1101</v>
      </c>
      <c r="L1416" s="624"/>
      <c r="M1416" s="393">
        <f>250000*2</f>
        <v>500000</v>
      </c>
      <c r="N1416" s="713"/>
    </row>
    <row r="1417" spans="1:14">
      <c r="A1417" s="615">
        <v>18</v>
      </c>
      <c r="B1417" s="805"/>
      <c r="C1417" s="586">
        <v>46148</v>
      </c>
      <c r="D1417" s="94" t="s">
        <v>306</v>
      </c>
      <c r="E1417" s="94" t="s">
        <v>322</v>
      </c>
      <c r="F1417" s="584" t="s">
        <v>5400</v>
      </c>
      <c r="G1417" s="584" t="s">
        <v>5506</v>
      </c>
      <c r="H1417" s="584" t="s">
        <v>18</v>
      </c>
      <c r="I1417" s="585" t="s">
        <v>5613</v>
      </c>
      <c r="J1417" s="597" t="s">
        <v>1534</v>
      </c>
      <c r="K1417" s="591" t="s">
        <v>2828</v>
      </c>
      <c r="L1417" s="624"/>
      <c r="M1417" s="393">
        <f>250000*1</f>
        <v>250000</v>
      </c>
      <c r="N1417" s="592"/>
    </row>
    <row r="1418" spans="1:14">
      <c r="A1418" s="615">
        <v>18</v>
      </c>
      <c r="B1418" s="805"/>
      <c r="C1418" s="586" t="s">
        <v>5666</v>
      </c>
      <c r="D1418" s="94" t="s">
        <v>306</v>
      </c>
      <c r="E1418" s="94" t="s">
        <v>322</v>
      </c>
      <c r="F1418" s="584" t="s">
        <v>5400</v>
      </c>
      <c r="G1418" s="584" t="s">
        <v>5506</v>
      </c>
      <c r="H1418" s="584" t="s">
        <v>264</v>
      </c>
      <c r="I1418" s="585" t="s">
        <v>5613</v>
      </c>
      <c r="J1418" s="597" t="s">
        <v>1534</v>
      </c>
      <c r="K1418" s="591" t="s">
        <v>2838</v>
      </c>
      <c r="L1418" s="624"/>
      <c r="M1418" s="393">
        <f>250000*2</f>
        <v>500000</v>
      </c>
      <c r="N1418" s="592"/>
    </row>
    <row r="1419" spans="1:14">
      <c r="A1419" s="615">
        <v>18</v>
      </c>
      <c r="B1419" s="805" t="s">
        <v>5694</v>
      </c>
      <c r="C1419" s="370">
        <v>46140</v>
      </c>
      <c r="D1419" s="4" t="s">
        <v>21</v>
      </c>
      <c r="E1419" s="4" t="s">
        <v>14</v>
      </c>
      <c r="F1419" s="623" t="s">
        <v>78</v>
      </c>
      <c r="G1419" s="625" t="s">
        <v>3008</v>
      </c>
      <c r="H1419" s="16" t="s">
        <v>1382</v>
      </c>
      <c r="I1419" s="625" t="s">
        <v>5438</v>
      </c>
      <c r="J1419" s="623" t="s">
        <v>202</v>
      </c>
      <c r="K1419" s="623" t="s">
        <v>686</v>
      </c>
      <c r="L1419" s="125" t="s">
        <v>15</v>
      </c>
      <c r="M1419" s="96">
        <v>250000</v>
      </c>
      <c r="N1419" s="669" t="s">
        <v>5667</v>
      </c>
    </row>
    <row r="1420" spans="1:14">
      <c r="A1420" s="615">
        <v>18</v>
      </c>
      <c r="B1420" s="805"/>
      <c r="C1420" s="370">
        <v>46142</v>
      </c>
      <c r="D1420" s="3" t="s">
        <v>24</v>
      </c>
      <c r="E1420" s="3" t="s">
        <v>14</v>
      </c>
      <c r="F1420" s="462" t="s">
        <v>107</v>
      </c>
      <c r="G1420" s="462" t="s">
        <v>1968</v>
      </c>
      <c r="H1420" s="467" t="s">
        <v>553</v>
      </c>
      <c r="I1420" s="461" t="s">
        <v>216</v>
      </c>
      <c r="J1420" s="462" t="s">
        <v>202</v>
      </c>
      <c r="K1420" s="461" t="s">
        <v>487</v>
      </c>
      <c r="L1420" s="136" t="s">
        <v>15</v>
      </c>
      <c r="M1420" s="96">
        <v>500000</v>
      </c>
      <c r="N1420" s="669" t="s">
        <v>5667</v>
      </c>
    </row>
    <row r="1421" spans="1:14" ht="27">
      <c r="A1421" s="615">
        <v>18</v>
      </c>
      <c r="B1421" s="805"/>
      <c r="C1421" s="370">
        <v>46146</v>
      </c>
      <c r="D1421" s="4" t="s">
        <v>24</v>
      </c>
      <c r="E1421" s="4" t="s">
        <v>31</v>
      </c>
      <c r="F1421" s="623" t="s">
        <v>5632</v>
      </c>
      <c r="G1421" s="625" t="s">
        <v>3970</v>
      </c>
      <c r="H1421" s="16" t="s">
        <v>23</v>
      </c>
      <c r="I1421" s="625" t="s">
        <v>5633</v>
      </c>
      <c r="J1421" s="623"/>
      <c r="K1421" s="625" t="s">
        <v>3075</v>
      </c>
      <c r="L1421" s="125" t="s">
        <v>15</v>
      </c>
      <c r="M1421" s="96">
        <v>400000</v>
      </c>
      <c r="N1421" s="669" t="s">
        <v>127</v>
      </c>
    </row>
    <row r="1422" spans="1:14">
      <c r="A1422" s="615">
        <v>18</v>
      </c>
      <c r="B1422" s="805"/>
      <c r="C1422" s="370">
        <v>46148</v>
      </c>
      <c r="D1422" s="3" t="s">
        <v>21</v>
      </c>
      <c r="E1422" s="3" t="s">
        <v>14</v>
      </c>
      <c r="F1422" s="481" t="s">
        <v>107</v>
      </c>
      <c r="G1422" s="462" t="s">
        <v>2959</v>
      </c>
      <c r="H1422" s="467" t="s">
        <v>143</v>
      </c>
      <c r="I1422" s="461" t="s">
        <v>5570</v>
      </c>
      <c r="J1422" s="462" t="s">
        <v>126</v>
      </c>
      <c r="K1422" s="462" t="s">
        <v>5606</v>
      </c>
      <c r="L1422" s="136" t="s">
        <v>15</v>
      </c>
      <c r="M1422" s="96">
        <v>500000</v>
      </c>
      <c r="N1422" s="592" t="s">
        <v>128</v>
      </c>
    </row>
    <row r="1423" spans="1:14">
      <c r="A1423" s="615">
        <v>18</v>
      </c>
      <c r="B1423" s="805"/>
      <c r="C1423" s="370">
        <v>46149</v>
      </c>
      <c r="D1423" s="3" t="s">
        <v>21</v>
      </c>
      <c r="E1423" s="3" t="s">
        <v>14</v>
      </c>
      <c r="F1423" s="481" t="s">
        <v>107</v>
      </c>
      <c r="G1423" s="462" t="s">
        <v>2959</v>
      </c>
      <c r="H1423" s="467" t="s">
        <v>143</v>
      </c>
      <c r="I1423" s="461" t="s">
        <v>5570</v>
      </c>
      <c r="J1423" s="462" t="s">
        <v>126</v>
      </c>
      <c r="K1423" s="462" t="s">
        <v>5606</v>
      </c>
      <c r="L1423" s="136" t="s">
        <v>15</v>
      </c>
      <c r="M1423" s="96">
        <v>500000</v>
      </c>
      <c r="N1423" s="592" t="s">
        <v>128</v>
      </c>
    </row>
    <row r="1424" spans="1:14" ht="27">
      <c r="A1424" s="615">
        <v>18</v>
      </c>
      <c r="B1424" s="805"/>
      <c r="C1424" s="370">
        <v>46150</v>
      </c>
      <c r="D1424" s="4" t="s">
        <v>21</v>
      </c>
      <c r="E1424" s="4" t="s">
        <v>14</v>
      </c>
      <c r="F1424" s="623" t="s">
        <v>1787</v>
      </c>
      <c r="G1424" s="623" t="s">
        <v>2978</v>
      </c>
      <c r="H1424" s="16" t="s">
        <v>67</v>
      </c>
      <c r="I1424" s="625" t="s">
        <v>5651</v>
      </c>
      <c r="J1424" s="623" t="s">
        <v>5484</v>
      </c>
      <c r="K1424" s="625" t="s">
        <v>3074</v>
      </c>
      <c r="L1424" s="125" t="s">
        <v>15</v>
      </c>
      <c r="M1424" s="594">
        <v>400000</v>
      </c>
      <c r="N1424" s="592" t="s">
        <v>128</v>
      </c>
    </row>
    <row r="1425" spans="1:14">
      <c r="A1425" s="615">
        <v>19</v>
      </c>
      <c r="B1425" s="806" t="s">
        <v>5770</v>
      </c>
      <c r="C1425" s="675" t="s">
        <v>5759</v>
      </c>
      <c r="D1425" s="672" t="s">
        <v>306</v>
      </c>
      <c r="E1425" s="672" t="s">
        <v>322</v>
      </c>
      <c r="F1425" s="675" t="s">
        <v>5400</v>
      </c>
      <c r="G1425" s="675" t="s">
        <v>5760</v>
      </c>
      <c r="H1425" s="675" t="s">
        <v>1911</v>
      </c>
      <c r="I1425" s="691" t="s">
        <v>4915</v>
      </c>
      <c r="J1425" s="672" t="s">
        <v>1534</v>
      </c>
      <c r="K1425" s="672" t="s">
        <v>4943</v>
      </c>
      <c r="L1425" s="672"/>
      <c r="M1425" s="704">
        <v>750000</v>
      </c>
      <c r="N1425" s="710"/>
    </row>
    <row r="1426" spans="1:14">
      <c r="A1426" s="615">
        <v>19</v>
      </c>
      <c r="B1426" s="806"/>
      <c r="C1426" s="675" t="s">
        <v>5761</v>
      </c>
      <c r="D1426" s="672" t="s">
        <v>306</v>
      </c>
      <c r="E1426" s="672" t="s">
        <v>322</v>
      </c>
      <c r="F1426" s="675" t="s">
        <v>5400</v>
      </c>
      <c r="G1426" s="712" t="s">
        <v>5771</v>
      </c>
      <c r="H1426" s="675" t="s">
        <v>1047</v>
      </c>
      <c r="I1426" s="691" t="s">
        <v>5762</v>
      </c>
      <c r="J1426" s="672" t="s">
        <v>1534</v>
      </c>
      <c r="K1426" s="672" t="s">
        <v>5763</v>
      </c>
      <c r="L1426" s="672"/>
      <c r="M1426" s="704">
        <v>1500000</v>
      </c>
      <c r="N1426" s="710"/>
    </row>
    <row r="1427" spans="1:14">
      <c r="A1427" s="615">
        <v>19</v>
      </c>
      <c r="B1427" s="806"/>
      <c r="C1427" s="675" t="s">
        <v>5764</v>
      </c>
      <c r="D1427" s="672" t="s">
        <v>306</v>
      </c>
      <c r="E1427" s="672" t="s">
        <v>322</v>
      </c>
      <c r="F1427" s="675" t="s">
        <v>5400</v>
      </c>
      <c r="G1427" s="675" t="s">
        <v>5760</v>
      </c>
      <c r="H1427" s="675" t="s">
        <v>640</v>
      </c>
      <c r="I1427" s="691" t="s">
        <v>4915</v>
      </c>
      <c r="J1427" s="672" t="s">
        <v>1534</v>
      </c>
      <c r="K1427" s="672" t="s">
        <v>3101</v>
      </c>
      <c r="L1427" s="672"/>
      <c r="M1427" s="704">
        <v>500000</v>
      </c>
      <c r="N1427" s="710"/>
    </row>
    <row r="1428" spans="1:14">
      <c r="A1428" s="615">
        <v>19</v>
      </c>
      <c r="B1428" s="806"/>
      <c r="C1428" s="675" t="s">
        <v>5765</v>
      </c>
      <c r="D1428" s="672" t="s">
        <v>306</v>
      </c>
      <c r="E1428" s="672" t="s">
        <v>322</v>
      </c>
      <c r="F1428" s="675" t="s">
        <v>5400</v>
      </c>
      <c r="G1428" s="675" t="s">
        <v>5766</v>
      </c>
      <c r="H1428" s="675" t="s">
        <v>5767</v>
      </c>
      <c r="I1428" s="691" t="s">
        <v>5768</v>
      </c>
      <c r="J1428" s="672" t="s">
        <v>664</v>
      </c>
      <c r="K1428" s="672" t="s">
        <v>5769</v>
      </c>
      <c r="L1428" s="672"/>
      <c r="M1428" s="704">
        <v>1000000</v>
      </c>
      <c r="N1428" s="675"/>
    </row>
    <row r="1429" spans="1:14" ht="22.5">
      <c r="A1429" s="615">
        <v>19</v>
      </c>
      <c r="B1429" s="806" t="s">
        <v>21</v>
      </c>
      <c r="C1429" s="690">
        <v>46150</v>
      </c>
      <c r="D1429" s="672" t="s">
        <v>21</v>
      </c>
      <c r="E1429" s="672" t="s">
        <v>14</v>
      </c>
      <c r="F1429" s="698" t="s">
        <v>1787</v>
      </c>
      <c r="G1429" s="698" t="s">
        <v>2817</v>
      </c>
      <c r="H1429" s="674" t="s">
        <v>67</v>
      </c>
      <c r="I1429" s="689" t="s">
        <v>5651</v>
      </c>
      <c r="J1429" s="698" t="s">
        <v>120</v>
      </c>
      <c r="K1429" s="689" t="s">
        <v>5273</v>
      </c>
      <c r="L1429" s="672" t="s">
        <v>15</v>
      </c>
      <c r="M1429" s="705">
        <v>550000</v>
      </c>
      <c r="N1429" s="672" t="s">
        <v>5700</v>
      </c>
    </row>
    <row r="1430" spans="1:14">
      <c r="A1430" s="615">
        <v>19</v>
      </c>
      <c r="B1430" s="806"/>
      <c r="C1430" s="690">
        <v>46153</v>
      </c>
      <c r="D1430" s="645" t="s">
        <v>24</v>
      </c>
      <c r="E1430" s="645" t="s">
        <v>14</v>
      </c>
      <c r="F1430" s="684" t="s">
        <v>5707</v>
      </c>
      <c r="G1430" s="684" t="s">
        <v>1968</v>
      </c>
      <c r="H1430" s="647" t="s">
        <v>142</v>
      </c>
      <c r="I1430" s="685" t="s">
        <v>5706</v>
      </c>
      <c r="J1430" s="684" t="s">
        <v>5473</v>
      </c>
      <c r="K1430" s="684" t="s">
        <v>3074</v>
      </c>
      <c r="L1430" s="645" t="s">
        <v>181</v>
      </c>
      <c r="M1430" s="705">
        <v>400000</v>
      </c>
      <c r="N1430" s="672"/>
    </row>
    <row r="1431" spans="1:14">
      <c r="A1431" s="615">
        <v>19</v>
      </c>
      <c r="B1431" s="806"/>
      <c r="C1431" s="690">
        <v>46153</v>
      </c>
      <c r="D1431" s="645" t="s">
        <v>21</v>
      </c>
      <c r="E1431" s="645" t="s">
        <v>14</v>
      </c>
      <c r="F1431" s="684" t="s">
        <v>1893</v>
      </c>
      <c r="G1431" s="684" t="s">
        <v>4939</v>
      </c>
      <c r="H1431" s="647" t="s">
        <v>2193</v>
      </c>
      <c r="I1431" s="689" t="s">
        <v>271</v>
      </c>
      <c r="J1431" s="698" t="s">
        <v>202</v>
      </c>
      <c r="K1431" s="698" t="s">
        <v>641</v>
      </c>
      <c r="L1431" s="672" t="s">
        <v>15</v>
      </c>
      <c r="M1431" s="705">
        <v>500000</v>
      </c>
      <c r="N1431" s="672"/>
    </row>
    <row r="1432" spans="1:14">
      <c r="A1432" s="615">
        <v>19</v>
      </c>
      <c r="B1432" s="806"/>
      <c r="C1432" s="690">
        <v>46154</v>
      </c>
      <c r="D1432" s="645" t="s">
        <v>21</v>
      </c>
      <c r="E1432" s="645" t="s">
        <v>14</v>
      </c>
      <c r="F1432" s="684" t="s">
        <v>1893</v>
      </c>
      <c r="G1432" s="684" t="s">
        <v>4939</v>
      </c>
      <c r="H1432" s="647" t="s">
        <v>2193</v>
      </c>
      <c r="I1432" s="689" t="s">
        <v>271</v>
      </c>
      <c r="J1432" s="698" t="s">
        <v>202</v>
      </c>
      <c r="K1432" s="698" t="s">
        <v>641</v>
      </c>
      <c r="L1432" s="672" t="s">
        <v>15</v>
      </c>
      <c r="M1432" s="705">
        <v>500000</v>
      </c>
      <c r="N1432" s="711"/>
    </row>
    <row r="1433" spans="1:14" ht="24">
      <c r="A1433" s="742">
        <v>20</v>
      </c>
      <c r="B1433" s="802" t="s">
        <v>5877</v>
      </c>
      <c r="C1433" s="676" t="s">
        <v>5858</v>
      </c>
      <c r="D1433" s="665" t="s">
        <v>306</v>
      </c>
      <c r="E1433" s="665" t="s">
        <v>322</v>
      </c>
      <c r="F1433" s="676" t="s">
        <v>5400</v>
      </c>
      <c r="G1433" s="676" t="s">
        <v>5051</v>
      </c>
      <c r="H1433" s="676" t="s">
        <v>4967</v>
      </c>
      <c r="I1433" s="678" t="s">
        <v>5859</v>
      </c>
      <c r="J1433" s="672" t="s">
        <v>1534</v>
      </c>
      <c r="K1433" s="677" t="s">
        <v>5860</v>
      </c>
      <c r="L1433" s="677"/>
      <c r="M1433" s="717">
        <v>1500000</v>
      </c>
      <c r="N1433" s="710"/>
    </row>
    <row r="1434" spans="1:14">
      <c r="A1434" s="742">
        <v>20</v>
      </c>
      <c r="B1434" s="803"/>
      <c r="C1434" s="676" t="s">
        <v>5861</v>
      </c>
      <c r="D1434" s="665" t="s">
        <v>306</v>
      </c>
      <c r="E1434" s="665" t="s">
        <v>322</v>
      </c>
      <c r="F1434" s="676" t="s">
        <v>5400</v>
      </c>
      <c r="G1434" s="676">
        <v>1615</v>
      </c>
      <c r="H1434" s="676" t="s">
        <v>1911</v>
      </c>
      <c r="I1434" s="678" t="s">
        <v>1057</v>
      </c>
      <c r="J1434" s="672" t="s">
        <v>5447</v>
      </c>
      <c r="K1434" s="677" t="s">
        <v>1102</v>
      </c>
      <c r="L1434" s="677"/>
      <c r="M1434" s="717">
        <v>250000</v>
      </c>
      <c r="N1434" s="710"/>
    </row>
    <row r="1435" spans="1:14" ht="24">
      <c r="A1435" s="742">
        <v>20</v>
      </c>
      <c r="B1435" s="803"/>
      <c r="C1435" s="676" t="s">
        <v>5862</v>
      </c>
      <c r="D1435" s="665" t="s">
        <v>306</v>
      </c>
      <c r="E1435" s="665" t="s">
        <v>322</v>
      </c>
      <c r="F1435" s="676" t="s">
        <v>5400</v>
      </c>
      <c r="G1435" s="676">
        <v>1571</v>
      </c>
      <c r="H1435" s="676" t="s">
        <v>1911</v>
      </c>
      <c r="I1435" s="678" t="s">
        <v>5863</v>
      </c>
      <c r="J1435" s="672" t="s">
        <v>5447</v>
      </c>
      <c r="K1435" s="677" t="s">
        <v>1100</v>
      </c>
      <c r="L1435" s="677"/>
      <c r="M1435" s="717">
        <v>500000</v>
      </c>
      <c r="N1435" s="710"/>
    </row>
    <row r="1436" spans="1:14">
      <c r="A1436" s="742">
        <v>20</v>
      </c>
      <c r="B1436" s="803"/>
      <c r="C1436" s="676" t="s">
        <v>5864</v>
      </c>
      <c r="D1436" s="665" t="s">
        <v>306</v>
      </c>
      <c r="E1436" s="665" t="s">
        <v>322</v>
      </c>
      <c r="F1436" s="678" t="s">
        <v>3056</v>
      </c>
      <c r="G1436" s="678" t="s">
        <v>5094</v>
      </c>
      <c r="H1436" s="678" t="s">
        <v>640</v>
      </c>
      <c r="I1436" s="678" t="s">
        <v>5865</v>
      </c>
      <c r="J1436" s="678" t="s">
        <v>1111</v>
      </c>
      <c r="K1436" s="678" t="s">
        <v>3105</v>
      </c>
      <c r="L1436" s="677"/>
      <c r="M1436" s="717">
        <v>250000</v>
      </c>
      <c r="N1436" s="710"/>
    </row>
    <row r="1437" spans="1:14" ht="24">
      <c r="A1437" s="742">
        <v>20</v>
      </c>
      <c r="B1437" s="804"/>
      <c r="C1437" s="676" t="s">
        <v>5866</v>
      </c>
      <c r="D1437" s="665" t="s">
        <v>306</v>
      </c>
      <c r="E1437" s="665" t="s">
        <v>322</v>
      </c>
      <c r="F1437" s="676" t="s">
        <v>5400</v>
      </c>
      <c r="G1437" s="676" t="s">
        <v>5766</v>
      </c>
      <c r="H1437" s="676" t="s">
        <v>1047</v>
      </c>
      <c r="I1437" s="678" t="s">
        <v>5863</v>
      </c>
      <c r="J1437" s="672" t="s">
        <v>5447</v>
      </c>
      <c r="K1437" s="677" t="s">
        <v>1100</v>
      </c>
      <c r="L1437" s="677"/>
      <c r="M1437" s="717">
        <v>500000</v>
      </c>
      <c r="N1437" s="675"/>
    </row>
    <row r="1438" spans="1:14">
      <c r="A1438" s="742">
        <v>20</v>
      </c>
      <c r="B1438" s="802" t="s">
        <v>21</v>
      </c>
      <c r="C1438" s="676" t="s">
        <v>5867</v>
      </c>
      <c r="D1438" s="665" t="s">
        <v>311</v>
      </c>
      <c r="E1438" s="665" t="s">
        <v>320</v>
      </c>
      <c r="F1438" s="678" t="s">
        <v>337</v>
      </c>
      <c r="G1438" s="678" t="s">
        <v>3168</v>
      </c>
      <c r="H1438" s="678" t="s">
        <v>3169</v>
      </c>
      <c r="I1438" s="676" t="s">
        <v>5868</v>
      </c>
      <c r="J1438" s="676" t="s">
        <v>5869</v>
      </c>
      <c r="K1438" s="676" t="s">
        <v>713</v>
      </c>
      <c r="L1438" s="677" t="s">
        <v>309</v>
      </c>
      <c r="M1438" s="717">
        <v>250000</v>
      </c>
      <c r="N1438" s="672" t="s">
        <v>5870</v>
      </c>
    </row>
    <row r="1439" spans="1:14">
      <c r="A1439" s="742">
        <v>20</v>
      </c>
      <c r="B1439" s="803"/>
      <c r="C1439" s="797" t="s">
        <v>5861</v>
      </c>
      <c r="D1439" s="798" t="s">
        <v>311</v>
      </c>
      <c r="E1439" s="798" t="s">
        <v>320</v>
      </c>
      <c r="F1439" s="799" t="s">
        <v>5188</v>
      </c>
      <c r="G1439" s="691" t="s">
        <v>1919</v>
      </c>
      <c r="H1439" s="799" t="s">
        <v>347</v>
      </c>
      <c r="I1439" s="799" t="s">
        <v>5871</v>
      </c>
      <c r="J1439" s="799"/>
      <c r="K1439" s="799" t="s">
        <v>692</v>
      </c>
      <c r="L1439" s="798" t="s">
        <v>309</v>
      </c>
      <c r="M1439" s="800">
        <v>500000</v>
      </c>
      <c r="N1439" s="801"/>
    </row>
    <row r="1440" spans="1:14">
      <c r="A1440" s="742">
        <v>20</v>
      </c>
      <c r="B1440" s="803"/>
      <c r="C1440" s="797"/>
      <c r="D1440" s="798"/>
      <c r="E1440" s="798"/>
      <c r="F1440" s="799"/>
      <c r="G1440" s="691" t="s">
        <v>5189</v>
      </c>
      <c r="H1440" s="799"/>
      <c r="I1440" s="799"/>
      <c r="J1440" s="799"/>
      <c r="K1440" s="799"/>
      <c r="L1440" s="798"/>
      <c r="M1440" s="800"/>
      <c r="N1440" s="801"/>
    </row>
    <row r="1441" spans="1:14" ht="24">
      <c r="A1441" s="742">
        <v>20</v>
      </c>
      <c r="B1441" s="804"/>
      <c r="C1441" s="676" t="s">
        <v>5872</v>
      </c>
      <c r="D1441" s="677" t="s">
        <v>311</v>
      </c>
      <c r="E1441" s="677" t="s">
        <v>320</v>
      </c>
      <c r="F1441" s="676" t="s">
        <v>5873</v>
      </c>
      <c r="G1441" s="676">
        <v>124001</v>
      </c>
      <c r="H1441" s="676" t="s">
        <v>5874</v>
      </c>
      <c r="I1441" s="676" t="s">
        <v>5875</v>
      </c>
      <c r="J1441" s="676" t="s">
        <v>5876</v>
      </c>
      <c r="K1441" s="676" t="s">
        <v>3192</v>
      </c>
      <c r="L1441" s="677" t="s">
        <v>309</v>
      </c>
      <c r="M1441" s="717">
        <v>300000</v>
      </c>
      <c r="N1441" s="672"/>
    </row>
    <row r="1442" spans="1:14">
      <c r="A1442" s="742">
        <v>21</v>
      </c>
      <c r="B1442" s="794" t="s">
        <v>20</v>
      </c>
      <c r="C1442" s="671">
        <v>46164</v>
      </c>
      <c r="D1442" s="659" t="s">
        <v>19</v>
      </c>
      <c r="E1442" s="659" t="s">
        <v>25</v>
      </c>
      <c r="F1442" s="660" t="s">
        <v>1069</v>
      </c>
      <c r="G1442" s="660" t="s">
        <v>5754</v>
      </c>
      <c r="H1442" s="663" t="s">
        <v>18</v>
      </c>
      <c r="I1442" s="722" t="s">
        <v>5777</v>
      </c>
      <c r="J1442" s="660"/>
      <c r="K1442" s="722" t="s">
        <v>5821</v>
      </c>
      <c r="L1442" s="677"/>
      <c r="M1442" s="717">
        <v>500000</v>
      </c>
      <c r="N1442" s="26"/>
    </row>
    <row r="1443" spans="1:14">
      <c r="A1443" s="742">
        <v>21</v>
      </c>
      <c r="B1443" s="794"/>
      <c r="C1443" s="671">
        <v>46165</v>
      </c>
      <c r="D1443" s="659" t="s">
        <v>19</v>
      </c>
      <c r="E1443" s="659" t="s">
        <v>25</v>
      </c>
      <c r="F1443" s="676" t="s">
        <v>5839</v>
      </c>
      <c r="G1443" s="676" t="s">
        <v>5840</v>
      </c>
      <c r="H1443" s="676" t="s">
        <v>5841</v>
      </c>
      <c r="I1443" s="678" t="s">
        <v>5842</v>
      </c>
      <c r="J1443" s="677"/>
      <c r="K1443" s="677" t="s">
        <v>5843</v>
      </c>
      <c r="L1443" s="677"/>
      <c r="M1443" s="717">
        <v>250000</v>
      </c>
      <c r="N1443" s="26"/>
    </row>
    <row r="1444" spans="1:14" ht="24">
      <c r="A1444" s="742">
        <v>21</v>
      </c>
      <c r="B1444" s="794"/>
      <c r="C1444" s="671" t="s">
        <v>5847</v>
      </c>
      <c r="D1444" s="659" t="s">
        <v>19</v>
      </c>
      <c r="E1444" s="659" t="s">
        <v>25</v>
      </c>
      <c r="F1444" s="676" t="s">
        <v>5839</v>
      </c>
      <c r="G1444" s="676" t="s">
        <v>5844</v>
      </c>
      <c r="H1444" s="676" t="s">
        <v>5845</v>
      </c>
      <c r="I1444" s="678" t="s">
        <v>5846</v>
      </c>
      <c r="J1444" s="677"/>
      <c r="K1444" s="677" t="s">
        <v>3101</v>
      </c>
      <c r="L1444" s="677"/>
      <c r="M1444" s="717">
        <f>250000*2</f>
        <v>500000</v>
      </c>
      <c r="N1444" s="26"/>
    </row>
    <row r="1445" spans="1:14" ht="24">
      <c r="A1445" s="742">
        <v>21</v>
      </c>
      <c r="B1445" s="794"/>
      <c r="C1445" s="671" t="s">
        <v>5847</v>
      </c>
      <c r="D1445" s="659" t="s">
        <v>19</v>
      </c>
      <c r="E1445" s="659" t="s">
        <v>25</v>
      </c>
      <c r="F1445" s="676" t="s">
        <v>5839</v>
      </c>
      <c r="G1445" s="676" t="s">
        <v>5855</v>
      </c>
      <c r="H1445" s="676" t="s">
        <v>5856</v>
      </c>
      <c r="I1445" s="678" t="s">
        <v>5857</v>
      </c>
      <c r="J1445" s="677"/>
      <c r="K1445" s="677" t="s">
        <v>3101</v>
      </c>
      <c r="L1445" s="677"/>
      <c r="M1445" s="717">
        <f>250000*2</f>
        <v>500000</v>
      </c>
      <c r="N1445" s="26"/>
    </row>
    <row r="1446" spans="1:14" ht="24">
      <c r="A1446" s="742">
        <v>21</v>
      </c>
      <c r="B1446" s="794"/>
      <c r="C1446" s="671" t="s">
        <v>5852</v>
      </c>
      <c r="D1446" s="659" t="s">
        <v>19</v>
      </c>
      <c r="E1446" s="659" t="s">
        <v>25</v>
      </c>
      <c r="F1446" s="676" t="s">
        <v>5839</v>
      </c>
      <c r="G1446" s="660" t="s">
        <v>5848</v>
      </c>
      <c r="H1446" s="663" t="s">
        <v>5850</v>
      </c>
      <c r="I1446" s="722" t="s">
        <v>5854</v>
      </c>
      <c r="J1446" s="660"/>
      <c r="K1446" s="722" t="s">
        <v>5853</v>
      </c>
      <c r="L1446" s="677"/>
      <c r="M1446" s="717">
        <f t="shared" ref="M1446:M1447" si="11">250000*2</f>
        <v>500000</v>
      </c>
      <c r="N1446" s="26"/>
    </row>
    <row r="1447" spans="1:14">
      <c r="A1447" s="742">
        <v>21</v>
      </c>
      <c r="B1447" s="794"/>
      <c r="C1447" s="671">
        <v>46171</v>
      </c>
      <c r="D1447" s="659" t="s">
        <v>19</v>
      </c>
      <c r="E1447" s="659" t="s">
        <v>25</v>
      </c>
      <c r="F1447" s="676" t="s">
        <v>5839</v>
      </c>
      <c r="G1447" s="660" t="s">
        <v>5848</v>
      </c>
      <c r="H1447" s="676" t="s">
        <v>5849</v>
      </c>
      <c r="I1447" s="678" t="s">
        <v>5851</v>
      </c>
      <c r="J1447" s="677"/>
      <c r="K1447" s="722" t="s">
        <v>5853</v>
      </c>
      <c r="L1447" s="677"/>
      <c r="M1447" s="717">
        <f t="shared" si="11"/>
        <v>500000</v>
      </c>
      <c r="N1447" s="26"/>
    </row>
    <row r="1448" spans="1:14">
      <c r="A1448" s="754">
        <v>21</v>
      </c>
      <c r="B1448" s="794" t="s">
        <v>21</v>
      </c>
      <c r="C1448" s="671">
        <v>46168</v>
      </c>
      <c r="D1448" s="677" t="s">
        <v>21</v>
      </c>
      <c r="E1448" s="677" t="s">
        <v>14</v>
      </c>
      <c r="F1448" s="679" t="s">
        <v>107</v>
      </c>
      <c r="G1448" s="679" t="s">
        <v>2959</v>
      </c>
      <c r="H1448" s="682" t="s">
        <v>3421</v>
      </c>
      <c r="I1448" s="680" t="s">
        <v>5826</v>
      </c>
      <c r="J1448" s="680"/>
      <c r="K1448" s="680" t="s">
        <v>3447</v>
      </c>
      <c r="L1448" s="677" t="s">
        <v>15</v>
      </c>
      <c r="M1448" s="718">
        <v>500000</v>
      </c>
      <c r="N1448" s="26"/>
    </row>
    <row r="1449" spans="1:14">
      <c r="A1449" s="754">
        <v>21</v>
      </c>
      <c r="B1449" s="794"/>
      <c r="C1449" s="671">
        <v>46168</v>
      </c>
      <c r="D1449" s="677" t="s">
        <v>21</v>
      </c>
      <c r="E1449" s="677" t="s">
        <v>14</v>
      </c>
      <c r="F1449" s="679" t="s">
        <v>3280</v>
      </c>
      <c r="G1449" s="679" t="s">
        <v>3295</v>
      </c>
      <c r="H1449" s="682" t="s">
        <v>67</v>
      </c>
      <c r="I1449" s="680" t="s">
        <v>3466</v>
      </c>
      <c r="J1449" s="679" t="s">
        <v>90</v>
      </c>
      <c r="K1449" s="680" t="s">
        <v>3074</v>
      </c>
      <c r="L1449" s="677" t="s">
        <v>15</v>
      </c>
      <c r="M1449" s="718">
        <v>300000</v>
      </c>
      <c r="N1449" s="26"/>
    </row>
    <row r="1450" spans="1:14">
      <c r="A1450" s="754">
        <v>21</v>
      </c>
      <c r="B1450" s="794"/>
      <c r="C1450" s="671">
        <v>46169</v>
      </c>
      <c r="D1450" s="677" t="s">
        <v>21</v>
      </c>
      <c r="E1450" s="677" t="s">
        <v>14</v>
      </c>
      <c r="F1450" s="679" t="s">
        <v>107</v>
      </c>
      <c r="G1450" s="679" t="s">
        <v>2959</v>
      </c>
      <c r="H1450" s="682" t="s">
        <v>3421</v>
      </c>
      <c r="I1450" s="680" t="s">
        <v>5826</v>
      </c>
      <c r="J1450" s="680"/>
      <c r="K1450" s="680" t="s">
        <v>3447</v>
      </c>
      <c r="L1450" s="677" t="s">
        <v>15</v>
      </c>
      <c r="M1450" s="718">
        <v>500000</v>
      </c>
      <c r="N1450" s="26"/>
    </row>
    <row r="1451" spans="1:14">
      <c r="A1451" s="754">
        <v>21</v>
      </c>
      <c r="B1451" s="794"/>
      <c r="C1451" s="671">
        <v>46170</v>
      </c>
      <c r="D1451" s="659" t="s">
        <v>21</v>
      </c>
      <c r="E1451" s="659" t="s">
        <v>17</v>
      </c>
      <c r="F1451" s="722" t="s">
        <v>1893</v>
      </c>
      <c r="G1451" s="722" t="s">
        <v>1323</v>
      </c>
      <c r="H1451" s="663" t="s">
        <v>1391</v>
      </c>
      <c r="I1451" s="722" t="s">
        <v>5791</v>
      </c>
      <c r="J1451" s="660" t="s">
        <v>90</v>
      </c>
      <c r="K1451" s="722" t="s">
        <v>2828</v>
      </c>
      <c r="L1451" s="677" t="s">
        <v>15</v>
      </c>
      <c r="M1451" s="718">
        <v>250000</v>
      </c>
      <c r="N1451" s="26"/>
    </row>
    <row r="1452" spans="1:14">
      <c r="A1452" s="754">
        <v>21</v>
      </c>
      <c r="B1452" s="794"/>
      <c r="C1452" s="671">
        <v>46171</v>
      </c>
      <c r="D1452" s="659" t="s">
        <v>21</v>
      </c>
      <c r="E1452" s="659" t="s">
        <v>14</v>
      </c>
      <c r="F1452" s="660" t="s">
        <v>211</v>
      </c>
      <c r="G1452" s="660" t="s">
        <v>5754</v>
      </c>
      <c r="H1452" s="663" t="s">
        <v>5833</v>
      </c>
      <c r="I1452" s="722" t="s">
        <v>5832</v>
      </c>
      <c r="J1452" s="660" t="s">
        <v>90</v>
      </c>
      <c r="K1452" s="660" t="s">
        <v>2828</v>
      </c>
      <c r="L1452" s="677" t="s">
        <v>15</v>
      </c>
      <c r="M1452" s="718">
        <v>250000</v>
      </c>
      <c r="N1452" s="26"/>
    </row>
    <row r="1453" spans="1:14">
      <c r="A1453" s="754">
        <v>22</v>
      </c>
      <c r="B1453" s="958" t="s">
        <v>20</v>
      </c>
      <c r="C1453" s="688">
        <v>46172</v>
      </c>
      <c r="D1453" s="659" t="s">
        <v>5935</v>
      </c>
      <c r="E1453" s="659" t="s">
        <v>5936</v>
      </c>
      <c r="F1453" s="660" t="s">
        <v>5937</v>
      </c>
      <c r="G1453" s="660" t="s">
        <v>5938</v>
      </c>
      <c r="H1453" s="663" t="s">
        <v>5939</v>
      </c>
      <c r="I1453" s="724" t="s">
        <v>5940</v>
      </c>
      <c r="J1453" s="660" t="s">
        <v>5944</v>
      </c>
      <c r="K1453" s="724" t="s">
        <v>5941</v>
      </c>
      <c r="L1453" s="677"/>
      <c r="M1453" s="743">
        <v>250000</v>
      </c>
      <c r="N1453" s="960" t="s">
        <v>5943</v>
      </c>
    </row>
    <row r="1454" spans="1:14">
      <c r="A1454" s="754">
        <v>22</v>
      </c>
      <c r="B1454" s="959"/>
      <c r="C1454" s="688">
        <v>46172</v>
      </c>
      <c r="D1454" s="659" t="s">
        <v>5935</v>
      </c>
      <c r="E1454" s="659" t="s">
        <v>5936</v>
      </c>
      <c r="F1454" s="660" t="s">
        <v>5937</v>
      </c>
      <c r="G1454" s="714">
        <v>1517</v>
      </c>
      <c r="H1454" s="714" t="s">
        <v>5942</v>
      </c>
      <c r="I1454" s="715" t="s">
        <v>5958</v>
      </c>
      <c r="J1454" s="736" t="s">
        <v>5945</v>
      </c>
      <c r="K1454" s="724" t="s">
        <v>5941</v>
      </c>
      <c r="L1454" s="677"/>
      <c r="M1454" s="743">
        <v>250000</v>
      </c>
      <c r="N1454" s="961"/>
    </row>
    <row r="1455" spans="1:14">
      <c r="A1455" s="754">
        <v>22</v>
      </c>
      <c r="B1455" s="959"/>
      <c r="C1455" s="688" t="s">
        <v>5951</v>
      </c>
      <c r="D1455" s="659" t="s">
        <v>5935</v>
      </c>
      <c r="E1455" s="659" t="s">
        <v>5936</v>
      </c>
      <c r="F1455" s="660" t="s">
        <v>5937</v>
      </c>
      <c r="G1455" s="714" t="s">
        <v>5952</v>
      </c>
      <c r="H1455" s="714" t="s">
        <v>5953</v>
      </c>
      <c r="I1455" s="715" t="s">
        <v>5954</v>
      </c>
      <c r="J1455" s="736" t="s">
        <v>5955</v>
      </c>
      <c r="K1455" s="716" t="s">
        <v>5956</v>
      </c>
      <c r="L1455" s="677"/>
      <c r="M1455" s="743">
        <f>250000*4</f>
        <v>1000000</v>
      </c>
      <c r="N1455" s="737"/>
    </row>
    <row r="1456" spans="1:14">
      <c r="A1456" s="754">
        <v>22</v>
      </c>
      <c r="B1456" s="959"/>
      <c r="C1456" s="688" t="s">
        <v>5959</v>
      </c>
      <c r="D1456" s="659" t="s">
        <v>5935</v>
      </c>
      <c r="E1456" s="659" t="s">
        <v>5936</v>
      </c>
      <c r="F1456" s="660" t="s">
        <v>5937</v>
      </c>
      <c r="G1456" s="714">
        <v>1517</v>
      </c>
      <c r="H1456" s="714" t="s">
        <v>5942</v>
      </c>
      <c r="I1456" s="715" t="s">
        <v>5957</v>
      </c>
      <c r="J1456" s="736" t="s">
        <v>5948</v>
      </c>
      <c r="K1456" s="716" t="s">
        <v>5949</v>
      </c>
      <c r="L1456" s="677"/>
      <c r="M1456" s="743">
        <f>250000*2</f>
        <v>500000</v>
      </c>
      <c r="N1456" s="737"/>
    </row>
    <row r="1457" spans="1:14">
      <c r="A1457" s="754">
        <v>22</v>
      </c>
      <c r="B1457" s="959"/>
      <c r="C1457" s="688" t="s">
        <v>5950</v>
      </c>
      <c r="D1457" s="659" t="s">
        <v>5935</v>
      </c>
      <c r="E1457" s="659" t="s">
        <v>5936</v>
      </c>
      <c r="F1457" s="660" t="s">
        <v>5937</v>
      </c>
      <c r="G1457" s="714">
        <v>7062</v>
      </c>
      <c r="H1457" s="714" t="s">
        <v>5946</v>
      </c>
      <c r="I1457" s="715" t="s">
        <v>5947</v>
      </c>
      <c r="J1457" s="736" t="s">
        <v>5948</v>
      </c>
      <c r="K1457" s="716" t="s">
        <v>5949</v>
      </c>
      <c r="L1457" s="677"/>
      <c r="M1457" s="743">
        <v>500000</v>
      </c>
      <c r="N1457" s="737"/>
    </row>
    <row r="1458" spans="1:14">
      <c r="A1458" s="754">
        <v>22</v>
      </c>
      <c r="B1458" s="959"/>
      <c r="C1458" s="688" t="s">
        <v>5950</v>
      </c>
      <c r="D1458" s="659" t="s">
        <v>5935</v>
      </c>
      <c r="E1458" s="659" t="s">
        <v>5936</v>
      </c>
      <c r="F1458" s="660" t="s">
        <v>5937</v>
      </c>
      <c r="G1458" s="660" t="s">
        <v>5960</v>
      </c>
      <c r="H1458" s="714" t="s">
        <v>5961</v>
      </c>
      <c r="I1458" s="715" t="s">
        <v>5963</v>
      </c>
      <c r="J1458" s="736" t="s">
        <v>5962</v>
      </c>
      <c r="K1458" s="716" t="s">
        <v>5949</v>
      </c>
      <c r="L1458" s="677"/>
      <c r="M1458" s="743">
        <v>500000</v>
      </c>
      <c r="N1458" s="738"/>
    </row>
    <row r="1459" spans="1:14">
      <c r="A1459" s="754">
        <v>22</v>
      </c>
      <c r="B1459" s="958" t="s">
        <v>21</v>
      </c>
      <c r="C1459" s="671">
        <v>46174</v>
      </c>
      <c r="D1459" s="659" t="s">
        <v>5967</v>
      </c>
      <c r="E1459" s="659" t="s">
        <v>14</v>
      </c>
      <c r="F1459" s="660" t="s">
        <v>211</v>
      </c>
      <c r="G1459" s="660" t="s">
        <v>2916</v>
      </c>
      <c r="H1459" s="663" t="s">
        <v>2917</v>
      </c>
      <c r="I1459" s="724" t="s">
        <v>5834</v>
      </c>
      <c r="J1459" s="963" t="s">
        <v>3274</v>
      </c>
      <c r="K1459" s="963" t="s">
        <v>3454</v>
      </c>
      <c r="L1459" s="677" t="s">
        <v>3265</v>
      </c>
      <c r="M1459" s="965">
        <v>250000</v>
      </c>
      <c r="N1459" s="739" t="s">
        <v>5965</v>
      </c>
    </row>
    <row r="1460" spans="1:14">
      <c r="A1460" s="754">
        <v>22</v>
      </c>
      <c r="B1460" s="959"/>
      <c r="C1460" s="671">
        <v>46174</v>
      </c>
      <c r="D1460" s="659" t="s">
        <v>5967</v>
      </c>
      <c r="E1460" s="659" t="s">
        <v>14</v>
      </c>
      <c r="F1460" s="660" t="s">
        <v>211</v>
      </c>
      <c r="G1460" s="660" t="s">
        <v>5754</v>
      </c>
      <c r="H1460" s="663" t="s">
        <v>5833</v>
      </c>
      <c r="I1460" s="724" t="s">
        <v>5832</v>
      </c>
      <c r="J1460" s="964"/>
      <c r="K1460" s="964"/>
      <c r="L1460" s="677" t="s">
        <v>3265</v>
      </c>
      <c r="M1460" s="966"/>
      <c r="N1460" s="739" t="s">
        <v>5966</v>
      </c>
    </row>
    <row r="1461" spans="1:14">
      <c r="A1461" s="754">
        <v>22</v>
      </c>
      <c r="B1461" s="959"/>
      <c r="C1461" s="671">
        <v>46175</v>
      </c>
      <c r="D1461" s="659" t="s">
        <v>21</v>
      </c>
      <c r="E1461" s="659" t="s">
        <v>17</v>
      </c>
      <c r="F1461" s="724" t="s">
        <v>1893</v>
      </c>
      <c r="G1461" s="724" t="s">
        <v>1323</v>
      </c>
      <c r="H1461" s="663" t="s">
        <v>1391</v>
      </c>
      <c r="I1461" s="724" t="s">
        <v>5791</v>
      </c>
      <c r="J1461" s="660" t="s">
        <v>3274</v>
      </c>
      <c r="K1461" s="724" t="s">
        <v>5897</v>
      </c>
      <c r="L1461" s="677" t="s">
        <v>3265</v>
      </c>
      <c r="M1461" s="718">
        <v>250000</v>
      </c>
      <c r="N1461" s="739" t="s">
        <v>5968</v>
      </c>
    </row>
    <row r="1462" spans="1:14">
      <c r="A1462" s="754">
        <v>22</v>
      </c>
      <c r="B1462" s="959"/>
      <c r="C1462" s="671">
        <v>46175</v>
      </c>
      <c r="D1462" s="659" t="s">
        <v>2064</v>
      </c>
      <c r="E1462" s="659" t="s">
        <v>3264</v>
      </c>
      <c r="F1462" s="724" t="s">
        <v>5964</v>
      </c>
      <c r="G1462" s="660" t="s">
        <v>5797</v>
      </c>
      <c r="H1462" s="663" t="s">
        <v>4091</v>
      </c>
      <c r="I1462" s="590" t="s">
        <v>5976</v>
      </c>
      <c r="J1462" s="660" t="s">
        <v>5899</v>
      </c>
      <c r="K1462" s="724" t="s">
        <v>5884</v>
      </c>
      <c r="L1462" s="659" t="s">
        <v>3265</v>
      </c>
      <c r="M1462" s="718">
        <v>250000</v>
      </c>
      <c r="N1462" s="739" t="s">
        <v>5977</v>
      </c>
    </row>
    <row r="1463" spans="1:14">
      <c r="A1463" s="754">
        <v>22</v>
      </c>
      <c r="B1463" s="959"/>
      <c r="C1463" s="688">
        <v>46177</v>
      </c>
      <c r="D1463" s="659" t="s">
        <v>5901</v>
      </c>
      <c r="E1463" s="659" t="s">
        <v>14</v>
      </c>
      <c r="F1463" s="660" t="s">
        <v>5902</v>
      </c>
      <c r="G1463" s="660" t="s">
        <v>5903</v>
      </c>
      <c r="H1463" s="663" t="s">
        <v>5904</v>
      </c>
      <c r="I1463" s="724" t="s">
        <v>5905</v>
      </c>
      <c r="J1463" s="660" t="s">
        <v>5906</v>
      </c>
      <c r="K1463" s="660" t="s">
        <v>5907</v>
      </c>
      <c r="L1463" s="677" t="s">
        <v>5894</v>
      </c>
      <c r="M1463" s="718">
        <v>600000</v>
      </c>
      <c r="N1463" s="739" t="s">
        <v>5969</v>
      </c>
    </row>
    <row r="1464" spans="1:14">
      <c r="A1464" s="754">
        <v>22</v>
      </c>
      <c r="B1464" s="959"/>
      <c r="C1464" s="671">
        <v>46178</v>
      </c>
      <c r="D1464" s="677" t="s">
        <v>5914</v>
      </c>
      <c r="E1464" s="677" t="s">
        <v>5915</v>
      </c>
      <c r="F1464" s="679" t="s">
        <v>5916</v>
      </c>
      <c r="G1464" s="679" t="s">
        <v>5917</v>
      </c>
      <c r="H1464" s="682" t="s">
        <v>553</v>
      </c>
      <c r="I1464" s="680" t="s">
        <v>5919</v>
      </c>
      <c r="J1464" s="679"/>
      <c r="K1464" s="967" t="s">
        <v>5921</v>
      </c>
      <c r="L1464" s="677" t="s">
        <v>15</v>
      </c>
      <c r="M1464" s="965">
        <v>500000</v>
      </c>
      <c r="N1464" s="739" t="s">
        <v>5970</v>
      </c>
    </row>
    <row r="1465" spans="1:14">
      <c r="A1465" s="754">
        <v>22</v>
      </c>
      <c r="B1465" s="962"/>
      <c r="C1465" s="671">
        <v>46178</v>
      </c>
      <c r="D1465" s="677" t="s">
        <v>5914</v>
      </c>
      <c r="E1465" s="677" t="s">
        <v>5915</v>
      </c>
      <c r="F1465" s="679" t="s">
        <v>5916</v>
      </c>
      <c r="G1465" s="679" t="s">
        <v>5917</v>
      </c>
      <c r="H1465" s="682" t="s">
        <v>5918</v>
      </c>
      <c r="I1465" s="680" t="s">
        <v>5920</v>
      </c>
      <c r="J1465" s="679"/>
      <c r="K1465" s="968"/>
      <c r="L1465" s="677" t="s">
        <v>15</v>
      </c>
      <c r="M1465" s="966"/>
      <c r="N1465" s="739" t="s">
        <v>5971</v>
      </c>
    </row>
    <row r="1466" spans="1:14">
      <c r="A1466" s="783">
        <v>23</v>
      </c>
      <c r="B1466" s="794" t="s">
        <v>20</v>
      </c>
      <c r="C1466" s="671">
        <v>46179</v>
      </c>
      <c r="D1466" s="659" t="s">
        <v>6062</v>
      </c>
      <c r="E1466" s="659" t="s">
        <v>6063</v>
      </c>
      <c r="F1466" s="660" t="s">
        <v>6064</v>
      </c>
      <c r="G1466" s="660">
        <v>1615</v>
      </c>
      <c r="H1466" s="663" t="s">
        <v>6060</v>
      </c>
      <c r="I1466" s="770" t="s">
        <v>6065</v>
      </c>
      <c r="J1466" s="660" t="s">
        <v>6066</v>
      </c>
      <c r="K1466" s="770" t="s">
        <v>6083</v>
      </c>
      <c r="L1466" s="782" t="s">
        <v>6068</v>
      </c>
      <c r="M1466" s="766">
        <v>250000</v>
      </c>
      <c r="N1466" s="677" t="s">
        <v>5994</v>
      </c>
    </row>
    <row r="1467" spans="1:14">
      <c r="A1467" s="783">
        <v>23</v>
      </c>
      <c r="B1467" s="794"/>
      <c r="C1467" s="671" t="s">
        <v>6061</v>
      </c>
      <c r="D1467" s="659" t="s">
        <v>6062</v>
      </c>
      <c r="E1467" s="659" t="s">
        <v>6063</v>
      </c>
      <c r="F1467" s="660" t="s">
        <v>6064</v>
      </c>
      <c r="G1467" s="660">
        <v>1615</v>
      </c>
      <c r="H1467" s="663" t="s">
        <v>6060</v>
      </c>
      <c r="I1467" s="770" t="s">
        <v>6065</v>
      </c>
      <c r="J1467" s="660" t="s">
        <v>6066</v>
      </c>
      <c r="K1467" s="770" t="s">
        <v>6067</v>
      </c>
      <c r="L1467" s="782" t="s">
        <v>6068</v>
      </c>
      <c r="M1467" s="766">
        <f>250000*5</f>
        <v>1250000</v>
      </c>
      <c r="N1467" s="659"/>
    </row>
    <row r="1468" spans="1:14">
      <c r="A1468" s="783">
        <v>23</v>
      </c>
      <c r="B1468" s="794"/>
      <c r="C1468" s="671" t="s">
        <v>6069</v>
      </c>
      <c r="D1468" s="659" t="s">
        <v>6062</v>
      </c>
      <c r="E1468" s="659" t="s">
        <v>6063</v>
      </c>
      <c r="F1468" s="660" t="s">
        <v>6064</v>
      </c>
      <c r="G1468" s="764" t="s">
        <v>6070</v>
      </c>
      <c r="H1468" s="764" t="s">
        <v>6071</v>
      </c>
      <c r="I1468" s="765" t="s">
        <v>6072</v>
      </c>
      <c r="J1468" s="677"/>
      <c r="K1468" s="677" t="s">
        <v>6073</v>
      </c>
      <c r="L1468" s="782" t="s">
        <v>6068</v>
      </c>
      <c r="M1468" s="766">
        <f>250000*2</f>
        <v>500000</v>
      </c>
      <c r="N1468" s="784"/>
    </row>
    <row r="1469" spans="1:14" ht="24">
      <c r="A1469" s="783">
        <v>23</v>
      </c>
      <c r="B1469" s="794"/>
      <c r="C1469" s="671" t="s">
        <v>6074</v>
      </c>
      <c r="D1469" s="659" t="s">
        <v>6062</v>
      </c>
      <c r="E1469" s="659" t="s">
        <v>6063</v>
      </c>
      <c r="F1469" s="660" t="s">
        <v>6064</v>
      </c>
      <c r="G1469" s="764" t="s">
        <v>6080</v>
      </c>
      <c r="H1469" s="764" t="s">
        <v>6076</v>
      </c>
      <c r="I1469" s="765" t="s">
        <v>6075</v>
      </c>
      <c r="J1469" s="677"/>
      <c r="K1469" s="677" t="s">
        <v>6081</v>
      </c>
      <c r="L1469" s="782" t="s">
        <v>6068</v>
      </c>
      <c r="M1469" s="766">
        <f>250000*4</f>
        <v>1000000</v>
      </c>
      <c r="N1469" s="784"/>
    </row>
    <row r="1470" spans="1:14">
      <c r="A1470" s="783">
        <v>23</v>
      </c>
      <c r="B1470" s="794"/>
      <c r="C1470" s="671" t="s">
        <v>6077</v>
      </c>
      <c r="D1470" s="659" t="s">
        <v>6062</v>
      </c>
      <c r="E1470" s="659" t="s">
        <v>6063</v>
      </c>
      <c r="F1470" s="660" t="s">
        <v>6064</v>
      </c>
      <c r="G1470" s="764">
        <v>7062</v>
      </c>
      <c r="H1470" s="764" t="s">
        <v>6078</v>
      </c>
      <c r="I1470" s="765" t="s">
        <v>6079</v>
      </c>
      <c r="J1470" s="677"/>
      <c r="K1470" s="677" t="s">
        <v>6082</v>
      </c>
      <c r="L1470" s="782" t="s">
        <v>6068</v>
      </c>
      <c r="M1470" s="766">
        <f>250000*3</f>
        <v>750000</v>
      </c>
      <c r="N1470" s="784"/>
    </row>
    <row r="1471" spans="1:14">
      <c r="A1471" s="783">
        <v>23</v>
      </c>
      <c r="B1471" s="794" t="s">
        <v>21</v>
      </c>
      <c r="C1471" s="370">
        <v>46177</v>
      </c>
      <c r="D1471" s="3" t="s">
        <v>21</v>
      </c>
      <c r="E1471" s="3" t="s">
        <v>14</v>
      </c>
      <c r="F1471" s="462" t="s">
        <v>107</v>
      </c>
      <c r="G1471" s="462" t="s">
        <v>3386</v>
      </c>
      <c r="H1471" s="467" t="s">
        <v>5904</v>
      </c>
      <c r="I1471" s="461" t="s">
        <v>5905</v>
      </c>
      <c r="J1471" s="462" t="s">
        <v>90</v>
      </c>
      <c r="K1471" s="462" t="s">
        <v>686</v>
      </c>
      <c r="L1471" s="125" t="s">
        <v>15</v>
      </c>
      <c r="M1471" s="781">
        <v>250000</v>
      </c>
      <c r="N1471" s="677" t="s">
        <v>5994</v>
      </c>
    </row>
    <row r="1472" spans="1:14">
      <c r="A1472" s="783">
        <v>23</v>
      </c>
      <c r="B1472" s="794"/>
      <c r="C1472" s="370">
        <v>46178</v>
      </c>
      <c r="D1472" s="3" t="s">
        <v>21</v>
      </c>
      <c r="E1472" s="3" t="s">
        <v>14</v>
      </c>
      <c r="F1472" s="462" t="s">
        <v>107</v>
      </c>
      <c r="G1472" s="462" t="s">
        <v>3386</v>
      </c>
      <c r="H1472" s="467" t="s">
        <v>5904</v>
      </c>
      <c r="I1472" s="461" t="s">
        <v>5905</v>
      </c>
      <c r="J1472" s="462" t="s">
        <v>90</v>
      </c>
      <c r="K1472" s="462" t="s">
        <v>686</v>
      </c>
      <c r="L1472" s="125" t="s">
        <v>15</v>
      </c>
      <c r="M1472" s="781">
        <v>250000</v>
      </c>
      <c r="N1472" s="677" t="s">
        <v>5994</v>
      </c>
    </row>
    <row r="1473" spans="1:14">
      <c r="A1473" s="783">
        <v>23</v>
      </c>
      <c r="B1473" s="794"/>
      <c r="C1473" s="370">
        <v>46178</v>
      </c>
      <c r="D1473" s="4" t="s">
        <v>21</v>
      </c>
      <c r="E1473" s="4" t="s">
        <v>14</v>
      </c>
      <c r="F1473" s="778" t="s">
        <v>1893</v>
      </c>
      <c r="G1473" s="462" t="s">
        <v>4939</v>
      </c>
      <c r="H1473" s="16" t="s">
        <v>6017</v>
      </c>
      <c r="I1473" s="780" t="s">
        <v>6005</v>
      </c>
      <c r="J1473" s="778" t="s">
        <v>6042</v>
      </c>
      <c r="K1473" s="780" t="s">
        <v>6016</v>
      </c>
      <c r="L1473" s="125" t="s">
        <v>15</v>
      </c>
      <c r="M1473" s="781">
        <v>300000</v>
      </c>
      <c r="N1473" s="677" t="s">
        <v>5994</v>
      </c>
    </row>
    <row r="1474" spans="1:14" ht="27">
      <c r="A1474" s="783">
        <v>23</v>
      </c>
      <c r="B1474" s="794"/>
      <c r="C1474" s="370">
        <v>46181</v>
      </c>
      <c r="D1474" s="3" t="s">
        <v>6009</v>
      </c>
      <c r="E1474" s="3" t="s">
        <v>6010</v>
      </c>
      <c r="F1474" s="462" t="s">
        <v>6011</v>
      </c>
      <c r="G1474" s="461" t="s">
        <v>6020</v>
      </c>
      <c r="H1474" s="467" t="s">
        <v>6008</v>
      </c>
      <c r="I1474" s="461" t="s">
        <v>6018</v>
      </c>
      <c r="J1474" s="795" t="s">
        <v>90</v>
      </c>
      <c r="K1474" s="795" t="s">
        <v>6012</v>
      </c>
      <c r="L1474" s="136" t="s">
        <v>15</v>
      </c>
      <c r="M1474" s="796">
        <v>250000</v>
      </c>
      <c r="N1474" s="677"/>
    </row>
    <row r="1475" spans="1:14" ht="27">
      <c r="A1475" s="783">
        <v>23</v>
      </c>
      <c r="B1475" s="794"/>
      <c r="C1475" s="370">
        <v>46181</v>
      </c>
      <c r="D1475" s="4" t="s">
        <v>21</v>
      </c>
      <c r="E1475" s="4" t="s">
        <v>17</v>
      </c>
      <c r="F1475" s="778" t="s">
        <v>78</v>
      </c>
      <c r="G1475" s="461" t="s">
        <v>6020</v>
      </c>
      <c r="H1475" s="16" t="s">
        <v>37</v>
      </c>
      <c r="I1475" s="780" t="s">
        <v>6001</v>
      </c>
      <c r="J1475" s="795"/>
      <c r="K1475" s="795"/>
      <c r="L1475" s="136" t="s">
        <v>15</v>
      </c>
      <c r="M1475" s="796"/>
      <c r="N1475" s="677"/>
    </row>
    <row r="1476" spans="1:14">
      <c r="A1476" s="783">
        <v>23</v>
      </c>
      <c r="B1476" s="794"/>
      <c r="C1476" s="370">
        <v>46181</v>
      </c>
      <c r="D1476" s="3" t="s">
        <v>21</v>
      </c>
      <c r="E1476" s="3" t="s">
        <v>14</v>
      </c>
      <c r="F1476" s="462" t="s">
        <v>1893</v>
      </c>
      <c r="G1476" s="462" t="s">
        <v>4939</v>
      </c>
      <c r="H1476" s="467" t="s">
        <v>482</v>
      </c>
      <c r="I1476" s="461" t="s">
        <v>6043</v>
      </c>
      <c r="J1476" s="462" t="s">
        <v>6044</v>
      </c>
      <c r="K1476" s="461" t="s">
        <v>6045</v>
      </c>
      <c r="L1476" s="125" t="s">
        <v>6046</v>
      </c>
      <c r="M1476" s="781">
        <v>300000</v>
      </c>
      <c r="N1476" s="677"/>
    </row>
    <row r="1477" spans="1:14">
      <c r="A1477" s="783">
        <v>23</v>
      </c>
      <c r="B1477" s="794"/>
      <c r="C1477" s="370">
        <v>46181</v>
      </c>
      <c r="D1477" s="3" t="s">
        <v>21</v>
      </c>
      <c r="E1477" s="3" t="s">
        <v>14</v>
      </c>
      <c r="F1477" s="481" t="s">
        <v>149</v>
      </c>
      <c r="G1477" s="462" t="s">
        <v>4090</v>
      </c>
      <c r="H1477" s="467" t="s">
        <v>4091</v>
      </c>
      <c r="I1477" s="461" t="s">
        <v>5997</v>
      </c>
      <c r="J1477" s="462" t="s">
        <v>6007</v>
      </c>
      <c r="K1477" s="462" t="s">
        <v>153</v>
      </c>
      <c r="L1477" s="136" t="s">
        <v>15</v>
      </c>
      <c r="M1477" s="781">
        <v>250000</v>
      </c>
      <c r="N1477" s="677"/>
    </row>
    <row r="1478" spans="1:14">
      <c r="A1478" s="783">
        <v>23</v>
      </c>
      <c r="B1478" s="794"/>
      <c r="C1478" s="370">
        <v>46182</v>
      </c>
      <c r="D1478" s="3" t="s">
        <v>21</v>
      </c>
      <c r="E1478" s="3" t="s">
        <v>14</v>
      </c>
      <c r="F1478" s="481" t="s">
        <v>149</v>
      </c>
      <c r="G1478" s="462" t="s">
        <v>4090</v>
      </c>
      <c r="H1478" s="467" t="s">
        <v>4091</v>
      </c>
      <c r="I1478" s="461" t="s">
        <v>1276</v>
      </c>
      <c r="J1478" s="462" t="s">
        <v>6007</v>
      </c>
      <c r="K1478" s="462" t="s">
        <v>153</v>
      </c>
      <c r="L1478" s="136" t="s">
        <v>15</v>
      </c>
      <c r="M1478" s="781">
        <v>250000</v>
      </c>
      <c r="N1478" s="677"/>
    </row>
    <row r="1479" spans="1:14">
      <c r="A1479" s="783">
        <v>23</v>
      </c>
      <c r="B1479" s="794"/>
      <c r="C1479" s="370">
        <v>46182</v>
      </c>
      <c r="D1479" s="4" t="s">
        <v>21</v>
      </c>
      <c r="E1479" s="4" t="s">
        <v>14</v>
      </c>
      <c r="F1479" s="778" t="s">
        <v>1893</v>
      </c>
      <c r="G1479" s="462" t="s">
        <v>4939</v>
      </c>
      <c r="H1479" s="16" t="s">
        <v>3301</v>
      </c>
      <c r="I1479" s="780" t="s">
        <v>6058</v>
      </c>
      <c r="J1479" s="778"/>
      <c r="K1479" s="780" t="s">
        <v>6055</v>
      </c>
      <c r="L1479" s="125" t="s">
        <v>15</v>
      </c>
      <c r="M1479" s="781">
        <v>300000</v>
      </c>
      <c r="N1479" s="677"/>
    </row>
    <row r="1480" spans="1:14">
      <c r="A1480" s="783">
        <v>23</v>
      </c>
      <c r="B1480" s="794"/>
      <c r="C1480" s="370">
        <v>46182</v>
      </c>
      <c r="D1480" s="3" t="s">
        <v>21</v>
      </c>
      <c r="E1480" s="3" t="s">
        <v>14</v>
      </c>
      <c r="F1480" s="462" t="s">
        <v>107</v>
      </c>
      <c r="G1480" s="462" t="s">
        <v>3386</v>
      </c>
      <c r="H1480" s="467" t="s">
        <v>6015</v>
      </c>
      <c r="I1480" s="780" t="s">
        <v>6048</v>
      </c>
      <c r="J1480" s="778" t="s">
        <v>6057</v>
      </c>
      <c r="K1480" s="780" t="s">
        <v>6056</v>
      </c>
      <c r="L1480" s="125" t="s">
        <v>6049</v>
      </c>
      <c r="M1480" s="781">
        <v>300000</v>
      </c>
      <c r="N1480" s="677"/>
    </row>
    <row r="1481" spans="1:14">
      <c r="A1481" s="783">
        <v>23</v>
      </c>
      <c r="B1481" s="794"/>
      <c r="C1481" s="370">
        <v>46183</v>
      </c>
      <c r="D1481" s="3" t="s">
        <v>21</v>
      </c>
      <c r="E1481" s="3" t="s">
        <v>14</v>
      </c>
      <c r="F1481" s="462" t="s">
        <v>107</v>
      </c>
      <c r="G1481" s="462" t="s">
        <v>3386</v>
      </c>
      <c r="H1481" s="467" t="s">
        <v>6015</v>
      </c>
      <c r="I1481" s="780" t="s">
        <v>6052</v>
      </c>
      <c r="J1481" s="778"/>
      <c r="K1481" s="780" t="s">
        <v>6051</v>
      </c>
      <c r="L1481" s="125" t="s">
        <v>6049</v>
      </c>
      <c r="M1481" s="781">
        <v>300000</v>
      </c>
      <c r="N1481" s="677"/>
    </row>
    <row r="1482" spans="1:14">
      <c r="A1482" s="783">
        <v>23</v>
      </c>
      <c r="B1482" s="794"/>
      <c r="C1482" s="370">
        <v>46183</v>
      </c>
      <c r="D1482" s="3" t="s">
        <v>21</v>
      </c>
      <c r="E1482" s="3" t="s">
        <v>14</v>
      </c>
      <c r="F1482" s="462" t="s">
        <v>1893</v>
      </c>
      <c r="G1482" s="462" t="s">
        <v>4939</v>
      </c>
      <c r="H1482" s="467" t="s">
        <v>482</v>
      </c>
      <c r="I1482" s="461" t="s">
        <v>6043</v>
      </c>
      <c r="J1482" s="462" t="s">
        <v>6044</v>
      </c>
      <c r="K1482" s="461" t="s">
        <v>6047</v>
      </c>
      <c r="L1482" s="125" t="s">
        <v>6046</v>
      </c>
      <c r="M1482" s="781">
        <v>800000</v>
      </c>
      <c r="N1482" s="677"/>
    </row>
    <row r="1483" spans="1:14">
      <c r="A1483" s="783">
        <v>23</v>
      </c>
      <c r="B1483" s="794"/>
      <c r="C1483" s="370">
        <v>46184</v>
      </c>
      <c r="D1483" s="3" t="s">
        <v>21</v>
      </c>
      <c r="E1483" s="3" t="s">
        <v>14</v>
      </c>
      <c r="F1483" s="462" t="s">
        <v>1893</v>
      </c>
      <c r="G1483" s="462" t="s">
        <v>4939</v>
      </c>
      <c r="H1483" s="467" t="s">
        <v>482</v>
      </c>
      <c r="I1483" s="461" t="s">
        <v>6043</v>
      </c>
      <c r="J1483" s="462" t="s">
        <v>6044</v>
      </c>
      <c r="K1483" s="461" t="s">
        <v>6047</v>
      </c>
      <c r="L1483" s="125" t="s">
        <v>6046</v>
      </c>
      <c r="M1483" s="781">
        <v>800000</v>
      </c>
      <c r="N1483" s="677"/>
    </row>
    <row r="1484" spans="1:14">
      <c r="A1484" s="783">
        <v>23</v>
      </c>
      <c r="B1484" s="794"/>
      <c r="C1484" s="370">
        <v>46184</v>
      </c>
      <c r="D1484" s="4" t="s">
        <v>21</v>
      </c>
      <c r="E1484" s="4" t="s">
        <v>14</v>
      </c>
      <c r="F1484" s="778" t="s">
        <v>107</v>
      </c>
      <c r="G1484" s="778" t="s">
        <v>2959</v>
      </c>
      <c r="H1484" s="16" t="s">
        <v>376</v>
      </c>
      <c r="I1484" s="780" t="s">
        <v>5920</v>
      </c>
      <c r="J1484" s="778" t="s">
        <v>6022</v>
      </c>
      <c r="K1484" s="780" t="s">
        <v>6023</v>
      </c>
      <c r="L1484" s="125" t="s">
        <v>15</v>
      </c>
      <c r="M1484" s="781">
        <v>250000</v>
      </c>
      <c r="N1484" s="677"/>
    </row>
    <row r="1485" spans="1:14">
      <c r="A1485" s="783">
        <v>23</v>
      </c>
      <c r="B1485" s="794"/>
      <c r="C1485" s="370">
        <v>46185</v>
      </c>
      <c r="D1485" s="3" t="s">
        <v>21</v>
      </c>
      <c r="E1485" s="3" t="s">
        <v>14</v>
      </c>
      <c r="F1485" s="462" t="s">
        <v>1893</v>
      </c>
      <c r="G1485" s="462" t="s">
        <v>4939</v>
      </c>
      <c r="H1485" s="467" t="s">
        <v>482</v>
      </c>
      <c r="I1485" s="461" t="s">
        <v>6043</v>
      </c>
      <c r="J1485" s="462" t="s">
        <v>6044</v>
      </c>
      <c r="K1485" s="461" t="s">
        <v>6047</v>
      </c>
      <c r="L1485" s="125" t="s">
        <v>6046</v>
      </c>
      <c r="M1485" s="781">
        <v>800000</v>
      </c>
      <c r="N1485" s="677"/>
    </row>
    <row r="1486" spans="1:14">
      <c r="A1486" s="783">
        <v>24</v>
      </c>
      <c r="B1486" s="794" t="s">
        <v>20</v>
      </c>
      <c r="C1486" s="370">
        <v>46186</v>
      </c>
      <c r="D1486" s="659" t="s">
        <v>19</v>
      </c>
      <c r="E1486" s="659" t="s">
        <v>151</v>
      </c>
      <c r="F1486" s="660" t="s">
        <v>5254</v>
      </c>
      <c r="G1486" s="660">
        <v>7063</v>
      </c>
      <c r="H1486" s="663" t="s">
        <v>1391</v>
      </c>
      <c r="I1486" s="777" t="s">
        <v>1105</v>
      </c>
      <c r="J1486" s="660" t="s">
        <v>1259</v>
      </c>
      <c r="K1486" s="777" t="s">
        <v>2828</v>
      </c>
      <c r="L1486" s="782" t="s">
        <v>209</v>
      </c>
      <c r="M1486" s="776">
        <v>250000</v>
      </c>
      <c r="N1486" s="677" t="s">
        <v>6109</v>
      </c>
    </row>
    <row r="1487" spans="1:14" ht="27">
      <c r="A1487" s="783">
        <v>24</v>
      </c>
      <c r="B1487" s="794"/>
      <c r="C1487" s="370" t="s">
        <v>6144</v>
      </c>
      <c r="D1487" s="659" t="s">
        <v>19</v>
      </c>
      <c r="E1487" s="659" t="s">
        <v>151</v>
      </c>
      <c r="F1487" s="660" t="s">
        <v>5254</v>
      </c>
      <c r="G1487" s="660">
        <v>7063</v>
      </c>
      <c r="H1487" s="663" t="s">
        <v>1391</v>
      </c>
      <c r="I1487" s="777" t="s">
        <v>1105</v>
      </c>
      <c r="J1487" s="660" t="s">
        <v>1259</v>
      </c>
      <c r="K1487" s="777" t="s">
        <v>3004</v>
      </c>
      <c r="L1487" s="782" t="s">
        <v>209</v>
      </c>
      <c r="M1487" s="776">
        <v>750000</v>
      </c>
      <c r="N1487" s="677"/>
    </row>
    <row r="1488" spans="1:14">
      <c r="A1488" s="783">
        <v>24</v>
      </c>
      <c r="B1488" s="794"/>
      <c r="C1488" s="370">
        <v>46188</v>
      </c>
      <c r="D1488" s="659" t="s">
        <v>19</v>
      </c>
      <c r="E1488" s="659" t="s">
        <v>151</v>
      </c>
      <c r="F1488" s="660" t="s">
        <v>5254</v>
      </c>
      <c r="G1488" s="660" t="s">
        <v>5848</v>
      </c>
      <c r="H1488" s="663" t="s">
        <v>6138</v>
      </c>
      <c r="I1488" s="777" t="s">
        <v>6139</v>
      </c>
      <c r="J1488" s="660" t="s">
        <v>168</v>
      </c>
      <c r="K1488" s="777" t="s">
        <v>1101</v>
      </c>
      <c r="L1488" s="782" t="s">
        <v>209</v>
      </c>
      <c r="M1488" s="776">
        <v>500000</v>
      </c>
      <c r="N1488" s="659"/>
    </row>
    <row r="1489" spans="1:14" ht="27">
      <c r="A1489" s="783">
        <v>24</v>
      </c>
      <c r="B1489" s="794"/>
      <c r="C1489" s="370" t="s">
        <v>6142</v>
      </c>
      <c r="D1489" s="659" t="s">
        <v>19</v>
      </c>
      <c r="E1489" s="659" t="s">
        <v>151</v>
      </c>
      <c r="F1489" s="660" t="s">
        <v>5254</v>
      </c>
      <c r="G1489" s="774">
        <v>7062</v>
      </c>
      <c r="H1489" s="774" t="s">
        <v>143</v>
      </c>
      <c r="I1489" s="775" t="s">
        <v>2962</v>
      </c>
      <c r="J1489" s="660" t="s">
        <v>168</v>
      </c>
      <c r="K1489" s="777" t="s">
        <v>1101</v>
      </c>
      <c r="L1489" s="782" t="s">
        <v>209</v>
      </c>
      <c r="M1489" s="776">
        <v>500000</v>
      </c>
      <c r="N1489" s="784"/>
    </row>
    <row r="1490" spans="1:14" ht="24">
      <c r="A1490" s="783">
        <v>24</v>
      </c>
      <c r="B1490" s="794"/>
      <c r="C1490" s="671" t="s">
        <v>6143</v>
      </c>
      <c r="D1490" s="659" t="s">
        <v>19</v>
      </c>
      <c r="E1490" s="659" t="s">
        <v>151</v>
      </c>
      <c r="F1490" s="660" t="s">
        <v>5254</v>
      </c>
      <c r="G1490" s="774" t="s">
        <v>6080</v>
      </c>
      <c r="H1490" s="774" t="s">
        <v>145</v>
      </c>
      <c r="I1490" s="775" t="s">
        <v>378</v>
      </c>
      <c r="J1490" s="677" t="s">
        <v>126</v>
      </c>
      <c r="K1490" s="677" t="s">
        <v>999</v>
      </c>
      <c r="L1490" s="782" t="s">
        <v>209</v>
      </c>
      <c r="M1490" s="776">
        <v>250000</v>
      </c>
      <c r="N1490" s="784"/>
    </row>
    <row r="1491" spans="1:14" ht="24">
      <c r="A1491" s="783">
        <v>24</v>
      </c>
      <c r="B1491" s="794"/>
      <c r="C1491" s="671" t="s">
        <v>6143</v>
      </c>
      <c r="D1491" s="659" t="s">
        <v>19</v>
      </c>
      <c r="E1491" s="659" t="s">
        <v>151</v>
      </c>
      <c r="F1491" s="660" t="s">
        <v>5254</v>
      </c>
      <c r="G1491" s="660" t="s">
        <v>6145</v>
      </c>
      <c r="H1491" s="663" t="s">
        <v>34</v>
      </c>
      <c r="I1491" s="777" t="s">
        <v>1105</v>
      </c>
      <c r="J1491" s="660" t="s">
        <v>1259</v>
      </c>
      <c r="K1491" s="777" t="s">
        <v>2838</v>
      </c>
      <c r="L1491" s="782" t="s">
        <v>209</v>
      </c>
      <c r="M1491" s="776">
        <v>500000</v>
      </c>
      <c r="N1491" s="784"/>
    </row>
    <row r="1492" spans="1:14">
      <c r="A1492" s="783">
        <v>24</v>
      </c>
      <c r="B1492" s="794"/>
      <c r="C1492" s="671">
        <v>46192</v>
      </c>
      <c r="D1492" s="659" t="s">
        <v>19</v>
      </c>
      <c r="E1492" s="659" t="s">
        <v>151</v>
      </c>
      <c r="F1492" s="660" t="s">
        <v>5254</v>
      </c>
      <c r="G1492" s="774" t="s">
        <v>6140</v>
      </c>
      <c r="H1492" s="774" t="s">
        <v>143</v>
      </c>
      <c r="I1492" s="775" t="s">
        <v>6141</v>
      </c>
      <c r="J1492" s="677" t="s">
        <v>168</v>
      </c>
      <c r="K1492" s="677" t="s">
        <v>2828</v>
      </c>
      <c r="L1492" s="782" t="s">
        <v>209</v>
      </c>
      <c r="M1492" s="776">
        <v>250000</v>
      </c>
      <c r="N1492" s="784"/>
    </row>
    <row r="1493" spans="1:14">
      <c r="A1493" s="783">
        <v>24</v>
      </c>
      <c r="B1493" s="794" t="s">
        <v>21</v>
      </c>
      <c r="C1493" s="127">
        <v>46181</v>
      </c>
      <c r="D1493" s="3" t="s">
        <v>21</v>
      </c>
      <c r="E1493" s="3" t="s">
        <v>14</v>
      </c>
      <c r="F1493" s="481" t="s">
        <v>149</v>
      </c>
      <c r="G1493" s="462" t="s">
        <v>4090</v>
      </c>
      <c r="H1493" s="467" t="s">
        <v>4091</v>
      </c>
      <c r="I1493" s="461" t="s">
        <v>6110</v>
      </c>
      <c r="J1493" s="462" t="s">
        <v>168</v>
      </c>
      <c r="K1493" s="462" t="s">
        <v>999</v>
      </c>
      <c r="L1493" s="136" t="s">
        <v>15</v>
      </c>
      <c r="M1493" s="781">
        <v>300000</v>
      </c>
      <c r="N1493" s="677" t="s">
        <v>6109</v>
      </c>
    </row>
    <row r="1494" spans="1:14">
      <c r="A1494" s="783">
        <v>24</v>
      </c>
      <c r="B1494" s="794"/>
      <c r="C1494" s="127">
        <v>46182</v>
      </c>
      <c r="D1494" s="3" t="s">
        <v>21</v>
      </c>
      <c r="E1494" s="3" t="s">
        <v>14</v>
      </c>
      <c r="F1494" s="481" t="s">
        <v>149</v>
      </c>
      <c r="G1494" s="462" t="s">
        <v>4090</v>
      </c>
      <c r="H1494" s="467" t="s">
        <v>4091</v>
      </c>
      <c r="I1494" s="461" t="s">
        <v>6110</v>
      </c>
      <c r="J1494" s="462" t="s">
        <v>168</v>
      </c>
      <c r="K1494" s="462" t="s">
        <v>999</v>
      </c>
      <c r="L1494" s="136" t="s">
        <v>15</v>
      </c>
      <c r="M1494" s="781">
        <v>300000</v>
      </c>
      <c r="N1494" s="677" t="s">
        <v>6109</v>
      </c>
    </row>
    <row r="1495" spans="1:14">
      <c r="A1495" s="783">
        <v>24</v>
      </c>
      <c r="B1495" s="794"/>
      <c r="C1495" s="127">
        <v>46183</v>
      </c>
      <c r="D1495" s="3" t="s">
        <v>21</v>
      </c>
      <c r="E1495" s="3" t="s">
        <v>14</v>
      </c>
      <c r="F1495" s="481" t="s">
        <v>149</v>
      </c>
      <c r="G1495" s="462" t="s">
        <v>4090</v>
      </c>
      <c r="H1495" s="467" t="s">
        <v>4091</v>
      </c>
      <c r="I1495" s="461" t="s">
        <v>6122</v>
      </c>
      <c r="J1495" s="462" t="s">
        <v>168</v>
      </c>
      <c r="K1495" s="462" t="s">
        <v>999</v>
      </c>
      <c r="L1495" s="136" t="s">
        <v>15</v>
      </c>
      <c r="M1495" s="781">
        <v>300000</v>
      </c>
      <c r="N1495" s="677" t="s">
        <v>6109</v>
      </c>
    </row>
    <row r="1496" spans="1:14">
      <c r="A1496" s="783">
        <v>24</v>
      </c>
      <c r="B1496" s="794"/>
      <c r="C1496" s="127">
        <v>46184</v>
      </c>
      <c r="D1496" s="3" t="s">
        <v>21</v>
      </c>
      <c r="E1496" s="3" t="s">
        <v>14</v>
      </c>
      <c r="F1496" s="481" t="s">
        <v>149</v>
      </c>
      <c r="G1496" s="462" t="s">
        <v>4090</v>
      </c>
      <c r="H1496" s="467" t="s">
        <v>4091</v>
      </c>
      <c r="I1496" s="461" t="s">
        <v>303</v>
      </c>
      <c r="J1496" s="462" t="s">
        <v>168</v>
      </c>
      <c r="K1496" s="462" t="s">
        <v>999</v>
      </c>
      <c r="L1496" s="136" t="s">
        <v>15</v>
      </c>
      <c r="M1496" s="781">
        <v>300000</v>
      </c>
      <c r="N1496" s="677" t="s">
        <v>6109</v>
      </c>
    </row>
    <row r="1497" spans="1:14">
      <c r="A1497" s="783">
        <v>24</v>
      </c>
      <c r="B1497" s="794"/>
      <c r="C1497" s="370">
        <v>46185</v>
      </c>
      <c r="D1497" s="4" t="s">
        <v>138</v>
      </c>
      <c r="E1497" s="4" t="s">
        <v>14</v>
      </c>
      <c r="F1497" s="778" t="s">
        <v>1893</v>
      </c>
      <c r="G1497" s="778" t="s">
        <v>6094</v>
      </c>
      <c r="H1497" s="16" t="s">
        <v>34</v>
      </c>
      <c r="I1497" s="780" t="s">
        <v>6096</v>
      </c>
      <c r="J1497" s="462" t="s">
        <v>120</v>
      </c>
      <c r="K1497" s="467" t="s">
        <v>686</v>
      </c>
      <c r="L1497" s="467" t="s">
        <v>15</v>
      </c>
      <c r="M1497" s="781">
        <v>250000</v>
      </c>
      <c r="N1497" s="677" t="s">
        <v>6109</v>
      </c>
    </row>
    <row r="1498" spans="1:14">
      <c r="A1498" s="783">
        <v>24</v>
      </c>
      <c r="B1498" s="794"/>
      <c r="C1498" s="370">
        <v>46188</v>
      </c>
      <c r="D1498" s="3" t="s">
        <v>138</v>
      </c>
      <c r="E1498" s="3" t="s">
        <v>14</v>
      </c>
      <c r="F1498" s="462" t="s">
        <v>107</v>
      </c>
      <c r="G1498" s="462" t="s">
        <v>3386</v>
      </c>
      <c r="H1498" s="467" t="s">
        <v>115</v>
      </c>
      <c r="I1498" s="461" t="s">
        <v>6127</v>
      </c>
      <c r="J1498" s="461"/>
      <c r="K1498" s="461" t="s">
        <v>5606</v>
      </c>
      <c r="L1498" s="125" t="s">
        <v>15</v>
      </c>
      <c r="M1498" s="781">
        <v>500000</v>
      </c>
      <c r="N1498" s="677" t="s">
        <v>6146</v>
      </c>
    </row>
    <row r="1499" spans="1:14">
      <c r="A1499" s="783">
        <v>24</v>
      </c>
      <c r="B1499" s="794"/>
      <c r="C1499" s="370">
        <v>46189</v>
      </c>
      <c r="D1499" s="3" t="s">
        <v>138</v>
      </c>
      <c r="E1499" s="3" t="s">
        <v>14</v>
      </c>
      <c r="F1499" s="462" t="s">
        <v>107</v>
      </c>
      <c r="G1499" s="462" t="s">
        <v>3386</v>
      </c>
      <c r="H1499" s="467" t="s">
        <v>115</v>
      </c>
      <c r="I1499" s="780" t="s">
        <v>303</v>
      </c>
      <c r="J1499" s="778" t="s">
        <v>120</v>
      </c>
      <c r="K1499" s="1078" t="s">
        <v>3105</v>
      </c>
      <c r="L1499" s="125" t="s">
        <v>15</v>
      </c>
      <c r="M1499" s="781">
        <v>250000</v>
      </c>
      <c r="N1499" s="677" t="s">
        <v>128</v>
      </c>
    </row>
    <row r="1500" spans="1:14">
      <c r="A1500" s="783">
        <v>24</v>
      </c>
      <c r="B1500" s="794"/>
      <c r="C1500" s="370">
        <v>46189</v>
      </c>
      <c r="D1500" s="3" t="s">
        <v>21</v>
      </c>
      <c r="E1500" s="3" t="s">
        <v>14</v>
      </c>
      <c r="F1500" s="462" t="s">
        <v>1893</v>
      </c>
      <c r="G1500" s="462" t="s">
        <v>4939</v>
      </c>
      <c r="H1500" s="467" t="s">
        <v>482</v>
      </c>
      <c r="I1500" s="461" t="s">
        <v>271</v>
      </c>
      <c r="J1500" s="461" t="s">
        <v>493</v>
      </c>
      <c r="K1500" s="461" t="s">
        <v>999</v>
      </c>
      <c r="L1500" s="125" t="s">
        <v>15</v>
      </c>
      <c r="M1500" s="781">
        <v>300000</v>
      </c>
      <c r="N1500" s="677" t="s">
        <v>128</v>
      </c>
    </row>
    <row r="1501" spans="1:14" ht="27">
      <c r="A1501" s="783">
        <v>24</v>
      </c>
      <c r="B1501" s="794"/>
      <c r="C1501" s="370">
        <v>46189</v>
      </c>
      <c r="D1501" s="3" t="s">
        <v>24</v>
      </c>
      <c r="E1501" s="3" t="s">
        <v>31</v>
      </c>
      <c r="F1501" s="461" t="s">
        <v>6100</v>
      </c>
      <c r="G1501" s="778" t="s">
        <v>2713</v>
      </c>
      <c r="H1501" s="16" t="s">
        <v>115</v>
      </c>
      <c r="I1501" s="780" t="s">
        <v>6105</v>
      </c>
      <c r="J1501" s="778"/>
      <c r="K1501" s="780" t="s">
        <v>6101</v>
      </c>
      <c r="L1501" s="125" t="s">
        <v>15</v>
      </c>
      <c r="M1501" s="781">
        <v>500000</v>
      </c>
      <c r="N1501" s="677" t="s">
        <v>127</v>
      </c>
    </row>
    <row r="1502" spans="1:14" ht="27">
      <c r="A1502" s="783">
        <v>24</v>
      </c>
      <c r="B1502" s="794"/>
      <c r="C1502" s="370">
        <v>46190</v>
      </c>
      <c r="D1502" s="3" t="s">
        <v>24</v>
      </c>
      <c r="E1502" s="3" t="s">
        <v>31</v>
      </c>
      <c r="F1502" s="461" t="s">
        <v>6100</v>
      </c>
      <c r="G1502" s="778" t="s">
        <v>2713</v>
      </c>
      <c r="H1502" s="16" t="s">
        <v>23</v>
      </c>
      <c r="I1502" s="780" t="s">
        <v>6104</v>
      </c>
      <c r="J1502" s="778"/>
      <c r="K1502" s="780" t="s">
        <v>6101</v>
      </c>
      <c r="L1502" s="125" t="s">
        <v>15</v>
      </c>
      <c r="M1502" s="781">
        <v>500000</v>
      </c>
      <c r="N1502" s="677" t="s">
        <v>127</v>
      </c>
    </row>
    <row r="1503" spans="1:14">
      <c r="A1503" s="783">
        <v>24</v>
      </c>
      <c r="B1503" s="794"/>
      <c r="C1503" s="370">
        <v>46190</v>
      </c>
      <c r="D1503" s="3" t="s">
        <v>21</v>
      </c>
      <c r="E1503" s="3" t="s">
        <v>14</v>
      </c>
      <c r="F1503" s="462" t="s">
        <v>1893</v>
      </c>
      <c r="G1503" s="462" t="s">
        <v>4939</v>
      </c>
      <c r="H1503" s="467" t="s">
        <v>482</v>
      </c>
      <c r="I1503" s="461" t="s">
        <v>271</v>
      </c>
      <c r="J1503" s="461" t="s">
        <v>493</v>
      </c>
      <c r="K1503" s="461" t="s">
        <v>999</v>
      </c>
      <c r="L1503" s="125" t="s">
        <v>15</v>
      </c>
      <c r="M1503" s="781">
        <v>300000</v>
      </c>
      <c r="N1503" s="677" t="s">
        <v>128</v>
      </c>
    </row>
    <row r="1504" spans="1:14" ht="40.5">
      <c r="A1504" s="783">
        <v>24</v>
      </c>
      <c r="B1504" s="794"/>
      <c r="C1504" s="370">
        <v>46191</v>
      </c>
      <c r="D1504" s="4" t="s">
        <v>21</v>
      </c>
      <c r="E1504" s="4" t="s">
        <v>14</v>
      </c>
      <c r="F1504" s="291" t="s">
        <v>149</v>
      </c>
      <c r="G1504" s="778" t="s">
        <v>4090</v>
      </c>
      <c r="H1504" s="16" t="s">
        <v>4091</v>
      </c>
      <c r="I1504" s="780" t="s">
        <v>6120</v>
      </c>
      <c r="J1504" s="778"/>
      <c r="K1504" s="408" t="s">
        <v>6101</v>
      </c>
      <c r="L1504" s="125" t="s">
        <v>15</v>
      </c>
      <c r="M1504" s="781">
        <v>500000</v>
      </c>
      <c r="N1504" s="677" t="s">
        <v>128</v>
      </c>
    </row>
    <row r="1505" spans="1:14">
      <c r="A1505" s="783">
        <v>24</v>
      </c>
      <c r="B1505" s="794"/>
      <c r="C1505" s="370">
        <v>46191</v>
      </c>
      <c r="D1505" s="3" t="s">
        <v>24</v>
      </c>
      <c r="E1505" s="3" t="s">
        <v>31</v>
      </c>
      <c r="F1505" s="461" t="s">
        <v>78</v>
      </c>
      <c r="G1505" s="778">
        <v>7060</v>
      </c>
      <c r="H1505" s="16" t="s">
        <v>35</v>
      </c>
      <c r="I1505" s="780" t="s">
        <v>6117</v>
      </c>
      <c r="J1505" s="778" t="s">
        <v>120</v>
      </c>
      <c r="K1505" s="780" t="s">
        <v>2828</v>
      </c>
      <c r="L1505" s="125" t="s">
        <v>15</v>
      </c>
      <c r="M1505" s="781">
        <v>250000</v>
      </c>
      <c r="N1505" s="677" t="s">
        <v>127</v>
      </c>
    </row>
    <row r="1506" spans="1:14">
      <c r="A1506" s="783">
        <v>24</v>
      </c>
      <c r="B1506" s="794"/>
      <c r="C1506" s="370">
        <v>46192</v>
      </c>
      <c r="D1506" s="3" t="s">
        <v>21</v>
      </c>
      <c r="E1506" s="3" t="s">
        <v>14</v>
      </c>
      <c r="F1506" s="462" t="s">
        <v>211</v>
      </c>
      <c r="G1506" s="462" t="s">
        <v>5754</v>
      </c>
      <c r="H1506" s="467" t="s">
        <v>5833</v>
      </c>
      <c r="I1506" s="461" t="s">
        <v>6112</v>
      </c>
      <c r="J1506" s="778" t="s">
        <v>120</v>
      </c>
      <c r="K1506" s="1078" t="s">
        <v>2828</v>
      </c>
      <c r="L1506" s="125" t="s">
        <v>15</v>
      </c>
      <c r="M1506" s="781">
        <v>250000</v>
      </c>
      <c r="N1506" s="677" t="s">
        <v>1192</v>
      </c>
    </row>
    <row r="1507" spans="1:14">
      <c r="A1507" s="783">
        <v>24</v>
      </c>
      <c r="B1507" s="794"/>
      <c r="C1507" s="370">
        <v>46191</v>
      </c>
      <c r="D1507" s="3" t="s">
        <v>21</v>
      </c>
      <c r="E1507" s="3" t="s">
        <v>14</v>
      </c>
      <c r="F1507" s="462" t="s">
        <v>1893</v>
      </c>
      <c r="G1507" s="462" t="s">
        <v>4939</v>
      </c>
      <c r="H1507" s="467" t="s">
        <v>482</v>
      </c>
      <c r="I1507" s="461" t="s">
        <v>271</v>
      </c>
      <c r="J1507" s="461" t="s">
        <v>493</v>
      </c>
      <c r="K1507" s="461" t="s">
        <v>999</v>
      </c>
      <c r="L1507" s="125" t="s">
        <v>15</v>
      </c>
      <c r="M1507" s="781">
        <v>300000</v>
      </c>
      <c r="N1507" s="677" t="s">
        <v>128</v>
      </c>
    </row>
    <row r="1508" spans="1:14">
      <c r="A1508" s="783">
        <v>24</v>
      </c>
      <c r="B1508" s="794"/>
      <c r="C1508" s="370">
        <v>46192</v>
      </c>
      <c r="D1508" s="3" t="s">
        <v>21</v>
      </c>
      <c r="E1508" s="3" t="s">
        <v>14</v>
      </c>
      <c r="F1508" s="462" t="s">
        <v>1893</v>
      </c>
      <c r="G1508" s="462" t="s">
        <v>4939</v>
      </c>
      <c r="H1508" s="467" t="s">
        <v>482</v>
      </c>
      <c r="I1508" s="461" t="s">
        <v>271</v>
      </c>
      <c r="J1508" s="461" t="s">
        <v>493</v>
      </c>
      <c r="K1508" s="461" t="s">
        <v>999</v>
      </c>
      <c r="L1508" s="125" t="s">
        <v>15</v>
      </c>
      <c r="M1508" s="781">
        <v>300000</v>
      </c>
      <c r="N1508" s="677" t="s">
        <v>128</v>
      </c>
    </row>
  </sheetData>
  <autoFilter ref="A1:N1465"/>
  <mergeCells count="1051">
    <mergeCell ref="B1486:B1492"/>
    <mergeCell ref="B1493:B1508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006:B1010"/>
    <mergeCell ref="B1011:B1021"/>
    <mergeCell ref="B996:B998"/>
    <mergeCell ref="B999:B1005"/>
    <mergeCell ref="B989:B992"/>
    <mergeCell ref="B993:B995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B893:B895"/>
    <mergeCell ref="M878:M879"/>
    <mergeCell ref="B979:B984"/>
    <mergeCell ref="B985:B986"/>
    <mergeCell ref="B987:B988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H22" sqref="H22"/>
    </sheetView>
  </sheetViews>
  <sheetFormatPr defaultRowHeight="16.5"/>
  <cols>
    <col min="1" max="1" width="12" style="600" customWidth="1"/>
    <col min="2" max="2" width="14.375" style="600" customWidth="1"/>
    <col min="3" max="3" width="12.5" style="600" customWidth="1"/>
    <col min="4" max="4" width="13.125" style="600" customWidth="1"/>
    <col min="5" max="7" width="9" style="600"/>
    <col min="8" max="8" width="39.875" style="600" customWidth="1"/>
    <col min="9" max="9" width="14.125" style="600" customWidth="1"/>
    <col min="10" max="10" width="13.5" style="600" customWidth="1"/>
    <col min="11" max="11" width="9" style="600"/>
    <col min="12" max="12" width="10.5" style="600" bestFit="1" customWidth="1"/>
    <col min="13" max="13" width="20.375" style="600" customWidth="1"/>
    <col min="14" max="16384" width="9" style="600"/>
  </cols>
  <sheetData>
    <row r="3" spans="1:4" ht="20.25">
      <c r="A3" s="599" t="s">
        <v>4864</v>
      </c>
    </row>
    <row r="4" spans="1:4">
      <c r="A4" s="600" t="s">
        <v>4878</v>
      </c>
    </row>
    <row r="7" spans="1:4" ht="20.25">
      <c r="A7" s="599" t="s">
        <v>4865</v>
      </c>
    </row>
    <row r="8" spans="1:4">
      <c r="A8" s="600" t="s">
        <v>4866</v>
      </c>
      <c r="B8" s="601">
        <f>C13</f>
        <v>0</v>
      </c>
    </row>
    <row r="10" spans="1:4">
      <c r="A10" s="602" t="s">
        <v>4855</v>
      </c>
      <c r="B10" s="602" t="s">
        <v>4856</v>
      </c>
      <c r="C10" s="978" t="s">
        <v>4857</v>
      </c>
      <c r="D10" s="978"/>
    </row>
    <row r="11" spans="1:4">
      <c r="A11" s="602" t="s">
        <v>4858</v>
      </c>
      <c r="B11" s="602">
        <v>7</v>
      </c>
      <c r="C11" s="979">
        <f>'사전품의양식 (12)'!L11</f>
        <v>0</v>
      </c>
      <c r="D11" s="979"/>
    </row>
    <row r="12" spans="1:4">
      <c r="A12" s="602" t="s">
        <v>4859</v>
      </c>
      <c r="B12" s="602">
        <v>16</v>
      </c>
      <c r="C12" s="979">
        <f>'사전품의양식 (12)'!L28</f>
        <v>0</v>
      </c>
      <c r="D12" s="979"/>
    </row>
    <row r="13" spans="1:4">
      <c r="A13" s="604" t="s">
        <v>53</v>
      </c>
      <c r="B13" s="604">
        <f>SUM(B11:B12)</f>
        <v>23</v>
      </c>
      <c r="C13" s="980">
        <f>SUM(C11:C12)</f>
        <v>0</v>
      </c>
      <c r="D13" s="980"/>
    </row>
    <row r="15" spans="1:4">
      <c r="A15" s="600" t="s">
        <v>4860</v>
      </c>
    </row>
    <row r="16" spans="1:4">
      <c r="A16" s="602" t="s">
        <v>4880</v>
      </c>
      <c r="B16" s="602" t="s">
        <v>4862</v>
      </c>
      <c r="C16" s="602" t="s">
        <v>4863</v>
      </c>
      <c r="D16" s="602" t="s">
        <v>53</v>
      </c>
    </row>
    <row r="17" spans="1:5">
      <c r="A17" s="602" t="s">
        <v>5510</v>
      </c>
      <c r="B17" s="603">
        <v>250000</v>
      </c>
      <c r="C17" s="603">
        <v>1450000</v>
      </c>
      <c r="D17" s="606">
        <f>SUM(B17:C17)</f>
        <v>1700000</v>
      </c>
    </row>
    <row r="18" spans="1:5">
      <c r="A18" s="602" t="s">
        <v>5511</v>
      </c>
      <c r="B18" s="603">
        <f>C11-B17</f>
        <v>-250000</v>
      </c>
      <c r="C18" s="603">
        <f>C12-C17</f>
        <v>-1450000</v>
      </c>
      <c r="D18" s="603">
        <f>SUM(B18:C18)</f>
        <v>-1700000</v>
      </c>
    </row>
    <row r="19" spans="1:5">
      <c r="A19" s="604" t="s">
        <v>4861</v>
      </c>
      <c r="B19" s="605">
        <f t="shared" ref="B19:C19" si="0">SUM(B17:B18)</f>
        <v>0</v>
      </c>
      <c r="C19" s="605">
        <f t="shared" si="0"/>
        <v>0</v>
      </c>
      <c r="D19" s="605">
        <f>SUM(D17:D18)</f>
        <v>0</v>
      </c>
    </row>
    <row r="22" spans="1:5" ht="20.25">
      <c r="A22" s="599" t="s">
        <v>4871</v>
      </c>
    </row>
    <row r="24" spans="1:5">
      <c r="A24" s="602" t="s">
        <v>4855</v>
      </c>
      <c r="B24" s="602" t="s">
        <v>4869</v>
      </c>
      <c r="C24" s="622" t="s">
        <v>4872</v>
      </c>
      <c r="D24" s="701"/>
      <c r="E24" s="701"/>
    </row>
    <row r="25" spans="1:5">
      <c r="A25" s="602" t="s">
        <v>4873</v>
      </c>
      <c r="B25" s="602" t="s">
        <v>4874</v>
      </c>
      <c r="C25" s="621" t="s">
        <v>4875</v>
      </c>
      <c r="D25" s="701"/>
      <c r="E25" s="701"/>
    </row>
    <row r="26" spans="1:5">
      <c r="A26" s="981" t="s">
        <v>5973</v>
      </c>
      <c r="B26" s="602" t="s">
        <v>5790</v>
      </c>
      <c r="C26" s="702" t="s">
        <v>5974</v>
      </c>
      <c r="D26" s="701"/>
      <c r="E26" s="701"/>
    </row>
    <row r="27" spans="1:5">
      <c r="A27" s="982"/>
      <c r="B27" s="602" t="s">
        <v>5972</v>
      </c>
      <c r="C27" s="702" t="s">
        <v>5974</v>
      </c>
      <c r="D27" s="701"/>
      <c r="E27" s="701"/>
    </row>
    <row r="29" spans="1:5" ht="20.25">
      <c r="A29" s="599" t="s">
        <v>4867</v>
      </c>
    </row>
    <row r="31" spans="1:5">
      <c r="A31" s="600" t="s">
        <v>4876</v>
      </c>
    </row>
    <row r="33" spans="1:1">
      <c r="A33" s="600" t="s">
        <v>4877</v>
      </c>
    </row>
    <row r="35" spans="1:1">
      <c r="A35" s="600" t="s">
        <v>4870</v>
      </c>
    </row>
    <row r="39" spans="1:1" ht="20.25">
      <c r="A39" s="599" t="s">
        <v>4868</v>
      </c>
    </row>
  </sheetData>
  <mergeCells count="5">
    <mergeCell ref="C10:D10"/>
    <mergeCell ref="C11:D11"/>
    <mergeCell ref="C12:D12"/>
    <mergeCell ref="C13:D13"/>
    <mergeCell ref="A26:A27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M41"/>
  <sheetViews>
    <sheetView topLeftCell="A2" zoomScale="85" zoomScaleNormal="85" zoomScaleSheetLayoutView="55" workbookViewId="0">
      <selection activeCell="H20" sqref="H20"/>
    </sheetView>
  </sheetViews>
  <sheetFormatPr defaultRowHeight="12"/>
  <cols>
    <col min="1" max="1" width="9" style="703"/>
    <col min="2" max="2" width="11.375" style="703" customWidth="1"/>
    <col min="3" max="3" width="9.875" style="703" bestFit="1" customWidth="1"/>
    <col min="4" max="5" width="9" style="703"/>
    <col min="6" max="6" width="11.625" style="703" customWidth="1"/>
    <col min="7" max="7" width="9" style="703"/>
    <col min="8" max="8" width="38.25" style="703" customWidth="1"/>
    <col min="9" max="9" width="12.375" style="703" customWidth="1"/>
    <col min="10" max="10" width="12.625" style="703" bestFit="1" customWidth="1"/>
    <col min="11" max="11" width="9" style="703"/>
    <col min="12" max="12" width="13.625" style="703" customWidth="1"/>
    <col min="13" max="13" width="14.5" style="703" customWidth="1"/>
    <col min="14" max="14" width="39.75" style="703" bestFit="1" customWidth="1"/>
    <col min="15" max="15" width="9" style="703"/>
    <col min="16" max="16" width="10.875" style="703" bestFit="1" customWidth="1"/>
    <col min="17" max="16384" width="9" style="703"/>
  </cols>
  <sheetData>
    <row r="1" spans="1:13" hidden="1">
      <c r="A1" s="728"/>
      <c r="B1" s="728"/>
      <c r="C1" s="728"/>
      <c r="D1" s="728"/>
      <c r="E1" s="728"/>
      <c r="F1" s="728"/>
      <c r="G1" s="728"/>
      <c r="H1" s="728"/>
      <c r="I1" s="728"/>
      <c r="J1" s="728"/>
      <c r="K1" s="728"/>
      <c r="L1" s="728"/>
      <c r="M1" s="728"/>
    </row>
    <row r="2" spans="1:13">
      <c r="A2" s="990" t="s">
        <v>6246</v>
      </c>
      <c r="B2" s="992" t="s">
        <v>1</v>
      </c>
      <c r="C2" s="992" t="s">
        <v>2</v>
      </c>
      <c r="D2" s="992" t="s">
        <v>3</v>
      </c>
      <c r="E2" s="734" t="s">
        <v>2623</v>
      </c>
      <c r="F2" s="992" t="s">
        <v>5</v>
      </c>
      <c r="G2" s="992" t="s">
        <v>6</v>
      </c>
      <c r="H2" s="992" t="s">
        <v>2624</v>
      </c>
      <c r="I2" s="992" t="s">
        <v>55</v>
      </c>
      <c r="J2" s="992" t="s">
        <v>9</v>
      </c>
      <c r="K2" s="994" t="s">
        <v>56</v>
      </c>
      <c r="L2" s="992" t="s">
        <v>57</v>
      </c>
      <c r="M2" s="988" t="s">
        <v>58</v>
      </c>
    </row>
    <row r="3" spans="1:13">
      <c r="A3" s="991"/>
      <c r="B3" s="993"/>
      <c r="C3" s="993"/>
      <c r="D3" s="993"/>
      <c r="E3" s="735" t="s">
        <v>1724</v>
      </c>
      <c r="F3" s="993"/>
      <c r="G3" s="993"/>
      <c r="H3" s="993"/>
      <c r="I3" s="993"/>
      <c r="J3" s="993"/>
      <c r="K3" s="995"/>
      <c r="L3" s="993"/>
      <c r="M3" s="989"/>
    </row>
    <row r="4" spans="1:13" s="729" customFormat="1" ht="16.5" customHeight="1">
      <c r="A4" s="985" t="s">
        <v>20</v>
      </c>
      <c r="B4" s="370">
        <v>46189</v>
      </c>
      <c r="C4" s="659"/>
      <c r="D4" s="659"/>
      <c r="E4" s="660"/>
      <c r="F4" s="660"/>
      <c r="G4" s="663"/>
      <c r="H4" s="724"/>
      <c r="I4" s="660"/>
      <c r="J4" s="724" t="s">
        <v>6248</v>
      </c>
      <c r="K4" s="782"/>
      <c r="L4" s="766"/>
      <c r="M4" s="739" t="s">
        <v>6247</v>
      </c>
    </row>
    <row r="5" spans="1:13" s="729" customFormat="1" ht="16.5" customHeight="1">
      <c r="A5" s="986"/>
      <c r="B5" s="370">
        <v>46192</v>
      </c>
      <c r="C5" s="659"/>
      <c r="D5" s="659"/>
      <c r="E5" s="660"/>
      <c r="F5" s="660"/>
      <c r="G5" s="663"/>
      <c r="H5" s="770"/>
      <c r="I5" s="660"/>
      <c r="J5" s="777" t="s">
        <v>6248</v>
      </c>
      <c r="K5" s="782"/>
      <c r="L5" s="766"/>
      <c r="M5" s="739" t="s">
        <v>6249</v>
      </c>
    </row>
    <row r="6" spans="1:13" s="729" customFormat="1" ht="16.5" customHeight="1">
      <c r="A6" s="986"/>
      <c r="B6" s="400"/>
      <c r="C6" s="659"/>
      <c r="D6" s="659"/>
      <c r="E6" s="660"/>
      <c r="F6" s="660"/>
      <c r="G6" s="663"/>
      <c r="H6" s="770"/>
      <c r="I6" s="660"/>
      <c r="J6" s="770"/>
      <c r="K6" s="782"/>
      <c r="L6" s="766"/>
      <c r="M6" s="767"/>
    </row>
    <row r="7" spans="1:13" s="729" customFormat="1" ht="16.5" customHeight="1">
      <c r="A7" s="986"/>
      <c r="B7" s="400"/>
      <c r="C7" s="659"/>
      <c r="D7" s="659"/>
      <c r="E7" s="660"/>
      <c r="F7" s="714"/>
      <c r="G7" s="714"/>
      <c r="H7" s="715"/>
      <c r="I7" s="660"/>
      <c r="J7" s="770"/>
      <c r="K7" s="782"/>
      <c r="L7" s="766"/>
      <c r="M7" s="737"/>
    </row>
    <row r="8" spans="1:13" s="729" customFormat="1" ht="16.5" customHeight="1">
      <c r="A8" s="986"/>
      <c r="B8" s="688"/>
      <c r="C8" s="659"/>
      <c r="D8" s="659"/>
      <c r="E8" s="660"/>
      <c r="F8" s="714"/>
      <c r="G8" s="714"/>
      <c r="H8" s="715"/>
      <c r="I8" s="736"/>
      <c r="J8" s="716"/>
      <c r="K8" s="782"/>
      <c r="L8" s="766"/>
      <c r="M8" s="737"/>
    </row>
    <row r="9" spans="1:13" s="729" customFormat="1" ht="16.5" customHeight="1">
      <c r="A9" s="986"/>
      <c r="B9" s="688"/>
      <c r="C9" s="659"/>
      <c r="D9" s="659"/>
      <c r="E9" s="660"/>
      <c r="F9" s="660"/>
      <c r="G9" s="663"/>
      <c r="H9" s="770"/>
      <c r="I9" s="660"/>
      <c r="J9" s="770"/>
      <c r="K9" s="782"/>
      <c r="L9" s="766"/>
      <c r="M9" s="737"/>
    </row>
    <row r="10" spans="1:13" s="729" customFormat="1">
      <c r="A10" s="986"/>
      <c r="B10" s="688"/>
      <c r="C10" s="659"/>
      <c r="D10" s="659"/>
      <c r="E10" s="660"/>
      <c r="F10" s="714"/>
      <c r="G10" s="714"/>
      <c r="H10" s="715"/>
      <c r="I10" s="736"/>
      <c r="J10" s="716"/>
      <c r="K10" s="782"/>
      <c r="L10" s="766"/>
      <c r="M10" s="737"/>
    </row>
    <row r="11" spans="1:13">
      <c r="A11" s="987"/>
      <c r="B11" s="794" t="s">
        <v>1136</v>
      </c>
      <c r="C11" s="794"/>
      <c r="D11" s="794"/>
      <c r="E11" s="794"/>
      <c r="F11" s="794"/>
      <c r="G11" s="794"/>
      <c r="H11" s="794"/>
      <c r="I11" s="794"/>
      <c r="J11" s="794"/>
      <c r="K11" s="794"/>
      <c r="L11" s="718">
        <f>SUM(L4:L10)</f>
        <v>0</v>
      </c>
      <c r="M11" s="739"/>
    </row>
    <row r="12" spans="1:13" ht="13.5">
      <c r="A12" s="985" t="s">
        <v>21</v>
      </c>
      <c r="B12" s="198"/>
      <c r="C12" s="3"/>
      <c r="D12" s="3"/>
      <c r="E12" s="481"/>
      <c r="F12" s="462"/>
      <c r="G12" s="467"/>
      <c r="H12" s="461"/>
      <c r="I12" s="462"/>
      <c r="J12" s="462"/>
      <c r="K12" s="136"/>
      <c r="L12" s="768"/>
      <c r="M12" s="739"/>
    </row>
    <row r="13" spans="1:13" ht="16.5" customHeight="1">
      <c r="A13" s="986"/>
      <c r="B13" s="198"/>
      <c r="C13" s="3"/>
      <c r="D13" s="3"/>
      <c r="E13" s="481"/>
      <c r="F13" s="462"/>
      <c r="G13" s="467"/>
      <c r="H13" s="461"/>
      <c r="I13" s="462"/>
      <c r="J13" s="462"/>
      <c r="K13" s="136"/>
      <c r="L13" s="768"/>
      <c r="M13" s="739"/>
    </row>
    <row r="14" spans="1:13" ht="16.5" customHeight="1">
      <c r="A14" s="986"/>
      <c r="B14" s="198"/>
      <c r="C14" s="3"/>
      <c r="D14" s="3"/>
      <c r="E14" s="481"/>
      <c r="F14" s="462"/>
      <c r="G14" s="467"/>
      <c r="H14" s="461"/>
      <c r="I14" s="462"/>
      <c r="J14" s="462"/>
      <c r="K14" s="136"/>
      <c r="L14" s="768"/>
      <c r="M14" s="739"/>
    </row>
    <row r="15" spans="1:13" ht="16.5" customHeight="1">
      <c r="A15" s="986"/>
      <c r="B15" s="198"/>
      <c r="C15" s="3"/>
      <c r="D15" s="3"/>
      <c r="E15" s="481"/>
      <c r="F15" s="462"/>
      <c r="G15" s="467"/>
      <c r="H15" s="461"/>
      <c r="I15" s="462"/>
      <c r="J15" s="462"/>
      <c r="K15" s="136"/>
      <c r="L15" s="768"/>
      <c r="M15" s="739"/>
    </row>
    <row r="16" spans="1:13" ht="16.5" customHeight="1">
      <c r="A16" s="986"/>
      <c r="B16" s="400"/>
      <c r="C16" s="4"/>
      <c r="D16" s="4"/>
      <c r="E16" s="771"/>
      <c r="F16" s="771"/>
      <c r="G16" s="16"/>
      <c r="H16" s="773"/>
      <c r="I16" s="462"/>
      <c r="J16" s="467"/>
      <c r="K16" s="467"/>
      <c r="L16" s="718"/>
      <c r="M16" s="739"/>
    </row>
    <row r="17" spans="1:13" ht="16.5" customHeight="1">
      <c r="A17" s="986"/>
      <c r="B17" s="400"/>
      <c r="C17" s="3"/>
      <c r="D17" s="3"/>
      <c r="E17" s="462"/>
      <c r="F17" s="462"/>
      <c r="G17" s="467"/>
      <c r="H17" s="461"/>
      <c r="I17" s="461"/>
      <c r="J17" s="461"/>
      <c r="K17" s="125"/>
      <c r="L17" s="718"/>
      <c r="M17" s="739"/>
    </row>
    <row r="18" spans="1:13" ht="16.5" customHeight="1">
      <c r="A18" s="986"/>
      <c r="B18" s="400"/>
      <c r="C18" s="3"/>
      <c r="D18" s="3"/>
      <c r="E18" s="462"/>
      <c r="F18" s="462"/>
      <c r="G18" s="467"/>
      <c r="H18" s="773"/>
      <c r="I18" s="771"/>
      <c r="J18" s="771"/>
      <c r="K18" s="125"/>
      <c r="L18" s="718"/>
      <c r="M18" s="739"/>
    </row>
    <row r="19" spans="1:13" ht="16.5" customHeight="1">
      <c r="A19" s="986"/>
      <c r="B19" s="400"/>
      <c r="C19" s="3"/>
      <c r="D19" s="3"/>
      <c r="E19" s="462"/>
      <c r="F19" s="462"/>
      <c r="G19" s="467"/>
      <c r="H19" s="461"/>
      <c r="I19" s="461"/>
      <c r="J19" s="461"/>
      <c r="K19" s="125"/>
      <c r="L19" s="718"/>
      <c r="M19" s="739"/>
    </row>
    <row r="20" spans="1:13" ht="13.5">
      <c r="A20" s="986"/>
      <c r="B20" s="400"/>
      <c r="C20" s="3"/>
      <c r="D20" s="3"/>
      <c r="E20" s="461"/>
      <c r="F20" s="771"/>
      <c r="G20" s="16"/>
      <c r="H20" s="773"/>
      <c r="I20" s="771"/>
      <c r="J20" s="773"/>
      <c r="K20" s="125"/>
      <c r="L20" s="718"/>
      <c r="M20" s="739"/>
    </row>
    <row r="21" spans="1:13" ht="13.5">
      <c r="A21" s="986"/>
      <c r="B21" s="400"/>
      <c r="C21" s="3"/>
      <c r="D21" s="3"/>
      <c r="E21" s="461"/>
      <c r="F21" s="771"/>
      <c r="G21" s="16"/>
      <c r="H21" s="773"/>
      <c r="I21" s="771"/>
      <c r="J21" s="773"/>
      <c r="K21" s="125"/>
      <c r="L21" s="718"/>
      <c r="M21" s="739"/>
    </row>
    <row r="22" spans="1:13" ht="16.5" customHeight="1">
      <c r="A22" s="986"/>
      <c r="B22" s="400"/>
      <c r="C22" s="3"/>
      <c r="D22" s="3"/>
      <c r="E22" s="462"/>
      <c r="F22" s="462"/>
      <c r="G22" s="467"/>
      <c r="H22" s="461"/>
      <c r="I22" s="461"/>
      <c r="J22" s="461"/>
      <c r="K22" s="125"/>
      <c r="L22" s="718"/>
      <c r="M22" s="739"/>
    </row>
    <row r="23" spans="1:13" ht="13.5">
      <c r="A23" s="986"/>
      <c r="B23" s="400"/>
      <c r="C23" s="4"/>
      <c r="D23" s="4"/>
      <c r="E23" s="291"/>
      <c r="F23" s="771"/>
      <c r="G23" s="16"/>
      <c r="H23" s="773"/>
      <c r="I23" s="771"/>
      <c r="J23" s="773"/>
      <c r="K23" s="125"/>
      <c r="L23" s="718"/>
      <c r="M23" s="739"/>
    </row>
    <row r="24" spans="1:13" ht="16.5" customHeight="1">
      <c r="A24" s="986"/>
      <c r="B24" s="400"/>
      <c r="C24" s="3"/>
      <c r="D24" s="3"/>
      <c r="E24" s="461"/>
      <c r="F24" s="771"/>
      <c r="G24" s="16"/>
      <c r="H24" s="773"/>
      <c r="I24" s="771"/>
      <c r="J24" s="773"/>
      <c r="K24" s="125"/>
      <c r="L24" s="718"/>
      <c r="M24" s="739"/>
    </row>
    <row r="25" spans="1:13" ht="16.5" customHeight="1">
      <c r="A25" s="986"/>
      <c r="B25" s="400"/>
      <c r="C25" s="3"/>
      <c r="D25" s="3"/>
      <c r="E25" s="462"/>
      <c r="F25" s="462"/>
      <c r="G25" s="467"/>
      <c r="H25" s="461"/>
      <c r="I25" s="771"/>
      <c r="J25" s="771"/>
      <c r="K25" s="125"/>
      <c r="L25" s="718"/>
      <c r="M25" s="739"/>
    </row>
    <row r="26" spans="1:13" ht="16.5" customHeight="1">
      <c r="A26" s="986"/>
      <c r="B26" s="400"/>
      <c r="C26" s="3"/>
      <c r="D26" s="3"/>
      <c r="E26" s="462"/>
      <c r="F26" s="462"/>
      <c r="G26" s="467"/>
      <c r="H26" s="461"/>
      <c r="I26" s="461"/>
      <c r="J26" s="461"/>
      <c r="K26" s="125"/>
      <c r="L26" s="718"/>
      <c r="M26" s="739"/>
    </row>
    <row r="27" spans="1:13" ht="16.5" customHeight="1">
      <c r="A27" s="986"/>
      <c r="B27" s="400"/>
      <c r="C27" s="3"/>
      <c r="D27" s="3"/>
      <c r="E27" s="462"/>
      <c r="F27" s="462"/>
      <c r="G27" s="467"/>
      <c r="H27" s="461"/>
      <c r="I27" s="461"/>
      <c r="J27" s="461"/>
      <c r="K27" s="125"/>
      <c r="L27" s="769"/>
      <c r="M27" s="739"/>
    </row>
    <row r="28" spans="1:13">
      <c r="A28" s="987"/>
      <c r="B28" s="794" t="s">
        <v>4879</v>
      </c>
      <c r="C28" s="794"/>
      <c r="D28" s="794"/>
      <c r="E28" s="794"/>
      <c r="F28" s="794"/>
      <c r="G28" s="794"/>
      <c r="H28" s="794"/>
      <c r="I28" s="794"/>
      <c r="J28" s="794"/>
      <c r="K28" s="794"/>
      <c r="L28" s="718">
        <f>SUM(L12:L27)</f>
        <v>0</v>
      </c>
      <c r="M28" s="739"/>
    </row>
    <row r="29" spans="1:13" ht="25.5" customHeight="1" thickBot="1">
      <c r="A29" s="983" t="s">
        <v>62</v>
      </c>
      <c r="B29" s="984"/>
      <c r="C29" s="984"/>
      <c r="D29" s="984"/>
      <c r="E29" s="984"/>
      <c r="F29" s="984"/>
      <c r="G29" s="984"/>
      <c r="H29" s="984"/>
      <c r="I29" s="984"/>
      <c r="J29" s="984"/>
      <c r="K29" s="984"/>
      <c r="L29" s="740">
        <f>L11+L28</f>
        <v>0</v>
      </c>
      <c r="M29" s="741"/>
    </row>
    <row r="30" spans="1:13" ht="26.25" customHeight="1"/>
    <row r="31" spans="1:13" ht="26.25" hidden="1" customHeight="1"/>
    <row r="32" spans="1:13" ht="25.5" hidden="1" customHeight="1">
      <c r="B32" s="730" t="s">
        <v>1144</v>
      </c>
      <c r="C32" s="731"/>
      <c r="D32" s="731"/>
      <c r="E32" s="731"/>
      <c r="F32" s="731"/>
      <c r="G32" s="731"/>
      <c r="H32" s="731"/>
      <c r="I32" s="731"/>
    </row>
    <row r="33" spans="1:13" ht="25.5" hidden="1" customHeight="1">
      <c r="B33" s="732" t="s">
        <v>1140</v>
      </c>
      <c r="C33" s="730">
        <v>45282</v>
      </c>
      <c r="D33" s="731" t="s">
        <v>1151</v>
      </c>
      <c r="E33" s="731"/>
      <c r="F33" s="731"/>
      <c r="G33" s="731"/>
      <c r="I33" s="731"/>
    </row>
    <row r="34" spans="1:13" ht="25.5" hidden="1" customHeight="1">
      <c r="B34" s="732" t="s">
        <v>1141</v>
      </c>
      <c r="C34" s="730">
        <v>45282</v>
      </c>
      <c r="D34" s="731" t="s">
        <v>1143</v>
      </c>
      <c r="E34" s="731"/>
      <c r="F34" s="731"/>
      <c r="G34" s="731"/>
      <c r="H34" s="731"/>
      <c r="I34" s="731"/>
    </row>
    <row r="35" spans="1:13" ht="25.5" hidden="1" customHeight="1">
      <c r="B35" s="732" t="s">
        <v>1145</v>
      </c>
      <c r="C35" s="733" t="s">
        <v>1142</v>
      </c>
      <c r="D35" s="731" t="s">
        <v>1152</v>
      </c>
      <c r="E35" s="731"/>
      <c r="F35" s="731"/>
      <c r="G35" s="731"/>
      <c r="H35" s="731"/>
      <c r="I35" s="731"/>
    </row>
    <row r="36" spans="1:13" ht="20.100000000000001" hidden="1" customHeight="1">
      <c r="B36" s="731"/>
      <c r="C36" s="731" t="s">
        <v>1146</v>
      </c>
      <c r="D36" s="731"/>
      <c r="E36" s="731"/>
      <c r="F36" s="731"/>
      <c r="G36" s="731"/>
      <c r="H36" s="731"/>
      <c r="I36" s="731"/>
    </row>
    <row r="37" spans="1:13" ht="16.5" hidden="1" customHeight="1"/>
    <row r="38" spans="1:13" ht="20.100000000000001" hidden="1" customHeight="1">
      <c r="J38" s="731"/>
    </row>
    <row r="41" spans="1:13" ht="28.5" customHeight="1">
      <c r="A41" s="706" t="s">
        <v>0</v>
      </c>
      <c r="B41" s="707" t="s">
        <v>1</v>
      </c>
      <c r="C41" s="706" t="s">
        <v>2</v>
      </c>
      <c r="D41" s="706" t="s">
        <v>3</v>
      </c>
      <c r="E41" s="706" t="s">
        <v>4</v>
      </c>
      <c r="F41" s="706" t="s">
        <v>5</v>
      </c>
      <c r="G41" s="706" t="s">
        <v>6</v>
      </c>
      <c r="H41" s="708" t="s">
        <v>7</v>
      </c>
      <c r="I41" s="706" t="s">
        <v>8</v>
      </c>
      <c r="J41" s="706" t="s">
        <v>9</v>
      </c>
      <c r="K41" s="709" t="s">
        <v>10</v>
      </c>
      <c r="L41" s="706" t="s">
        <v>12</v>
      </c>
      <c r="M41" s="706" t="s">
        <v>63</v>
      </c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1:K11"/>
    <mergeCell ref="A29:K29"/>
    <mergeCell ref="B28:K28"/>
    <mergeCell ref="A12:A28"/>
    <mergeCell ref="A4:A1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2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M841"/>
  <sheetViews>
    <sheetView topLeftCell="A803" zoomScaleNormal="100" workbookViewId="0">
      <selection activeCell="A823" sqref="A823:K834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2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21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21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21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21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21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21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2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2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2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2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2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2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2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2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22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05" t="s">
        <v>53</v>
      </c>
      <c r="B21" s="805"/>
      <c r="C21" s="805"/>
      <c r="D21" s="805"/>
      <c r="E21" s="805"/>
      <c r="F21" s="805"/>
      <c r="G21" s="805"/>
      <c r="H21" s="805"/>
      <c r="I21" s="805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23" t="s">
        <v>53</v>
      </c>
      <c r="B26" s="1024"/>
      <c r="C26" s="1024"/>
      <c r="D26" s="1024"/>
      <c r="E26" s="1024"/>
      <c r="F26" s="1024"/>
      <c r="G26" s="1024"/>
      <c r="H26" s="1024"/>
      <c r="I26" s="10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21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21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21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21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21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23" t="s">
        <v>53</v>
      </c>
      <c r="B35" s="1024"/>
      <c r="C35" s="1024"/>
      <c r="D35" s="1024"/>
      <c r="E35" s="1024"/>
      <c r="F35" s="1024"/>
      <c r="G35" s="1024"/>
      <c r="H35" s="1024"/>
      <c r="I35" s="10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2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21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22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23" t="s">
        <v>53</v>
      </c>
      <c r="B42" s="1024"/>
      <c r="C42" s="1024"/>
      <c r="D42" s="1024"/>
      <c r="E42" s="1024"/>
      <c r="F42" s="1024"/>
      <c r="G42" s="1024"/>
      <c r="H42" s="1024"/>
      <c r="I42" s="10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23" t="s">
        <v>53</v>
      </c>
      <c r="B48" s="1024"/>
      <c r="C48" s="1024"/>
      <c r="D48" s="1024"/>
      <c r="E48" s="1024"/>
      <c r="F48" s="1024"/>
      <c r="G48" s="1024"/>
      <c r="H48" s="1024"/>
      <c r="I48" s="10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21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22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23" t="s">
        <v>53</v>
      </c>
      <c r="B54" s="1024"/>
      <c r="C54" s="1024"/>
      <c r="D54" s="1024"/>
      <c r="E54" s="1024"/>
      <c r="F54" s="1024"/>
      <c r="G54" s="1024"/>
      <c r="H54" s="1024"/>
      <c r="I54" s="10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2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21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21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21"/>
      <c r="B61" s="105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21"/>
      <c r="B62" s="105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21"/>
      <c r="B63" s="105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23" t="s">
        <v>53</v>
      </c>
      <c r="B64" s="1024"/>
      <c r="C64" s="1024"/>
      <c r="D64" s="1024"/>
      <c r="E64" s="1024"/>
      <c r="F64" s="1024"/>
      <c r="G64" s="1024"/>
      <c r="H64" s="1024"/>
      <c r="I64" s="10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5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5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23" t="s">
        <v>53</v>
      </c>
      <c r="B70" s="1024"/>
      <c r="C70" s="1024"/>
      <c r="D70" s="1024"/>
      <c r="E70" s="1024"/>
      <c r="F70" s="1024"/>
      <c r="G70" s="1024"/>
      <c r="H70" s="1024"/>
      <c r="I70" s="10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2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21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05" t="s">
        <v>53</v>
      </c>
      <c r="B78" s="805"/>
      <c r="C78" s="805"/>
      <c r="D78" s="805"/>
      <c r="E78" s="805"/>
      <c r="F78" s="805"/>
      <c r="G78" s="805"/>
      <c r="H78" s="805"/>
      <c r="I78" s="805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21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21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21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21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23" t="s">
        <v>53</v>
      </c>
      <c r="B86" s="1024"/>
      <c r="C86" s="1024"/>
      <c r="D86" s="1024"/>
      <c r="E86" s="1024"/>
      <c r="F86" s="1024"/>
      <c r="G86" s="1024"/>
      <c r="H86" s="1024"/>
      <c r="I86" s="10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23" t="s">
        <v>53</v>
      </c>
      <c r="B92" s="1024"/>
      <c r="C92" s="1024"/>
      <c r="D92" s="1024"/>
      <c r="E92" s="1024"/>
      <c r="F92" s="1024"/>
      <c r="G92" s="1024"/>
      <c r="H92" s="1024"/>
      <c r="I92" s="10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21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21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21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21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23" t="s">
        <v>53</v>
      </c>
      <c r="B101" s="1024"/>
      <c r="C101" s="1024"/>
      <c r="D101" s="1024"/>
      <c r="E101" s="1024"/>
      <c r="F101" s="1024"/>
      <c r="G101" s="1024"/>
      <c r="H101" s="1024"/>
      <c r="I101" s="10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2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21"/>
      <c r="B107" s="105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21"/>
      <c r="B108" s="105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21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21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22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05" t="s">
        <v>53</v>
      </c>
      <c r="B112" s="805"/>
      <c r="C112" s="805"/>
      <c r="D112" s="805"/>
      <c r="E112" s="805"/>
      <c r="F112" s="805"/>
      <c r="G112" s="805"/>
      <c r="H112" s="805"/>
      <c r="I112" s="805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02" t="s">
        <v>954</v>
      </c>
      <c r="B119" s="830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03"/>
      <c r="B120" s="832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05" t="s">
        <v>53</v>
      </c>
      <c r="B121" s="805"/>
      <c r="C121" s="805"/>
      <c r="D121" s="805"/>
      <c r="E121" s="805"/>
      <c r="F121" s="805"/>
      <c r="G121" s="805"/>
      <c r="H121" s="805"/>
      <c r="I121" s="805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0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0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0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03"/>
      <c r="B129" s="1059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53" t="s">
        <v>90</v>
      </c>
      <c r="J129" s="1041">
        <v>2</v>
      </c>
      <c r="K129" s="25" t="s">
        <v>52</v>
      </c>
      <c r="L129" s="25" t="s">
        <v>51</v>
      </c>
    </row>
    <row r="130" spans="1:12">
      <c r="A130" s="803"/>
      <c r="B130" s="1059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53"/>
      <c r="J130" s="1042"/>
      <c r="K130" s="25" t="s">
        <v>52</v>
      </c>
      <c r="L130" s="25" t="s">
        <v>51</v>
      </c>
    </row>
    <row r="131" spans="1:12">
      <c r="A131" s="80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0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03"/>
      <c r="B133" s="898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39" t="s">
        <v>1277</v>
      </c>
      <c r="J133" s="1041">
        <v>1</v>
      </c>
      <c r="K133" s="25" t="s">
        <v>52</v>
      </c>
      <c r="L133" s="25" t="s">
        <v>51</v>
      </c>
    </row>
    <row r="134" spans="1:12">
      <c r="A134" s="803"/>
      <c r="B134" s="900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09"/>
      <c r="J134" s="1042"/>
      <c r="K134" s="25" t="s">
        <v>52</v>
      </c>
      <c r="L134" s="25" t="s">
        <v>51</v>
      </c>
    </row>
    <row r="135" spans="1:12">
      <c r="A135" s="80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0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05" t="s">
        <v>53</v>
      </c>
      <c r="B137" s="805"/>
      <c r="C137" s="805"/>
      <c r="D137" s="805"/>
      <c r="E137" s="805"/>
      <c r="F137" s="805"/>
      <c r="G137" s="805"/>
      <c r="H137" s="805"/>
      <c r="I137" s="805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03" t="s">
        <v>1007</v>
      </c>
      <c r="B142" s="898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03"/>
      <c r="B143" s="900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0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05" t="s">
        <v>53</v>
      </c>
      <c r="B145" s="805"/>
      <c r="C145" s="805"/>
      <c r="D145" s="805"/>
      <c r="E145" s="805"/>
      <c r="F145" s="805"/>
      <c r="G145" s="805"/>
      <c r="H145" s="805"/>
      <c r="I145" s="805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58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58"/>
      <c r="B150" s="830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58"/>
      <c r="B151" s="832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58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58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795" t="s">
        <v>53</v>
      </c>
      <c r="B154" s="795"/>
      <c r="C154" s="795"/>
      <c r="D154" s="795"/>
      <c r="E154" s="795"/>
      <c r="F154" s="795"/>
      <c r="G154" s="795"/>
      <c r="H154" s="795"/>
      <c r="I154" s="795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0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0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0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0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0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05" t="s">
        <v>53</v>
      </c>
      <c r="B163" s="805"/>
      <c r="C163" s="805"/>
      <c r="D163" s="805"/>
      <c r="E163" s="805"/>
      <c r="F163" s="805"/>
      <c r="G163" s="805"/>
      <c r="H163" s="805"/>
      <c r="I163" s="805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795" t="s">
        <v>53</v>
      </c>
      <c r="B167" s="795"/>
      <c r="C167" s="795"/>
      <c r="D167" s="795"/>
      <c r="E167" s="795"/>
      <c r="F167" s="795"/>
      <c r="G167" s="795"/>
      <c r="H167" s="795"/>
      <c r="I167" s="795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0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0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0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0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0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0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0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0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0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0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05" t="s">
        <v>53</v>
      </c>
      <c r="B183" s="805"/>
      <c r="C183" s="805"/>
      <c r="D183" s="805"/>
      <c r="E183" s="805"/>
      <c r="F183" s="805"/>
      <c r="G183" s="805"/>
      <c r="H183" s="805"/>
      <c r="I183" s="805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2" t="s">
        <v>1061</v>
      </c>
      <c r="B189" s="830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3"/>
      <c r="B190" s="832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3"/>
      <c r="B191" s="830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3"/>
      <c r="B192" s="832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05" t="s">
        <v>53</v>
      </c>
      <c r="B193" s="805"/>
      <c r="C193" s="805"/>
      <c r="D193" s="805"/>
      <c r="E193" s="805"/>
      <c r="F193" s="805"/>
      <c r="G193" s="805"/>
      <c r="H193" s="805"/>
      <c r="I193" s="805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60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61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61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61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795" t="s">
        <v>53</v>
      </c>
      <c r="B203" s="795"/>
      <c r="C203" s="795"/>
      <c r="D203" s="795"/>
      <c r="E203" s="795"/>
      <c r="F203" s="795"/>
      <c r="G203" s="795"/>
      <c r="H203" s="795"/>
      <c r="I203" s="795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795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795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795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795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795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795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795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795" t="s">
        <v>53</v>
      </c>
      <c r="B214" s="795"/>
      <c r="C214" s="795"/>
      <c r="D214" s="795"/>
      <c r="E214" s="795"/>
      <c r="F214" s="795"/>
      <c r="G214" s="795"/>
      <c r="H214" s="795"/>
      <c r="I214" s="795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795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795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795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795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795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795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795" t="s">
        <v>1458</v>
      </c>
      <c r="B226" s="795"/>
      <c r="C226" s="795"/>
      <c r="D226" s="795"/>
      <c r="E226" s="795"/>
      <c r="F226" s="795"/>
      <c r="G226" s="795"/>
      <c r="H226" s="795"/>
      <c r="I226" s="795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795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795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795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795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795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795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795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795" t="s">
        <v>1499</v>
      </c>
      <c r="B236" s="795"/>
      <c r="C236" s="795"/>
      <c r="D236" s="795"/>
      <c r="E236" s="795"/>
      <c r="F236" s="795"/>
      <c r="G236" s="795"/>
      <c r="H236" s="795"/>
      <c r="I236" s="795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21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21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21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21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23" t="s">
        <v>53</v>
      </c>
      <c r="B244" s="1024"/>
      <c r="C244" s="1024"/>
      <c r="D244" s="1024"/>
      <c r="E244" s="1024"/>
      <c r="F244" s="1024"/>
      <c r="G244" s="1024"/>
      <c r="H244" s="1024"/>
      <c r="I244" s="10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21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21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21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23" t="s">
        <v>53</v>
      </c>
      <c r="B250" s="1024"/>
      <c r="C250" s="1024"/>
      <c r="D250" s="1024"/>
      <c r="E250" s="1024"/>
      <c r="F250" s="1024"/>
      <c r="G250" s="1024"/>
      <c r="H250" s="1024"/>
      <c r="I250" s="10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21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21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21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21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23" t="s">
        <v>53</v>
      </c>
      <c r="B257" s="1024"/>
      <c r="C257" s="1024"/>
      <c r="D257" s="1024"/>
      <c r="E257" s="1024"/>
      <c r="F257" s="1024"/>
      <c r="G257" s="1024"/>
      <c r="H257" s="1024"/>
      <c r="I257" s="102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62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62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23" t="s">
        <v>53</v>
      </c>
      <c r="B262" s="1024"/>
      <c r="C262" s="1024"/>
      <c r="D262" s="1024"/>
      <c r="E262" s="1024"/>
      <c r="F262" s="1024"/>
      <c r="G262" s="1024"/>
      <c r="H262" s="1024"/>
      <c r="I262" s="102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2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21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41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21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54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21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4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21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22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23" t="s">
        <v>53</v>
      </c>
      <c r="B271" s="1024"/>
      <c r="C271" s="1024"/>
      <c r="D271" s="1024"/>
      <c r="E271" s="1024"/>
      <c r="F271" s="1024"/>
      <c r="G271" s="1024"/>
      <c r="H271" s="1024"/>
      <c r="I271" s="102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23" t="s">
        <v>53</v>
      </c>
      <c r="B275" s="1024"/>
      <c r="C275" s="1024"/>
      <c r="D275" s="1024"/>
      <c r="E275" s="1024"/>
      <c r="F275" s="1024"/>
      <c r="G275" s="1024"/>
      <c r="H275" s="1024"/>
      <c r="I275" s="102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4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4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4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4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4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2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30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31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31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31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31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31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31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32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23" t="s">
        <v>1646</v>
      </c>
      <c r="B296" s="1024"/>
      <c r="C296" s="1024"/>
      <c r="D296" s="1024"/>
      <c r="E296" s="1024"/>
      <c r="F296" s="1024"/>
      <c r="G296" s="1024"/>
      <c r="H296" s="1024"/>
      <c r="I296" s="1024"/>
      <c r="J296" s="55">
        <v>21</v>
      </c>
      <c r="K296" s="57"/>
      <c r="L296" s="374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795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795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795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795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795" t="s">
        <v>1659</v>
      </c>
      <c r="B305" s="795"/>
      <c r="C305" s="795"/>
      <c r="D305" s="795"/>
      <c r="E305" s="795"/>
      <c r="F305" s="795"/>
      <c r="G305" s="795"/>
      <c r="H305" s="795"/>
      <c r="I305" s="795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795" t="s">
        <v>53</v>
      </c>
      <c r="B309" s="795"/>
      <c r="C309" s="795"/>
      <c r="D309" s="795"/>
      <c r="E309" s="795"/>
      <c r="F309" s="795"/>
      <c r="G309" s="795"/>
      <c r="H309" s="795"/>
      <c r="I309" s="795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795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795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795" t="s">
        <v>1659</v>
      </c>
      <c r="B314" s="795"/>
      <c r="C314" s="795"/>
      <c r="D314" s="795"/>
      <c r="E314" s="795"/>
      <c r="F314" s="795"/>
      <c r="G314" s="795"/>
      <c r="H314" s="795"/>
      <c r="I314" s="795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795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795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795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795" t="s">
        <v>1659</v>
      </c>
      <c r="B321" s="795"/>
      <c r="C321" s="795"/>
      <c r="D321" s="795"/>
      <c r="E321" s="795"/>
      <c r="F321" s="795"/>
      <c r="G321" s="795"/>
      <c r="H321" s="795"/>
      <c r="I321" s="795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795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795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795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795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795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795" t="s">
        <v>1659</v>
      </c>
      <c r="B330" s="795"/>
      <c r="C330" s="795"/>
      <c r="D330" s="795"/>
      <c r="E330" s="795"/>
      <c r="F330" s="795"/>
      <c r="G330" s="795"/>
      <c r="H330" s="795"/>
      <c r="I330" s="795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4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4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4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4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4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795" t="s">
        <v>1659</v>
      </c>
      <c r="B338" s="795"/>
      <c r="C338" s="795"/>
      <c r="D338" s="795"/>
      <c r="E338" s="795"/>
      <c r="F338" s="795"/>
      <c r="G338" s="795"/>
      <c r="H338" s="795"/>
      <c r="I338" s="795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63" t="s">
        <v>1521</v>
      </c>
      <c r="B343" s="128" t="s">
        <v>1531</v>
      </c>
      <c r="C343" s="934" t="s">
        <v>306</v>
      </c>
      <c r="D343" s="934" t="s">
        <v>322</v>
      </c>
      <c r="E343" s="808" t="s">
        <v>307</v>
      </c>
      <c r="F343" s="1066">
        <v>4266</v>
      </c>
      <c r="G343" s="934" t="s">
        <v>640</v>
      </c>
      <c r="H343" s="1066" t="s">
        <v>1533</v>
      </c>
      <c r="I343" s="934" t="s">
        <v>1534</v>
      </c>
      <c r="J343" s="808">
        <v>2</v>
      </c>
      <c r="K343" s="1020" t="s">
        <v>50</v>
      </c>
      <c r="L343" s="1020" t="s">
        <v>51</v>
      </c>
    </row>
    <row r="344" spans="1:13">
      <c r="A344" s="1064"/>
      <c r="B344" s="129" t="s">
        <v>1532</v>
      </c>
      <c r="C344" s="809"/>
      <c r="D344" s="809"/>
      <c r="E344" s="809"/>
      <c r="F344" s="811"/>
      <c r="G344" s="809"/>
      <c r="H344" s="811"/>
      <c r="I344" s="809"/>
      <c r="J344" s="809"/>
      <c r="K344" s="1022"/>
      <c r="L344" s="1022"/>
    </row>
    <row r="345" spans="1:13">
      <c r="A345" s="1064"/>
      <c r="B345" s="128" t="s">
        <v>1536</v>
      </c>
      <c r="C345" s="808" t="s">
        <v>306</v>
      </c>
      <c r="D345" s="808" t="s">
        <v>322</v>
      </c>
      <c r="E345" s="808" t="s">
        <v>307</v>
      </c>
      <c r="F345" s="810">
        <v>3306</v>
      </c>
      <c r="G345" s="808" t="s">
        <v>1153</v>
      </c>
      <c r="H345" s="810" t="s">
        <v>1538</v>
      </c>
      <c r="I345" s="808" t="s">
        <v>1534</v>
      </c>
      <c r="J345" s="808">
        <v>2</v>
      </c>
      <c r="K345" s="1020" t="s">
        <v>50</v>
      </c>
      <c r="L345" s="1020" t="s">
        <v>51</v>
      </c>
    </row>
    <row r="346" spans="1:13">
      <c r="A346" s="1065"/>
      <c r="B346" s="129" t="s">
        <v>1537</v>
      </c>
      <c r="C346" s="809"/>
      <c r="D346" s="809"/>
      <c r="E346" s="809"/>
      <c r="F346" s="811"/>
      <c r="G346" s="809"/>
      <c r="H346" s="811"/>
      <c r="I346" s="809"/>
      <c r="J346" s="809"/>
      <c r="K346" s="1022"/>
      <c r="L346" s="1022"/>
    </row>
    <row r="347" spans="1:13">
      <c r="A347" s="1023" t="s">
        <v>53</v>
      </c>
      <c r="B347" s="1024"/>
      <c r="C347" s="1024"/>
      <c r="D347" s="1024"/>
      <c r="E347" s="1024"/>
      <c r="F347" s="1024"/>
      <c r="G347" s="1024"/>
      <c r="H347" s="1024"/>
      <c r="I347" s="102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0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0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0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0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0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0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0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05" t="s">
        <v>53</v>
      </c>
      <c r="B357" s="805"/>
      <c r="C357" s="805"/>
      <c r="D357" s="805"/>
      <c r="E357" s="805"/>
      <c r="F357" s="805"/>
      <c r="G357" s="805"/>
      <c r="H357" s="805"/>
      <c r="I357" s="805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795" t="s">
        <v>1458</v>
      </c>
      <c r="B361" s="795"/>
      <c r="C361" s="795"/>
      <c r="D361" s="795"/>
      <c r="E361" s="795"/>
      <c r="F361" s="795"/>
      <c r="G361" s="795"/>
      <c r="H361" s="795"/>
      <c r="I361" s="795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58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795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795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795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795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795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795" t="s">
        <v>1659</v>
      </c>
      <c r="B370" s="795"/>
      <c r="C370" s="795"/>
      <c r="D370" s="795"/>
      <c r="E370" s="795"/>
      <c r="F370" s="795"/>
      <c r="G370" s="795"/>
      <c r="H370" s="795"/>
      <c r="I370" s="795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4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4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4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4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4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05" t="s">
        <v>1646</v>
      </c>
      <c r="B378" s="805"/>
      <c r="C378" s="805"/>
      <c r="D378" s="805"/>
      <c r="E378" s="805"/>
      <c r="F378" s="805"/>
      <c r="G378" s="805"/>
      <c r="H378" s="805"/>
      <c r="I378" s="805"/>
      <c r="J378" s="805"/>
      <c r="K378" s="4">
        <v>25</v>
      </c>
      <c r="L378" s="55"/>
    </row>
    <row r="381" spans="1:12">
      <c r="B381" s="1046" t="s">
        <v>1</v>
      </c>
      <c r="C381" s="1046" t="s">
        <v>2</v>
      </c>
      <c r="D381" s="1046" t="s">
        <v>3</v>
      </c>
      <c r="E381" s="36" t="s">
        <v>54</v>
      </c>
      <c r="F381" s="1046" t="s">
        <v>5</v>
      </c>
      <c r="G381" s="1046" t="s">
        <v>6</v>
      </c>
      <c r="H381" s="1046" t="s">
        <v>7</v>
      </c>
      <c r="I381" s="1046" t="s">
        <v>55</v>
      </c>
      <c r="J381" s="1046" t="s">
        <v>9</v>
      </c>
      <c r="K381" s="1048" t="s">
        <v>56</v>
      </c>
      <c r="L381" s="1046" t="s">
        <v>57</v>
      </c>
    </row>
    <row r="382" spans="1:12">
      <c r="B382" s="1047"/>
      <c r="C382" s="1047"/>
      <c r="D382" s="1047"/>
      <c r="E382" s="37" t="s">
        <v>59</v>
      </c>
      <c r="F382" s="1047"/>
      <c r="G382" s="1047"/>
      <c r="H382" s="1047"/>
      <c r="I382" s="1047"/>
      <c r="J382" s="1047"/>
      <c r="K382" s="1049"/>
      <c r="L382" s="1047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795" t="s">
        <v>53</v>
      </c>
      <c r="B394" s="795"/>
      <c r="C394" s="795"/>
      <c r="D394" s="795"/>
      <c r="E394" s="795"/>
      <c r="F394" s="795"/>
      <c r="G394" s="795"/>
      <c r="H394" s="795"/>
      <c r="I394" s="795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4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4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4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4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795" t="s">
        <v>53</v>
      </c>
      <c r="B401" s="795"/>
      <c r="C401" s="795"/>
      <c r="D401" s="795"/>
      <c r="E401" s="795"/>
      <c r="F401" s="795"/>
      <c r="G401" s="795"/>
      <c r="H401" s="795"/>
      <c r="I401" s="795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38" t="s">
        <v>229</v>
      </c>
      <c r="B405" s="1031" t="s">
        <v>1805</v>
      </c>
      <c r="C405" s="1031" t="s">
        <v>700</v>
      </c>
      <c r="D405" s="1027" t="s">
        <v>675</v>
      </c>
      <c r="E405" s="1031" t="s">
        <v>1806</v>
      </c>
      <c r="F405" s="1031" t="s">
        <v>1807</v>
      </c>
      <c r="G405" s="1031" t="s">
        <v>662</v>
      </c>
      <c r="H405" s="1032" t="s">
        <v>1808</v>
      </c>
      <c r="I405" s="1027"/>
      <c r="J405" s="1032">
        <v>1</v>
      </c>
      <c r="K405" s="1020" t="s">
        <v>631</v>
      </c>
      <c r="L405" s="815" t="s">
        <v>51</v>
      </c>
    </row>
    <row r="406" spans="1:12" ht="13.5" customHeight="1">
      <c r="A406" s="1038"/>
      <c r="B406" s="1031"/>
      <c r="C406" s="1031"/>
      <c r="D406" s="1027"/>
      <c r="E406" s="1031"/>
      <c r="F406" s="1031"/>
      <c r="G406" s="1031"/>
      <c r="H406" s="1032"/>
      <c r="I406" s="1027"/>
      <c r="J406" s="1032"/>
      <c r="K406" s="1022"/>
      <c r="L406" s="817"/>
    </row>
    <row r="407" spans="1:12" ht="27" customHeight="1">
      <c r="A407" s="1038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3" t="s">
        <v>1997</v>
      </c>
    </row>
    <row r="408" spans="1:12" ht="27" customHeight="1">
      <c r="A408" s="1038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3" t="s">
        <v>51</v>
      </c>
    </row>
    <row r="409" spans="1:12" ht="27" customHeight="1">
      <c r="A409" s="1038" t="s">
        <v>1646</v>
      </c>
      <c r="B409" s="1038"/>
      <c r="C409" s="1038"/>
      <c r="D409" s="1038"/>
      <c r="E409" s="1038"/>
      <c r="F409" s="1038"/>
      <c r="G409" s="1038"/>
      <c r="H409" s="1038"/>
      <c r="I409" s="1038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38" t="s">
        <v>2008</v>
      </c>
      <c r="B412" s="1043" t="s">
        <v>2009</v>
      </c>
      <c r="C412" s="1020" t="s">
        <v>21</v>
      </c>
      <c r="D412" s="891" t="s">
        <v>14</v>
      </c>
      <c r="E412" s="1020" t="s">
        <v>78</v>
      </c>
      <c r="F412" s="1031" t="s">
        <v>2010</v>
      </c>
      <c r="G412" s="1031" t="s">
        <v>40</v>
      </c>
      <c r="H412" s="1032" t="s">
        <v>614</v>
      </c>
      <c r="I412" s="1027"/>
      <c r="J412" s="1032">
        <v>1</v>
      </c>
      <c r="K412" s="1020" t="s">
        <v>2011</v>
      </c>
      <c r="L412" s="815" t="s">
        <v>1997</v>
      </c>
    </row>
    <row r="413" spans="1:12" ht="20.100000000000001" customHeight="1">
      <c r="A413" s="1038"/>
      <c r="B413" s="1031"/>
      <c r="C413" s="1022"/>
      <c r="D413" s="893"/>
      <c r="E413" s="1022"/>
      <c r="F413" s="1031"/>
      <c r="G413" s="1031"/>
      <c r="H413" s="1032"/>
      <c r="I413" s="1027"/>
      <c r="J413" s="1032"/>
      <c r="K413" s="1022"/>
      <c r="L413" s="817"/>
    </row>
    <row r="414" spans="1:12" ht="20.100000000000001" customHeight="1">
      <c r="A414" s="1038" t="s">
        <v>1646</v>
      </c>
      <c r="B414" s="1038"/>
      <c r="C414" s="1038"/>
      <c r="D414" s="1038"/>
      <c r="E414" s="1038"/>
      <c r="F414" s="1038"/>
      <c r="G414" s="1038"/>
      <c r="H414" s="1038"/>
      <c r="I414" s="1038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15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3" t="s">
        <v>51</v>
      </c>
    </row>
    <row r="418" spans="1:12" ht="13.5" customHeight="1">
      <c r="A418" s="816"/>
      <c r="B418" s="78" t="s">
        <v>1748</v>
      </c>
      <c r="C418" s="1027" t="s">
        <v>306</v>
      </c>
      <c r="D418" s="1027" t="s">
        <v>322</v>
      </c>
      <c r="E418" s="1027" t="s">
        <v>307</v>
      </c>
      <c r="F418" s="1032">
        <v>3306</v>
      </c>
      <c r="G418" s="1027" t="s">
        <v>1153</v>
      </c>
      <c r="H418" s="1032" t="s">
        <v>1749</v>
      </c>
      <c r="I418" s="1027" t="s">
        <v>664</v>
      </c>
      <c r="J418" s="1027">
        <v>4</v>
      </c>
      <c r="K418" s="1020" t="s">
        <v>631</v>
      </c>
      <c r="L418" s="815" t="s">
        <v>51</v>
      </c>
    </row>
    <row r="419" spans="1:12" ht="13.5" customHeight="1">
      <c r="A419" s="816"/>
      <c r="B419" s="79" t="s">
        <v>1751</v>
      </c>
      <c r="C419" s="1027"/>
      <c r="D419" s="1027"/>
      <c r="E419" s="1027"/>
      <c r="F419" s="1032"/>
      <c r="G419" s="1027"/>
      <c r="H419" s="1032"/>
      <c r="I419" s="1027"/>
      <c r="J419" s="1027"/>
      <c r="K419" s="1022"/>
      <c r="L419" s="817"/>
    </row>
    <row r="420" spans="1:12" ht="13.5" customHeight="1">
      <c r="A420" s="816"/>
      <c r="B420" s="78" t="s">
        <v>1800</v>
      </c>
      <c r="C420" s="1027" t="s">
        <v>306</v>
      </c>
      <c r="D420" s="1027" t="s">
        <v>322</v>
      </c>
      <c r="E420" s="1027" t="s">
        <v>307</v>
      </c>
      <c r="F420" s="1032" t="s">
        <v>1801</v>
      </c>
      <c r="G420" s="1027" t="s">
        <v>1802</v>
      </c>
      <c r="H420" s="1032" t="s">
        <v>1803</v>
      </c>
      <c r="I420" s="1027" t="s">
        <v>664</v>
      </c>
      <c r="J420" s="1027">
        <v>5</v>
      </c>
      <c r="K420" s="1020" t="s">
        <v>631</v>
      </c>
      <c r="L420" s="815" t="s">
        <v>51</v>
      </c>
    </row>
    <row r="421" spans="1:12" ht="13.5" customHeight="1">
      <c r="A421" s="816"/>
      <c r="B421" s="79" t="s">
        <v>1795</v>
      </c>
      <c r="C421" s="1027"/>
      <c r="D421" s="1027"/>
      <c r="E421" s="1027"/>
      <c r="F421" s="1032"/>
      <c r="G421" s="1027"/>
      <c r="H421" s="1032"/>
      <c r="I421" s="1027"/>
      <c r="J421" s="1027"/>
      <c r="K421" s="1022"/>
      <c r="L421" s="817"/>
    </row>
    <row r="422" spans="1:12" ht="27" customHeight="1">
      <c r="A422" s="817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3" t="s">
        <v>51</v>
      </c>
    </row>
    <row r="423" spans="1:12" ht="27" customHeight="1">
      <c r="A423" s="1038" t="s">
        <v>1646</v>
      </c>
      <c r="B423" s="1038"/>
      <c r="C423" s="1038"/>
      <c r="D423" s="1038"/>
      <c r="E423" s="1038"/>
      <c r="F423" s="1038"/>
      <c r="G423" s="1038"/>
      <c r="H423" s="1038"/>
      <c r="I423" s="1038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33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34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34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34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795" t="s">
        <v>1646</v>
      </c>
      <c r="B431" s="795"/>
      <c r="C431" s="795"/>
      <c r="D431" s="795"/>
      <c r="E431" s="795"/>
      <c r="F431" s="795"/>
      <c r="G431" s="795"/>
      <c r="H431" s="795"/>
      <c r="I431" s="795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34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35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795" t="s">
        <v>1646</v>
      </c>
      <c r="B435" s="795"/>
      <c r="C435" s="795"/>
      <c r="D435" s="795"/>
      <c r="E435" s="795"/>
      <c r="F435" s="795"/>
      <c r="G435" s="795"/>
      <c r="H435" s="795"/>
      <c r="I435" s="795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30" t="s">
        <v>2027</v>
      </c>
      <c r="B438" s="252" t="s">
        <v>1760</v>
      </c>
      <c r="C438" s="896" t="s">
        <v>306</v>
      </c>
      <c r="D438" s="896" t="s">
        <v>322</v>
      </c>
      <c r="E438" s="896" t="s">
        <v>307</v>
      </c>
      <c r="F438" s="1039" t="s">
        <v>1761</v>
      </c>
      <c r="G438" s="896" t="s">
        <v>329</v>
      </c>
      <c r="H438" s="1041" t="s">
        <v>1762</v>
      </c>
      <c r="I438" s="879" t="s">
        <v>664</v>
      </c>
      <c r="J438" s="1036">
        <v>2</v>
      </c>
      <c r="K438" s="1020" t="s">
        <v>1996</v>
      </c>
      <c r="L438" s="1020" t="s">
        <v>51</v>
      </c>
    </row>
    <row r="439" spans="1:12" ht="13.5" customHeight="1">
      <c r="A439" s="831"/>
      <c r="B439" s="253" t="s">
        <v>2028</v>
      </c>
      <c r="C439" s="897"/>
      <c r="D439" s="897"/>
      <c r="E439" s="897"/>
      <c r="F439" s="1040"/>
      <c r="G439" s="897"/>
      <c r="H439" s="1042"/>
      <c r="I439" s="880"/>
      <c r="J439" s="1037"/>
      <c r="K439" s="1022"/>
      <c r="L439" s="1022"/>
    </row>
    <row r="440" spans="1:12" ht="13.5" customHeight="1">
      <c r="A440" s="831"/>
      <c r="B440" s="254" t="s">
        <v>1794</v>
      </c>
      <c r="C440" s="948" t="s">
        <v>306</v>
      </c>
      <c r="D440" s="948" t="s">
        <v>322</v>
      </c>
      <c r="E440" s="948" t="s">
        <v>307</v>
      </c>
      <c r="F440" s="950" t="s">
        <v>1796</v>
      </c>
      <c r="G440" s="948" t="s">
        <v>1797</v>
      </c>
      <c r="H440" s="950" t="s">
        <v>1792</v>
      </c>
      <c r="I440" s="948" t="s">
        <v>664</v>
      </c>
      <c r="J440" s="808">
        <v>4</v>
      </c>
      <c r="K440" s="1020" t="s">
        <v>631</v>
      </c>
      <c r="L440" s="1020" t="s">
        <v>1997</v>
      </c>
    </row>
    <row r="441" spans="1:12" ht="13.5" customHeight="1">
      <c r="A441" s="831"/>
      <c r="B441" s="255" t="s">
        <v>1795</v>
      </c>
      <c r="C441" s="948"/>
      <c r="D441" s="948"/>
      <c r="E441" s="948"/>
      <c r="F441" s="950"/>
      <c r="G441" s="948"/>
      <c r="H441" s="950"/>
      <c r="I441" s="948"/>
      <c r="J441" s="809"/>
      <c r="K441" s="1022"/>
      <c r="L441" s="1022"/>
    </row>
    <row r="442" spans="1:12" ht="20.100000000000001" customHeight="1">
      <c r="A442" s="831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31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31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31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31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31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31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32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23" t="s">
        <v>1646</v>
      </c>
      <c r="B450" s="1024"/>
      <c r="C450" s="1024"/>
      <c r="D450" s="1024"/>
      <c r="E450" s="1024"/>
      <c r="F450" s="1024"/>
      <c r="G450" s="1024"/>
      <c r="H450" s="1024"/>
      <c r="I450" s="1024"/>
      <c r="J450" s="55">
        <v>20</v>
      </c>
      <c r="K450" s="57"/>
      <c r="L450" s="374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0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0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0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05" t="s">
        <v>2059</v>
      </c>
      <c r="B459" s="805"/>
      <c r="C459" s="805"/>
      <c r="D459" s="805"/>
      <c r="E459" s="805"/>
      <c r="F459" s="805"/>
      <c r="G459" s="805"/>
      <c r="H459" s="805"/>
      <c r="I459" s="805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33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34"/>
      <c r="B463" s="1028" t="s">
        <v>1767</v>
      </c>
      <c r="C463" s="1029" t="s">
        <v>311</v>
      </c>
      <c r="D463" s="1029" t="s">
        <v>320</v>
      </c>
      <c r="E463" s="1029" t="s">
        <v>709</v>
      </c>
      <c r="F463" s="1029" t="s">
        <v>1768</v>
      </c>
      <c r="G463" s="1028" t="s">
        <v>1769</v>
      </c>
      <c r="H463" s="258" t="s">
        <v>1770</v>
      </c>
      <c r="I463" s="1029"/>
      <c r="J463" s="1029">
        <v>1</v>
      </c>
      <c r="K463" s="891" t="s">
        <v>631</v>
      </c>
      <c r="L463" s="923" t="s">
        <v>51</v>
      </c>
    </row>
    <row r="464" spans="1:12" ht="13.5" customHeight="1">
      <c r="A464" s="1034"/>
      <c r="B464" s="1028"/>
      <c r="C464" s="1029"/>
      <c r="D464" s="1029"/>
      <c r="E464" s="1029"/>
      <c r="F464" s="1029"/>
      <c r="G464" s="1028"/>
      <c r="H464" s="259" t="s">
        <v>1773</v>
      </c>
      <c r="I464" s="1029"/>
      <c r="J464" s="1029"/>
      <c r="K464" s="893"/>
      <c r="L464" s="924"/>
    </row>
    <row r="465" spans="1:12" ht="13.5" customHeight="1">
      <c r="A465" s="1034"/>
      <c r="B465" s="1030" t="s">
        <v>1813</v>
      </c>
      <c r="C465" s="1031" t="s">
        <v>700</v>
      </c>
      <c r="D465" s="1027" t="s">
        <v>320</v>
      </c>
      <c r="E465" s="1027" t="s">
        <v>337</v>
      </c>
      <c r="F465" s="1031" t="s">
        <v>353</v>
      </c>
      <c r="G465" s="1031" t="s">
        <v>1814</v>
      </c>
      <c r="H465" s="1032" t="s">
        <v>1815</v>
      </c>
      <c r="I465" s="1027" t="s">
        <v>638</v>
      </c>
      <c r="J465" s="1032">
        <v>2</v>
      </c>
      <c r="K465" s="1020" t="s">
        <v>631</v>
      </c>
      <c r="L465" s="1020" t="s">
        <v>51</v>
      </c>
    </row>
    <row r="466" spans="1:12" ht="13.5" customHeight="1">
      <c r="A466" s="1034"/>
      <c r="B466" s="1030"/>
      <c r="C466" s="1031"/>
      <c r="D466" s="1027"/>
      <c r="E466" s="1027"/>
      <c r="F466" s="1031"/>
      <c r="G466" s="1031"/>
      <c r="H466" s="1032"/>
      <c r="I466" s="1027"/>
      <c r="J466" s="1032"/>
      <c r="K466" s="1022"/>
      <c r="L466" s="1022"/>
    </row>
    <row r="467" spans="1:12" ht="27" customHeight="1">
      <c r="A467" s="1034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34"/>
      <c r="B468" s="1031" t="s">
        <v>1820</v>
      </c>
      <c r="C468" s="1031" t="s">
        <v>700</v>
      </c>
      <c r="D468" s="1027" t="s">
        <v>320</v>
      </c>
      <c r="E468" s="1027" t="s">
        <v>709</v>
      </c>
      <c r="F468" s="1027" t="s">
        <v>1768</v>
      </c>
      <c r="G468" s="1031" t="s">
        <v>1821</v>
      </c>
      <c r="H468" s="261" t="s">
        <v>1822</v>
      </c>
      <c r="I468" s="1027" t="s">
        <v>638</v>
      </c>
      <c r="J468" s="1027">
        <v>2</v>
      </c>
      <c r="K468" s="1020" t="s">
        <v>631</v>
      </c>
      <c r="L468" s="1020" t="s">
        <v>51</v>
      </c>
    </row>
    <row r="469" spans="1:12" ht="13.5" customHeight="1">
      <c r="A469" s="1034"/>
      <c r="B469" s="1031"/>
      <c r="C469" s="1031"/>
      <c r="D469" s="1027"/>
      <c r="E469" s="1027"/>
      <c r="F469" s="1027"/>
      <c r="G469" s="1031"/>
      <c r="H469" s="262" t="s">
        <v>1823</v>
      </c>
      <c r="I469" s="1027"/>
      <c r="J469" s="1027"/>
      <c r="K469" s="1022"/>
      <c r="L469" s="1022"/>
    </row>
    <row r="470" spans="1:12" ht="27" customHeight="1">
      <c r="A470" s="1034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35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795" t="s">
        <v>53</v>
      </c>
      <c r="B472" s="795"/>
      <c r="C472" s="795"/>
      <c r="D472" s="795"/>
      <c r="E472" s="795"/>
      <c r="F472" s="795"/>
      <c r="G472" s="795"/>
      <c r="H472" s="795"/>
      <c r="I472" s="795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795" t="s">
        <v>228</v>
      </c>
      <c r="B476" s="1028" t="s">
        <v>1767</v>
      </c>
      <c r="C476" s="1029" t="s">
        <v>311</v>
      </c>
      <c r="D476" s="1029" t="s">
        <v>320</v>
      </c>
      <c r="E476" s="1029" t="s">
        <v>709</v>
      </c>
      <c r="F476" s="1029" t="s">
        <v>1768</v>
      </c>
      <c r="G476" s="1028" t="s">
        <v>1769</v>
      </c>
      <c r="H476" s="258" t="s">
        <v>1770</v>
      </c>
      <c r="I476" s="1029"/>
      <c r="J476" s="1029">
        <v>1</v>
      </c>
      <c r="K476" s="891" t="s">
        <v>631</v>
      </c>
      <c r="L476" s="923" t="s">
        <v>51</v>
      </c>
    </row>
    <row r="477" spans="1:12" ht="13.5" customHeight="1">
      <c r="A477" s="795"/>
      <c r="B477" s="1028"/>
      <c r="C477" s="1029"/>
      <c r="D477" s="1029"/>
      <c r="E477" s="1029"/>
      <c r="F477" s="1029"/>
      <c r="G477" s="1028"/>
      <c r="H477" s="259" t="s">
        <v>1773</v>
      </c>
      <c r="I477" s="1029"/>
      <c r="J477" s="1029"/>
      <c r="K477" s="893"/>
      <c r="L477" s="924"/>
    </row>
    <row r="478" spans="1:12" ht="27" customHeight="1">
      <c r="A478" s="795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795" t="s">
        <v>1646</v>
      </c>
      <c r="B479" s="795"/>
      <c r="C479" s="795"/>
      <c r="D479" s="795"/>
      <c r="E479" s="795"/>
      <c r="F479" s="795"/>
      <c r="G479" s="795"/>
      <c r="H479" s="795"/>
      <c r="I479" s="795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2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21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2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2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22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23" t="s">
        <v>53</v>
      </c>
      <c r="B487" s="1024"/>
      <c r="C487" s="1024"/>
      <c r="D487" s="1024"/>
      <c r="E487" s="1024"/>
      <c r="F487" s="1024"/>
      <c r="G487" s="1024"/>
      <c r="H487" s="1024"/>
      <c r="I487" s="102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1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19"/>
      <c r="B494" s="1017" t="s">
        <v>2182</v>
      </c>
      <c r="C494" s="1017" t="s">
        <v>306</v>
      </c>
      <c r="D494" s="1017" t="s">
        <v>322</v>
      </c>
      <c r="E494" s="1017" t="s">
        <v>307</v>
      </c>
      <c r="F494" s="1026" t="s">
        <v>1919</v>
      </c>
      <c r="G494" s="1017" t="s">
        <v>662</v>
      </c>
      <c r="H494" s="1026" t="s">
        <v>1920</v>
      </c>
      <c r="I494" s="1017" t="s">
        <v>349</v>
      </c>
      <c r="J494" s="1017">
        <v>2</v>
      </c>
      <c r="K494" s="1031" t="s">
        <v>50</v>
      </c>
      <c r="L494" s="222">
        <v>23</v>
      </c>
    </row>
    <row r="495" spans="1:12" ht="12.6" customHeight="1">
      <c r="A495" s="1019"/>
      <c r="B495" s="1017"/>
      <c r="C495" s="1017"/>
      <c r="D495" s="1017"/>
      <c r="E495" s="1017"/>
      <c r="F495" s="1026"/>
      <c r="G495" s="1017"/>
      <c r="H495" s="1026"/>
      <c r="I495" s="1017"/>
      <c r="J495" s="1017"/>
      <c r="K495" s="1031"/>
    </row>
    <row r="496" spans="1:12" ht="24.95" customHeight="1">
      <c r="A496" s="101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1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1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1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795" t="s">
        <v>53</v>
      </c>
      <c r="B500" s="795"/>
      <c r="C500" s="795"/>
      <c r="D500" s="795"/>
      <c r="E500" s="795"/>
      <c r="F500" s="795"/>
      <c r="G500" s="795"/>
      <c r="H500" s="795"/>
      <c r="I500" s="795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05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05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05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05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05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795" t="s">
        <v>2217</v>
      </c>
      <c r="B511" s="795"/>
      <c r="C511" s="795"/>
      <c r="D511" s="795"/>
      <c r="E511" s="795"/>
      <c r="F511" s="795"/>
      <c r="G511" s="795"/>
      <c r="H511" s="795"/>
      <c r="I511" s="795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05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05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05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05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05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05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05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05" t="s">
        <v>2233</v>
      </c>
      <c r="B522" s="805"/>
      <c r="C522" s="805"/>
      <c r="D522" s="805"/>
      <c r="E522" s="805"/>
      <c r="F522" s="805"/>
      <c r="G522" s="805"/>
      <c r="H522" s="805"/>
      <c r="I522" s="805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795" t="s">
        <v>2238</v>
      </c>
      <c r="B528" s="795"/>
      <c r="C528" s="795"/>
      <c r="D528" s="795"/>
      <c r="E528" s="795"/>
      <c r="F528" s="795"/>
      <c r="G528" s="795"/>
      <c r="H528" s="795"/>
      <c r="I528" s="795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05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05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05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795" t="s">
        <v>2233</v>
      </c>
      <c r="B535" s="795"/>
      <c r="C535" s="795"/>
      <c r="D535" s="795"/>
      <c r="E535" s="795"/>
      <c r="F535" s="795"/>
      <c r="G535" s="795"/>
      <c r="H535" s="795"/>
      <c r="I535" s="795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23" t="s">
        <v>2238</v>
      </c>
      <c r="B540" s="1024"/>
      <c r="C540" s="1024"/>
      <c r="D540" s="1024"/>
      <c r="E540" s="1024"/>
      <c r="F540" s="1024"/>
      <c r="G540" s="1024"/>
      <c r="H540" s="1024"/>
      <c r="I540" s="102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795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795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38" t="s">
        <v>2233</v>
      </c>
      <c r="B546" s="1038"/>
      <c r="C546" s="1038"/>
      <c r="D546" s="1038"/>
      <c r="E546" s="1038"/>
      <c r="F546" s="1038"/>
      <c r="G546" s="1038"/>
      <c r="H546" s="1038"/>
      <c r="I546" s="1038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795" t="s">
        <v>2233</v>
      </c>
      <c r="B550" s="795"/>
      <c r="C550" s="795"/>
      <c r="D550" s="795"/>
      <c r="E550" s="795"/>
      <c r="F550" s="795"/>
      <c r="G550" s="795"/>
      <c r="H550" s="795"/>
      <c r="I550" s="795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71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71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71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71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71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71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71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71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71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71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71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795" t="s">
        <v>2233</v>
      </c>
      <c r="B565" s="795"/>
      <c r="C565" s="795"/>
      <c r="D565" s="795"/>
      <c r="E565" s="795"/>
      <c r="F565" s="795"/>
      <c r="G565" s="795"/>
      <c r="H565" s="795"/>
      <c r="I565" s="795"/>
      <c r="J565" s="31">
        <v>19</v>
      </c>
      <c r="K565" s="57"/>
      <c r="L565" s="375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39" t="s">
        <v>306</v>
      </c>
      <c r="D569" s="839" t="s">
        <v>322</v>
      </c>
      <c r="E569" s="839" t="s">
        <v>307</v>
      </c>
      <c r="F569" s="839">
        <v>3306</v>
      </c>
      <c r="G569" s="839" t="s">
        <v>1153</v>
      </c>
      <c r="H569" s="839" t="s">
        <v>1907</v>
      </c>
      <c r="I569" s="839" t="s">
        <v>1111</v>
      </c>
      <c r="J569" s="839" t="s">
        <v>692</v>
      </c>
      <c r="K569" s="1069" t="s">
        <v>2291</v>
      </c>
    </row>
    <row r="570" spans="1:12">
      <c r="B570" s="243" t="s">
        <v>1909</v>
      </c>
      <c r="C570" s="840"/>
      <c r="D570" s="840"/>
      <c r="E570" s="840"/>
      <c r="F570" s="840"/>
      <c r="G570" s="840"/>
      <c r="H570" s="840"/>
      <c r="I570" s="840"/>
      <c r="J570" s="840"/>
      <c r="K570" s="1070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1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1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1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1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1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1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1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795" t="s">
        <v>1458</v>
      </c>
      <c r="B582" s="795"/>
      <c r="C582" s="795"/>
      <c r="D582" s="795"/>
      <c r="E582" s="795"/>
      <c r="F582" s="795"/>
      <c r="G582" s="795"/>
      <c r="H582" s="795"/>
      <c r="I582" s="795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05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05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795" t="s">
        <v>2393</v>
      </c>
      <c r="B588" s="795"/>
      <c r="C588" s="795"/>
      <c r="D588" s="795"/>
      <c r="E588" s="795"/>
      <c r="F588" s="795"/>
      <c r="G588" s="795"/>
      <c r="H588" s="795"/>
      <c r="I588" s="795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05" t="s">
        <v>2406</v>
      </c>
      <c r="B592" s="805"/>
      <c r="C592" s="805"/>
      <c r="D592" s="805"/>
      <c r="E592" s="805"/>
      <c r="F592" s="805"/>
      <c r="G592" s="805"/>
      <c r="H592" s="805"/>
      <c r="I592" s="805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05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05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05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05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05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05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05" t="s">
        <v>2406</v>
      </c>
      <c r="B601" s="805"/>
      <c r="C601" s="805"/>
      <c r="D601" s="805"/>
      <c r="E601" s="805"/>
      <c r="F601" s="805"/>
      <c r="G601" s="805"/>
      <c r="H601" s="805"/>
      <c r="I601" s="805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795" t="s">
        <v>2437</v>
      </c>
      <c r="B606" s="795"/>
      <c r="C606" s="795"/>
      <c r="D606" s="795"/>
      <c r="E606" s="795"/>
      <c r="F606" s="795"/>
      <c r="G606" s="795"/>
      <c r="H606" s="795"/>
      <c r="I606" s="795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05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05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05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795" t="s">
        <v>2406</v>
      </c>
      <c r="B613" s="795"/>
      <c r="C613" s="795"/>
      <c r="D613" s="795"/>
      <c r="E613" s="795"/>
      <c r="F613" s="795"/>
      <c r="G613" s="795"/>
      <c r="H613" s="795"/>
      <c r="I613" s="795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71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71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71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71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71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71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71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71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71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71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795" t="s">
        <v>2406</v>
      </c>
      <c r="B627" s="795"/>
      <c r="C627" s="795"/>
      <c r="D627" s="795"/>
      <c r="E627" s="795"/>
      <c r="F627" s="795"/>
      <c r="G627" s="795"/>
      <c r="H627" s="795"/>
      <c r="I627" s="795"/>
      <c r="J627" s="31">
        <v>23</v>
      </c>
      <c r="K627" s="57"/>
    </row>
    <row r="632" spans="1:12" ht="22.5">
      <c r="A632" s="546" t="s">
        <v>43</v>
      </c>
      <c r="B632" s="546" t="s">
        <v>1620</v>
      </c>
      <c r="C632" s="547" t="s">
        <v>2</v>
      </c>
      <c r="D632" s="547" t="s">
        <v>3</v>
      </c>
      <c r="E632" s="547" t="s">
        <v>4</v>
      </c>
      <c r="F632" s="547" t="s">
        <v>5</v>
      </c>
      <c r="G632" s="547" t="s">
        <v>6</v>
      </c>
      <c r="H632" s="548" t="s">
        <v>45</v>
      </c>
      <c r="I632" s="547" t="s">
        <v>8</v>
      </c>
      <c r="J632" s="549" t="s">
        <v>46</v>
      </c>
      <c r="K632" s="550" t="s">
        <v>47</v>
      </c>
    </row>
    <row r="633" spans="1:12">
      <c r="A633" s="1012" t="s">
        <v>5656</v>
      </c>
      <c r="B633" s="551" t="s">
        <v>5146</v>
      </c>
      <c r="C633" s="552" t="s">
        <v>306</v>
      </c>
      <c r="D633" s="552" t="s">
        <v>322</v>
      </c>
      <c r="E633" s="552" t="s">
        <v>307</v>
      </c>
      <c r="F633" s="551" t="s">
        <v>5060</v>
      </c>
      <c r="G633" s="551" t="s">
        <v>354</v>
      </c>
      <c r="H633" s="551" t="s">
        <v>4915</v>
      </c>
      <c r="I633" s="552" t="s">
        <v>664</v>
      </c>
      <c r="J633" s="552" t="s">
        <v>3182</v>
      </c>
      <c r="K633" s="552" t="s">
        <v>5330</v>
      </c>
      <c r="L633" s="533">
        <v>1250000</v>
      </c>
    </row>
    <row r="634" spans="1:12">
      <c r="A634" s="1012"/>
      <c r="B634" s="551" t="s">
        <v>5148</v>
      </c>
      <c r="C634" s="552" t="s">
        <v>306</v>
      </c>
      <c r="D634" s="552" t="s">
        <v>322</v>
      </c>
      <c r="E634" s="552" t="s">
        <v>307</v>
      </c>
      <c r="F634" s="551" t="s">
        <v>3054</v>
      </c>
      <c r="G634" s="551" t="s">
        <v>354</v>
      </c>
      <c r="H634" s="551" t="s">
        <v>310</v>
      </c>
      <c r="I634" s="552" t="s">
        <v>664</v>
      </c>
      <c r="J634" s="552" t="s">
        <v>4943</v>
      </c>
      <c r="K634" s="552" t="s">
        <v>5331</v>
      </c>
      <c r="L634" s="533">
        <v>750000</v>
      </c>
    </row>
    <row r="635" spans="1:12">
      <c r="A635" s="1012"/>
      <c r="B635" s="551" t="s">
        <v>5149</v>
      </c>
      <c r="C635" s="552" t="s">
        <v>306</v>
      </c>
      <c r="D635" s="552" t="s">
        <v>322</v>
      </c>
      <c r="E635" s="552" t="s">
        <v>307</v>
      </c>
      <c r="F635" s="551" t="s">
        <v>4803</v>
      </c>
      <c r="G635" s="551" t="s">
        <v>662</v>
      </c>
      <c r="H635" s="551" t="s">
        <v>5339</v>
      </c>
      <c r="I635" s="552" t="s">
        <v>664</v>
      </c>
      <c r="J635" s="552" t="s">
        <v>3101</v>
      </c>
      <c r="K635" s="552" t="s">
        <v>5332</v>
      </c>
      <c r="L635" s="533">
        <v>500000</v>
      </c>
    </row>
    <row r="636" spans="1:12">
      <c r="A636" s="1012"/>
      <c r="B636" s="551" t="s">
        <v>5169</v>
      </c>
      <c r="C636" s="552" t="s">
        <v>306</v>
      </c>
      <c r="D636" s="552" t="s">
        <v>322</v>
      </c>
      <c r="E636" s="552" t="s">
        <v>307</v>
      </c>
      <c r="F636" s="551">
        <v>8263</v>
      </c>
      <c r="G636" s="551" t="s">
        <v>3175</v>
      </c>
      <c r="H636" s="551" t="s">
        <v>5338</v>
      </c>
      <c r="I636" s="552" t="s">
        <v>664</v>
      </c>
      <c r="J636" s="552" t="s">
        <v>5329</v>
      </c>
      <c r="K636" s="552" t="s">
        <v>5332</v>
      </c>
      <c r="L636" s="533">
        <v>1000000</v>
      </c>
    </row>
    <row r="637" spans="1:12">
      <c r="A637" s="1012"/>
      <c r="B637" s="551" t="s">
        <v>5166</v>
      </c>
      <c r="C637" s="552" t="s">
        <v>306</v>
      </c>
      <c r="D637" s="552" t="s">
        <v>322</v>
      </c>
      <c r="E637" s="552" t="s">
        <v>307</v>
      </c>
      <c r="F637" s="551">
        <v>594</v>
      </c>
      <c r="G637" s="551" t="s">
        <v>1047</v>
      </c>
      <c r="H637" s="551" t="s">
        <v>4915</v>
      </c>
      <c r="I637" s="552" t="s">
        <v>664</v>
      </c>
      <c r="J637" s="552" t="s">
        <v>3101</v>
      </c>
      <c r="K637" s="552" t="s">
        <v>5332</v>
      </c>
      <c r="L637" s="533">
        <v>500000</v>
      </c>
    </row>
    <row r="638" spans="1:12" ht="22.5">
      <c r="A638" s="1012"/>
      <c r="B638" s="551" t="s">
        <v>5168</v>
      </c>
      <c r="C638" s="552" t="s">
        <v>306</v>
      </c>
      <c r="D638" s="552" t="s">
        <v>322</v>
      </c>
      <c r="E638" s="552" t="s">
        <v>307</v>
      </c>
      <c r="F638" s="551" t="s">
        <v>4938</v>
      </c>
      <c r="G638" s="551" t="s">
        <v>1911</v>
      </c>
      <c r="H638" s="551" t="s">
        <v>5341</v>
      </c>
      <c r="I638" s="552" t="s">
        <v>664</v>
      </c>
      <c r="J638" s="552" t="s">
        <v>3101</v>
      </c>
      <c r="K638" s="552" t="s">
        <v>5332</v>
      </c>
      <c r="L638" s="533">
        <v>500000</v>
      </c>
    </row>
    <row r="639" spans="1:12">
      <c r="A639" s="1012"/>
      <c r="B639" s="551" t="s">
        <v>5195</v>
      </c>
      <c r="C639" s="552" t="s">
        <v>306</v>
      </c>
      <c r="D639" s="552" t="s">
        <v>322</v>
      </c>
      <c r="E639" s="552" t="s">
        <v>307</v>
      </c>
      <c r="F639" s="551" t="s">
        <v>4964</v>
      </c>
      <c r="G639" s="551" t="s">
        <v>347</v>
      </c>
      <c r="H639" s="551" t="s">
        <v>4915</v>
      </c>
      <c r="I639" s="552" t="s">
        <v>664</v>
      </c>
      <c r="J639" s="552" t="s">
        <v>3182</v>
      </c>
      <c r="K639" s="552" t="s">
        <v>52</v>
      </c>
      <c r="L639" s="533">
        <v>1250000</v>
      </c>
    </row>
    <row r="640" spans="1:12">
      <c r="A640" s="1012"/>
      <c r="B640" s="551" t="s">
        <v>5195</v>
      </c>
      <c r="C640" s="552" t="s">
        <v>306</v>
      </c>
      <c r="D640" s="552" t="s">
        <v>322</v>
      </c>
      <c r="E640" s="552" t="s">
        <v>307</v>
      </c>
      <c r="F640" s="551" t="s">
        <v>4803</v>
      </c>
      <c r="G640" s="551" t="s">
        <v>662</v>
      </c>
      <c r="H640" s="551" t="s">
        <v>5340</v>
      </c>
      <c r="I640" s="552" t="s">
        <v>664</v>
      </c>
      <c r="J640" s="552" t="s">
        <v>3182</v>
      </c>
      <c r="K640" s="552" t="s">
        <v>5333</v>
      </c>
      <c r="L640" s="533">
        <v>1250000</v>
      </c>
    </row>
    <row r="641" spans="1:12">
      <c r="A641" s="1012"/>
      <c r="B641" s="551" t="s">
        <v>5221</v>
      </c>
      <c r="C641" s="552" t="s">
        <v>306</v>
      </c>
      <c r="D641" s="552" t="s">
        <v>322</v>
      </c>
      <c r="E641" s="552" t="s">
        <v>307</v>
      </c>
      <c r="F641" s="551" t="s">
        <v>4938</v>
      </c>
      <c r="G641" s="551" t="s">
        <v>3175</v>
      </c>
      <c r="H641" s="551" t="s">
        <v>5334</v>
      </c>
      <c r="I641" s="552" t="s">
        <v>664</v>
      </c>
      <c r="J641" s="552" t="s">
        <v>3251</v>
      </c>
      <c r="K641" s="552" t="s">
        <v>52</v>
      </c>
      <c r="L641" s="535">
        <v>750000</v>
      </c>
    </row>
    <row r="642" spans="1:12">
      <c r="A642" s="1012"/>
      <c r="B642" s="551" t="s">
        <v>5221</v>
      </c>
      <c r="C642" s="552" t="s">
        <v>306</v>
      </c>
      <c r="D642" s="552" t="s">
        <v>322</v>
      </c>
      <c r="E642" s="552" t="s">
        <v>307</v>
      </c>
      <c r="F642" s="551" t="s">
        <v>4938</v>
      </c>
      <c r="G642" s="551" t="s">
        <v>3175</v>
      </c>
      <c r="H642" s="551" t="s">
        <v>5342</v>
      </c>
      <c r="I642" s="552" t="s">
        <v>664</v>
      </c>
      <c r="J642" s="552" t="s">
        <v>2838</v>
      </c>
      <c r="K642" s="552" t="s">
        <v>5332</v>
      </c>
      <c r="L642" s="535">
        <v>500000</v>
      </c>
    </row>
    <row r="643" spans="1:12">
      <c r="A643" s="1012"/>
      <c r="B643" s="551" t="s">
        <v>5221</v>
      </c>
      <c r="C643" s="552" t="s">
        <v>306</v>
      </c>
      <c r="D643" s="552" t="s">
        <v>322</v>
      </c>
      <c r="E643" s="552" t="s">
        <v>307</v>
      </c>
      <c r="F643" s="551" t="s">
        <v>5224</v>
      </c>
      <c r="G643" s="551" t="s">
        <v>3113</v>
      </c>
      <c r="H643" s="551" t="s">
        <v>4915</v>
      </c>
      <c r="I643" s="552" t="s">
        <v>664</v>
      </c>
      <c r="J643" s="552" t="s">
        <v>3182</v>
      </c>
      <c r="K643" s="552" t="s">
        <v>5331</v>
      </c>
      <c r="L643" s="535">
        <v>1250000</v>
      </c>
    </row>
    <row r="644" spans="1:12">
      <c r="A644" s="1012"/>
      <c r="B644" s="551" t="s">
        <v>5335</v>
      </c>
      <c r="C644" s="552" t="s">
        <v>311</v>
      </c>
      <c r="D644" s="552" t="s">
        <v>320</v>
      </c>
      <c r="E644" s="551" t="s">
        <v>2601</v>
      </c>
      <c r="F644" s="551" t="s">
        <v>4924</v>
      </c>
      <c r="G644" s="551" t="s">
        <v>3113</v>
      </c>
      <c r="H644" s="551" t="s">
        <v>5337</v>
      </c>
      <c r="I644" s="551" t="s">
        <v>1111</v>
      </c>
      <c r="J644" s="551" t="s">
        <v>5336</v>
      </c>
      <c r="K644" s="552" t="s">
        <v>52</v>
      </c>
      <c r="L644" s="525">
        <v>500000</v>
      </c>
    </row>
    <row r="645" spans="1:12">
      <c r="A645" s="1012"/>
      <c r="B645" s="553">
        <v>46102</v>
      </c>
      <c r="C645" s="552" t="s">
        <v>19</v>
      </c>
      <c r="D645" s="552" t="s">
        <v>25</v>
      </c>
      <c r="E645" s="552" t="s">
        <v>307</v>
      </c>
      <c r="F645" s="554">
        <v>7062</v>
      </c>
      <c r="G645" s="555" t="s">
        <v>1391</v>
      </c>
      <c r="H645" s="551" t="s">
        <v>1105</v>
      </c>
      <c r="I645" s="552" t="s">
        <v>1259</v>
      </c>
      <c r="J645" s="552" t="s">
        <v>4919</v>
      </c>
      <c r="K645" s="552" t="s">
        <v>5330</v>
      </c>
      <c r="L645" s="537">
        <v>250000</v>
      </c>
    </row>
    <row r="646" spans="1:12" ht="22.5">
      <c r="A646" s="1012"/>
      <c r="B646" s="553" t="s">
        <v>4913</v>
      </c>
      <c r="C646" s="552" t="s">
        <v>19</v>
      </c>
      <c r="D646" s="552" t="s">
        <v>25</v>
      </c>
      <c r="E646" s="552" t="s">
        <v>307</v>
      </c>
      <c r="F646" s="554" t="s">
        <v>4939</v>
      </c>
      <c r="G646" s="555" t="s">
        <v>482</v>
      </c>
      <c r="H646" s="551" t="s">
        <v>5343</v>
      </c>
      <c r="I646" s="552" t="s">
        <v>168</v>
      </c>
      <c r="J646" s="552" t="s">
        <v>5328</v>
      </c>
      <c r="K646" s="552" t="s">
        <v>5332</v>
      </c>
      <c r="L646" s="514">
        <v>2500000</v>
      </c>
    </row>
    <row r="648" spans="1:12" ht="22.5">
      <c r="A648" s="546" t="s">
        <v>43</v>
      </c>
      <c r="B648" s="546" t="s">
        <v>44</v>
      </c>
      <c r="C648" s="547" t="s">
        <v>2</v>
      </c>
      <c r="D648" s="547" t="s">
        <v>3</v>
      </c>
      <c r="E648" s="547" t="s">
        <v>4</v>
      </c>
      <c r="F648" s="547" t="s">
        <v>5</v>
      </c>
      <c r="G648" s="547" t="s">
        <v>6</v>
      </c>
      <c r="H648" s="548" t="s">
        <v>45</v>
      </c>
      <c r="I648" s="547" t="s">
        <v>8</v>
      </c>
      <c r="J648" s="549" t="s">
        <v>46</v>
      </c>
      <c r="K648" s="550" t="s">
        <v>47</v>
      </c>
    </row>
    <row r="649" spans="1:12">
      <c r="A649" s="1013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52" t="s">
        <v>5332</v>
      </c>
    </row>
    <row r="650" spans="1:12">
      <c r="A650" s="1014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52" t="s">
        <v>5332</v>
      </c>
    </row>
    <row r="651" spans="1:12">
      <c r="A651" s="1014"/>
      <c r="B651" s="556" t="s">
        <v>5228</v>
      </c>
      <c r="C651" s="228" t="s">
        <v>311</v>
      </c>
      <c r="D651" s="228" t="s">
        <v>320</v>
      </c>
      <c r="E651" s="556" t="s">
        <v>337</v>
      </c>
      <c r="F651" s="556" t="s">
        <v>3168</v>
      </c>
      <c r="G651" s="556" t="s">
        <v>3057</v>
      </c>
      <c r="H651" s="556" t="s">
        <v>5229</v>
      </c>
      <c r="I651" s="556" t="s">
        <v>702</v>
      </c>
      <c r="J651" s="556">
        <v>2</v>
      </c>
      <c r="K651" s="552" t="s">
        <v>5332</v>
      </c>
    </row>
    <row r="652" spans="1:12">
      <c r="A652" s="1014"/>
      <c r="B652" s="553">
        <v>46104</v>
      </c>
      <c r="C652" s="552" t="s">
        <v>21</v>
      </c>
      <c r="D652" s="552" t="s">
        <v>14</v>
      </c>
      <c r="E652" s="557" t="s">
        <v>1787</v>
      </c>
      <c r="F652" s="557" t="s">
        <v>2817</v>
      </c>
      <c r="G652" s="555" t="s">
        <v>23</v>
      </c>
      <c r="H652" s="554" t="s">
        <v>1385</v>
      </c>
      <c r="I652" s="557"/>
      <c r="J652" s="554">
        <v>2</v>
      </c>
      <c r="K652" s="552" t="s">
        <v>5332</v>
      </c>
    </row>
    <row r="653" spans="1:12">
      <c r="A653" s="1014"/>
      <c r="B653" s="553">
        <v>46105</v>
      </c>
      <c r="C653" s="552" t="s">
        <v>21</v>
      </c>
      <c r="D653" s="552" t="s">
        <v>14</v>
      </c>
      <c r="E653" s="557" t="s">
        <v>107</v>
      </c>
      <c r="F653" s="557" t="s">
        <v>2959</v>
      </c>
      <c r="G653" s="555" t="s">
        <v>376</v>
      </c>
      <c r="H653" s="554" t="s">
        <v>4931</v>
      </c>
      <c r="I653" s="557" t="s">
        <v>2700</v>
      </c>
      <c r="J653" s="557">
        <v>2</v>
      </c>
      <c r="K653" s="552" t="s">
        <v>5332</v>
      </c>
    </row>
    <row r="654" spans="1:12">
      <c r="A654" s="1015"/>
      <c r="B654" s="553">
        <v>46106</v>
      </c>
      <c r="C654" s="552" t="s">
        <v>21</v>
      </c>
      <c r="D654" s="552" t="s">
        <v>14</v>
      </c>
      <c r="E654" s="557" t="s">
        <v>1787</v>
      </c>
      <c r="F654" s="557" t="s">
        <v>2817</v>
      </c>
      <c r="G654" s="555" t="s">
        <v>23</v>
      </c>
      <c r="H654" s="554" t="s">
        <v>4951</v>
      </c>
      <c r="I654" s="557"/>
      <c r="J654" s="554">
        <v>2</v>
      </c>
      <c r="K654" s="552" t="s">
        <v>5332</v>
      </c>
    </row>
    <row r="655" spans="1:12">
      <c r="A655" s="1016" t="s">
        <v>1646</v>
      </c>
      <c r="B655" s="1016"/>
      <c r="C655" s="1016"/>
      <c r="D655" s="1016"/>
      <c r="E655" s="1016"/>
      <c r="F655" s="1016"/>
      <c r="G655" s="1016"/>
      <c r="H655" s="1016"/>
      <c r="I655" s="1016"/>
      <c r="J655" s="558">
        <f>SUM(J649:J654)</f>
        <v>12</v>
      </c>
      <c r="K655" s="559"/>
    </row>
    <row r="659" spans="1:11">
      <c r="A659" s="546" t="s">
        <v>43</v>
      </c>
      <c r="B659" s="546" t="s">
        <v>44</v>
      </c>
      <c r="C659" s="547" t="s">
        <v>2</v>
      </c>
      <c r="D659" s="547" t="s">
        <v>3</v>
      </c>
      <c r="E659" s="547" t="s">
        <v>1724</v>
      </c>
      <c r="F659" s="547" t="s">
        <v>5</v>
      </c>
      <c r="G659" s="547" t="s">
        <v>6</v>
      </c>
      <c r="H659" s="548" t="s">
        <v>45</v>
      </c>
      <c r="I659" s="547" t="s">
        <v>8</v>
      </c>
      <c r="J659" s="549" t="s">
        <v>46</v>
      </c>
      <c r="K659" s="550" t="s">
        <v>47</v>
      </c>
    </row>
    <row r="660" spans="1:11">
      <c r="A660" s="1016" t="s">
        <v>739</v>
      </c>
      <c r="B660" s="551" t="s">
        <v>5158</v>
      </c>
      <c r="C660" s="552" t="s">
        <v>311</v>
      </c>
      <c r="D660" s="552" t="s">
        <v>675</v>
      </c>
      <c r="E660" s="551" t="s">
        <v>5123</v>
      </c>
      <c r="F660" s="551" t="s">
        <v>5125</v>
      </c>
      <c r="G660" s="551" t="s">
        <v>347</v>
      </c>
      <c r="H660" s="551" t="s">
        <v>5128</v>
      </c>
      <c r="I660" s="551"/>
      <c r="J660" s="551">
        <v>2</v>
      </c>
      <c r="K660" s="552" t="s">
        <v>5332</v>
      </c>
    </row>
    <row r="661" spans="1:11">
      <c r="A661" s="1016"/>
      <c r="B661" s="551" t="s">
        <v>5159</v>
      </c>
      <c r="C661" s="552" t="s">
        <v>311</v>
      </c>
      <c r="D661" s="552" t="s">
        <v>320</v>
      </c>
      <c r="E661" s="551" t="s">
        <v>709</v>
      </c>
      <c r="F661" s="551" t="s">
        <v>3098</v>
      </c>
      <c r="G661" s="551" t="s">
        <v>3099</v>
      </c>
      <c r="H661" s="551" t="s">
        <v>5347</v>
      </c>
      <c r="I661" s="551" t="s">
        <v>638</v>
      </c>
      <c r="J661" s="551">
        <v>1</v>
      </c>
      <c r="K661" s="552" t="s">
        <v>5332</v>
      </c>
    </row>
    <row r="662" spans="1:11" ht="22.5">
      <c r="A662" s="1016"/>
      <c r="B662" s="551" t="s">
        <v>5161</v>
      </c>
      <c r="C662" s="552" t="s">
        <v>311</v>
      </c>
      <c r="D662" s="552" t="s">
        <v>320</v>
      </c>
      <c r="E662" s="551" t="s">
        <v>337</v>
      </c>
      <c r="F662" s="551" t="s">
        <v>3168</v>
      </c>
      <c r="G662" s="551" t="s">
        <v>3057</v>
      </c>
      <c r="H662" s="551" t="s">
        <v>5344</v>
      </c>
      <c r="I662" s="551" t="s">
        <v>638</v>
      </c>
      <c r="J662" s="551">
        <v>2</v>
      </c>
      <c r="K662" s="552" t="s">
        <v>5332</v>
      </c>
    </row>
    <row r="663" spans="1:11">
      <c r="A663" s="1016"/>
      <c r="B663" s="551" t="s">
        <v>2748</v>
      </c>
      <c r="C663" s="552" t="s">
        <v>311</v>
      </c>
      <c r="D663" s="552" t="s">
        <v>320</v>
      </c>
      <c r="E663" s="551" t="s">
        <v>337</v>
      </c>
      <c r="F663" s="551" t="s">
        <v>3168</v>
      </c>
      <c r="G663" s="551" t="s">
        <v>3057</v>
      </c>
      <c r="H663" s="551" t="s">
        <v>5345</v>
      </c>
      <c r="I663" s="551"/>
      <c r="J663" s="551">
        <v>2</v>
      </c>
      <c r="K663" s="552" t="s">
        <v>5332</v>
      </c>
    </row>
    <row r="664" spans="1:11">
      <c r="A664" s="1016"/>
      <c r="B664" s="551" t="s">
        <v>5175</v>
      </c>
      <c r="C664" s="552" t="s">
        <v>311</v>
      </c>
      <c r="D664" s="552" t="s">
        <v>320</v>
      </c>
      <c r="E664" s="551" t="s">
        <v>337</v>
      </c>
      <c r="F664" s="551" t="s">
        <v>3168</v>
      </c>
      <c r="G664" s="551" t="s">
        <v>3057</v>
      </c>
      <c r="H664" s="551" t="s">
        <v>5176</v>
      </c>
      <c r="I664" s="551" t="s">
        <v>638</v>
      </c>
      <c r="J664" s="551">
        <v>1</v>
      </c>
      <c r="K664" s="552" t="s">
        <v>5332</v>
      </c>
    </row>
    <row r="665" spans="1:11">
      <c r="A665" s="1016"/>
      <c r="B665" s="551" t="s">
        <v>5175</v>
      </c>
      <c r="C665" s="552" t="s">
        <v>311</v>
      </c>
      <c r="D665" s="552" t="s">
        <v>320</v>
      </c>
      <c r="E665" s="551" t="s">
        <v>5178</v>
      </c>
      <c r="F665" s="551" t="s">
        <v>689</v>
      </c>
      <c r="G665" s="551" t="s">
        <v>5180</v>
      </c>
      <c r="H665" s="551" t="s">
        <v>5348</v>
      </c>
      <c r="I665" s="551"/>
      <c r="J665" s="551">
        <v>1</v>
      </c>
      <c r="K665" s="552" t="s">
        <v>5332</v>
      </c>
    </row>
    <row r="666" spans="1:11">
      <c r="A666" s="1016"/>
      <c r="B666" s="551" t="s">
        <v>5183</v>
      </c>
      <c r="C666" s="552" t="s">
        <v>311</v>
      </c>
      <c r="D666" s="552" t="s">
        <v>320</v>
      </c>
      <c r="E666" s="551" t="s">
        <v>337</v>
      </c>
      <c r="F666" s="551" t="s">
        <v>3401</v>
      </c>
      <c r="G666" s="551" t="s">
        <v>5029</v>
      </c>
      <c r="H666" s="551" t="s">
        <v>5349</v>
      </c>
      <c r="I666" s="551"/>
      <c r="J666" s="551">
        <v>2</v>
      </c>
      <c r="K666" s="552" t="s">
        <v>5332</v>
      </c>
    </row>
    <row r="667" spans="1:11" ht="22.5">
      <c r="A667" s="1016"/>
      <c r="B667" s="551" t="s">
        <v>5187</v>
      </c>
      <c r="C667" s="552" t="s">
        <v>311</v>
      </c>
      <c r="D667" s="552" t="s">
        <v>675</v>
      </c>
      <c r="E667" s="551" t="s">
        <v>5188</v>
      </c>
      <c r="F667" s="551" t="s">
        <v>1919</v>
      </c>
      <c r="G667" s="551" t="s">
        <v>347</v>
      </c>
      <c r="H667" s="551" t="s">
        <v>5350</v>
      </c>
      <c r="I667" s="551"/>
      <c r="J667" s="551">
        <v>2</v>
      </c>
      <c r="K667" s="552" t="s">
        <v>5332</v>
      </c>
    </row>
    <row r="668" spans="1:11">
      <c r="A668" s="1016"/>
      <c r="B668" s="551" t="s">
        <v>5351</v>
      </c>
      <c r="C668" s="552" t="s">
        <v>311</v>
      </c>
      <c r="D668" s="552" t="s">
        <v>320</v>
      </c>
      <c r="E668" s="551" t="s">
        <v>337</v>
      </c>
      <c r="F668" s="551" t="s">
        <v>3054</v>
      </c>
      <c r="G668" s="551" t="s">
        <v>3057</v>
      </c>
      <c r="H668" s="551" t="s">
        <v>5352</v>
      </c>
      <c r="I668" s="551" t="s">
        <v>638</v>
      </c>
      <c r="J668" s="551">
        <v>2</v>
      </c>
      <c r="K668" s="552" t="s">
        <v>5332</v>
      </c>
    </row>
    <row r="669" spans="1:11">
      <c r="A669" s="1016"/>
      <c r="B669" s="551" t="s">
        <v>5202</v>
      </c>
      <c r="C669" s="552" t="s">
        <v>311</v>
      </c>
      <c r="D669" s="552" t="s">
        <v>675</v>
      </c>
      <c r="E669" s="551" t="s">
        <v>720</v>
      </c>
      <c r="F669" s="551" t="s">
        <v>1756</v>
      </c>
      <c r="G669" s="551" t="s">
        <v>347</v>
      </c>
      <c r="H669" s="551" t="s">
        <v>5346</v>
      </c>
      <c r="I669" s="551" t="s">
        <v>638</v>
      </c>
      <c r="J669" s="551">
        <v>1</v>
      </c>
      <c r="K669" s="552" t="s">
        <v>5332</v>
      </c>
    </row>
    <row r="670" spans="1:11">
      <c r="A670" s="1016"/>
      <c r="B670" s="551" t="s">
        <v>5209</v>
      </c>
      <c r="C670" s="552" t="s">
        <v>311</v>
      </c>
      <c r="D670" s="552" t="s">
        <v>675</v>
      </c>
      <c r="E670" s="551" t="s">
        <v>5210</v>
      </c>
      <c r="F670" s="551" t="s">
        <v>5212</v>
      </c>
      <c r="G670" s="551" t="s">
        <v>662</v>
      </c>
      <c r="H670" s="551" t="s">
        <v>5353</v>
      </c>
      <c r="I670" s="551" t="s">
        <v>638</v>
      </c>
      <c r="J670" s="551">
        <v>1</v>
      </c>
      <c r="K670" s="552" t="s">
        <v>5332</v>
      </c>
    </row>
    <row r="671" spans="1:11">
      <c r="A671" s="1016"/>
      <c r="B671" s="551" t="s">
        <v>5213</v>
      </c>
      <c r="C671" s="552" t="s">
        <v>311</v>
      </c>
      <c r="D671" s="552" t="s">
        <v>675</v>
      </c>
      <c r="E671" s="551" t="s">
        <v>5214</v>
      </c>
      <c r="F671" s="551" t="s">
        <v>5126</v>
      </c>
      <c r="G671" s="551" t="s">
        <v>347</v>
      </c>
      <c r="H671" s="551" t="s">
        <v>5354</v>
      </c>
      <c r="I671" s="551"/>
      <c r="J671" s="551">
        <v>2</v>
      </c>
      <c r="K671" s="552" t="s">
        <v>5332</v>
      </c>
    </row>
    <row r="672" spans="1:11">
      <c r="A672" s="1016"/>
      <c r="B672" s="551" t="s">
        <v>5218</v>
      </c>
      <c r="C672" s="552" t="s">
        <v>311</v>
      </c>
      <c r="D672" s="552" t="s">
        <v>675</v>
      </c>
      <c r="E672" s="551" t="s">
        <v>5214</v>
      </c>
      <c r="F672" s="551" t="s">
        <v>5126</v>
      </c>
      <c r="G672" s="551" t="s">
        <v>347</v>
      </c>
      <c r="H672" s="551" t="s">
        <v>5216</v>
      </c>
      <c r="I672" s="551"/>
      <c r="J672" s="551">
        <v>2</v>
      </c>
      <c r="K672" s="552" t="s">
        <v>5332</v>
      </c>
    </row>
    <row r="673" spans="1:11" ht="45">
      <c r="A673" s="1016"/>
      <c r="B673" s="551" t="s">
        <v>5228</v>
      </c>
      <c r="C673" s="552" t="s">
        <v>311</v>
      </c>
      <c r="D673" s="552" t="s">
        <v>320</v>
      </c>
      <c r="E673" s="551" t="s">
        <v>709</v>
      </c>
      <c r="F673" s="551" t="s">
        <v>3098</v>
      </c>
      <c r="G673" s="551" t="s">
        <v>3099</v>
      </c>
      <c r="H673" s="551" t="s">
        <v>5355</v>
      </c>
      <c r="I673" s="551" t="s">
        <v>638</v>
      </c>
      <c r="J673" s="551">
        <v>1</v>
      </c>
      <c r="K673" s="552" t="s">
        <v>5332</v>
      </c>
    </row>
    <row r="674" spans="1:11">
      <c r="A674" s="1016" t="s">
        <v>1646</v>
      </c>
      <c r="B674" s="1016"/>
      <c r="C674" s="1016"/>
      <c r="D674" s="1016"/>
      <c r="E674" s="1016"/>
      <c r="F674" s="1016"/>
      <c r="G674" s="1016"/>
      <c r="H674" s="1016"/>
      <c r="I674" s="1016"/>
      <c r="J674" s="228">
        <f>SUM(J660:J673)</f>
        <v>22</v>
      </c>
      <c r="K674" s="228"/>
    </row>
    <row r="676" spans="1:11">
      <c r="A676" s="546" t="s">
        <v>43</v>
      </c>
      <c r="B676" s="546" t="s">
        <v>44</v>
      </c>
      <c r="C676" s="547" t="s">
        <v>2</v>
      </c>
      <c r="D676" s="547" t="s">
        <v>3</v>
      </c>
      <c r="E676" s="547" t="s">
        <v>1724</v>
      </c>
      <c r="F676" s="547" t="s">
        <v>5</v>
      </c>
      <c r="G676" s="547" t="s">
        <v>6</v>
      </c>
      <c r="H676" s="548" t="s">
        <v>45</v>
      </c>
      <c r="I676" s="547" t="s">
        <v>8</v>
      </c>
      <c r="J676" s="549" t="s">
        <v>46</v>
      </c>
      <c r="K676" s="550" t="s">
        <v>47</v>
      </c>
    </row>
    <row r="677" spans="1:11">
      <c r="A677" s="1016" t="s">
        <v>739</v>
      </c>
      <c r="B677" s="551" t="s">
        <v>5221</v>
      </c>
      <c r="C677" s="552" t="s">
        <v>306</v>
      </c>
      <c r="D677" s="552" t="s">
        <v>322</v>
      </c>
      <c r="E677" s="552" t="s">
        <v>307</v>
      </c>
      <c r="F677" s="551">
        <v>7062</v>
      </c>
      <c r="G677" s="551" t="s">
        <v>347</v>
      </c>
      <c r="H677" s="551" t="s">
        <v>4915</v>
      </c>
      <c r="I677" s="552" t="s">
        <v>664</v>
      </c>
      <c r="J677" s="552">
        <v>2</v>
      </c>
      <c r="K677" s="552" t="s">
        <v>5332</v>
      </c>
    </row>
    <row r="678" spans="1:11">
      <c r="A678" s="1016"/>
      <c r="B678" s="551" t="s">
        <v>5356</v>
      </c>
      <c r="C678" s="552" t="s">
        <v>311</v>
      </c>
      <c r="D678" s="552" t="s">
        <v>320</v>
      </c>
      <c r="E678" s="551" t="s">
        <v>2601</v>
      </c>
      <c r="F678" s="551" t="s">
        <v>4924</v>
      </c>
      <c r="G678" s="551" t="s">
        <v>3113</v>
      </c>
      <c r="H678" s="551" t="s">
        <v>5357</v>
      </c>
      <c r="I678" s="551" t="s">
        <v>1111</v>
      </c>
      <c r="J678" s="551">
        <v>1</v>
      </c>
      <c r="K678" s="552" t="s">
        <v>5332</v>
      </c>
    </row>
    <row r="679" spans="1:11">
      <c r="A679" s="1016"/>
      <c r="B679" s="553">
        <v>46104</v>
      </c>
      <c r="C679" s="552" t="s">
        <v>19</v>
      </c>
      <c r="D679" s="552" t="s">
        <v>25</v>
      </c>
      <c r="E679" s="552" t="s">
        <v>307</v>
      </c>
      <c r="F679" s="554" t="s">
        <v>3589</v>
      </c>
      <c r="G679" s="555" t="s">
        <v>482</v>
      </c>
      <c r="H679" s="551" t="s">
        <v>5326</v>
      </c>
      <c r="I679" s="552" t="s">
        <v>1259</v>
      </c>
      <c r="J679" s="552">
        <v>2</v>
      </c>
      <c r="K679" s="552" t="s">
        <v>5332</v>
      </c>
    </row>
    <row r="680" spans="1:11">
      <c r="A680" s="1016"/>
      <c r="B680" s="553" t="s">
        <v>4922</v>
      </c>
      <c r="C680" s="552" t="s">
        <v>19</v>
      </c>
      <c r="D680" s="552" t="s">
        <v>25</v>
      </c>
      <c r="E680" s="552" t="s">
        <v>307</v>
      </c>
      <c r="F680" s="554" t="s">
        <v>2959</v>
      </c>
      <c r="G680" s="555" t="s">
        <v>143</v>
      </c>
      <c r="H680" s="551" t="s">
        <v>1105</v>
      </c>
      <c r="I680" s="552" t="s">
        <v>1259</v>
      </c>
      <c r="J680" s="552">
        <v>3</v>
      </c>
      <c r="K680" s="552" t="s">
        <v>5332</v>
      </c>
    </row>
    <row r="681" spans="1:11">
      <c r="A681" s="1016" t="s">
        <v>1646</v>
      </c>
      <c r="B681" s="1016"/>
      <c r="C681" s="1016"/>
      <c r="D681" s="1016"/>
      <c r="E681" s="1016"/>
      <c r="F681" s="1016"/>
      <c r="G681" s="1016"/>
      <c r="H681" s="1016"/>
      <c r="I681" s="1016"/>
      <c r="J681" s="228">
        <f>SUM(J677:J680)</f>
        <v>8</v>
      </c>
      <c r="K681" s="228"/>
    </row>
    <row r="685" spans="1:11">
      <c r="A685" s="563" t="s">
        <v>43</v>
      </c>
      <c r="B685" s="563" t="s">
        <v>44</v>
      </c>
      <c r="C685" s="547" t="s">
        <v>2</v>
      </c>
      <c r="D685" s="547" t="s">
        <v>3</v>
      </c>
      <c r="E685" s="547" t="s">
        <v>1724</v>
      </c>
      <c r="F685" s="547" t="s">
        <v>5</v>
      </c>
      <c r="G685" s="547" t="s">
        <v>6</v>
      </c>
      <c r="H685" s="547" t="s">
        <v>45</v>
      </c>
      <c r="I685" s="547" t="s">
        <v>8</v>
      </c>
      <c r="J685" s="550" t="s">
        <v>46</v>
      </c>
      <c r="K685" s="550" t="s">
        <v>47</v>
      </c>
    </row>
    <row r="686" spans="1:11">
      <c r="A686" s="1011" t="s">
        <v>1115</v>
      </c>
      <c r="B686" s="562">
        <v>46107</v>
      </c>
      <c r="C686" s="226" t="s">
        <v>124</v>
      </c>
      <c r="D686" s="226" t="s">
        <v>151</v>
      </c>
      <c r="E686" s="226" t="s">
        <v>5254</v>
      </c>
      <c r="F686" s="560" t="s">
        <v>3589</v>
      </c>
      <c r="G686" s="561" t="s">
        <v>34</v>
      </c>
      <c r="H686" s="227" t="s">
        <v>5274</v>
      </c>
      <c r="I686" s="226"/>
      <c r="J686" s="226">
        <v>1</v>
      </c>
      <c r="K686" s="552" t="s">
        <v>5332</v>
      </c>
    </row>
    <row r="687" spans="1:11">
      <c r="A687" s="1011"/>
      <c r="B687" s="562">
        <v>46108</v>
      </c>
      <c r="C687" s="226" t="s">
        <v>49</v>
      </c>
      <c r="D687" s="226" t="s">
        <v>151</v>
      </c>
      <c r="E687" s="226" t="s">
        <v>5254</v>
      </c>
      <c r="F687" s="560" t="s">
        <v>3589</v>
      </c>
      <c r="G687" s="561" t="s">
        <v>34</v>
      </c>
      <c r="H687" s="227" t="s">
        <v>5274</v>
      </c>
      <c r="I687" s="226"/>
      <c r="J687" s="226">
        <v>1</v>
      </c>
      <c r="K687" s="552" t="s">
        <v>5332</v>
      </c>
    </row>
    <row r="688" spans="1:11">
      <c r="A688" s="1011" t="s">
        <v>1646</v>
      </c>
      <c r="B688" s="1011"/>
      <c r="C688" s="1011"/>
      <c r="D688" s="1011"/>
      <c r="E688" s="1011"/>
      <c r="F688" s="1011"/>
      <c r="G688" s="1011"/>
      <c r="H688" s="1011"/>
      <c r="I688" s="1011"/>
      <c r="J688" s="228">
        <f>SUM(J685:J687)</f>
        <v>2</v>
      </c>
      <c r="K688" s="228"/>
    </row>
    <row r="691" spans="1:12" s="566" customFormat="1" ht="13.5">
      <c r="A691" s="563" t="s">
        <v>43</v>
      </c>
      <c r="B691" s="563" t="s">
        <v>44</v>
      </c>
      <c r="C691" s="547" t="s">
        <v>2</v>
      </c>
      <c r="D691" s="547" t="s">
        <v>3</v>
      </c>
      <c r="E691" s="547" t="s">
        <v>1724</v>
      </c>
      <c r="F691" s="547" t="s">
        <v>5</v>
      </c>
      <c r="G691" s="547" t="s">
        <v>6</v>
      </c>
      <c r="H691" s="547" t="s">
        <v>45</v>
      </c>
      <c r="I691" s="547" t="s">
        <v>8</v>
      </c>
      <c r="J691" s="550" t="s">
        <v>46</v>
      </c>
      <c r="K691" s="550" t="s">
        <v>47</v>
      </c>
      <c r="L691" s="565"/>
    </row>
    <row r="692" spans="1:12">
      <c r="A692" s="1012" t="s">
        <v>1115</v>
      </c>
      <c r="B692" s="551" t="s">
        <v>5166</v>
      </c>
      <c r="C692" s="552" t="s">
        <v>306</v>
      </c>
      <c r="D692" s="552" t="s">
        <v>322</v>
      </c>
      <c r="E692" s="552" t="s">
        <v>307</v>
      </c>
      <c r="F692" s="551" t="s">
        <v>5167</v>
      </c>
      <c r="G692" s="551" t="s">
        <v>662</v>
      </c>
      <c r="H692" s="551" t="s">
        <v>1096</v>
      </c>
      <c r="I692" s="552" t="s">
        <v>664</v>
      </c>
      <c r="J692" s="552">
        <v>2</v>
      </c>
      <c r="K692" s="552" t="s">
        <v>5332</v>
      </c>
    </row>
    <row r="693" spans="1:12">
      <c r="A693" s="1012"/>
      <c r="B693" s="551" t="s">
        <v>5168</v>
      </c>
      <c r="C693" s="552" t="s">
        <v>306</v>
      </c>
      <c r="D693" s="552" t="s">
        <v>322</v>
      </c>
      <c r="E693" s="552" t="s">
        <v>307</v>
      </c>
      <c r="F693" s="551">
        <v>1570</v>
      </c>
      <c r="G693" s="551" t="s">
        <v>3175</v>
      </c>
      <c r="H693" s="551" t="s">
        <v>5018</v>
      </c>
      <c r="I693" s="552" t="s">
        <v>664</v>
      </c>
      <c r="J693" s="552">
        <v>2</v>
      </c>
      <c r="K693" s="552" t="s">
        <v>5332</v>
      </c>
    </row>
    <row r="694" spans="1:12">
      <c r="A694" s="1012"/>
      <c r="B694" s="551" t="s">
        <v>5190</v>
      </c>
      <c r="C694" s="552" t="s">
        <v>306</v>
      </c>
      <c r="D694" s="552" t="s">
        <v>322</v>
      </c>
      <c r="E694" s="552" t="s">
        <v>307</v>
      </c>
      <c r="F694" s="551">
        <v>8263</v>
      </c>
      <c r="G694" s="551" t="s">
        <v>3175</v>
      </c>
      <c r="H694" s="551" t="s">
        <v>1096</v>
      </c>
      <c r="I694" s="552" t="s">
        <v>664</v>
      </c>
      <c r="J694" s="552">
        <v>3</v>
      </c>
      <c r="K694" s="552" t="s">
        <v>5332</v>
      </c>
    </row>
    <row r="695" spans="1:12">
      <c r="A695" s="1012"/>
      <c r="B695" s="551" t="s">
        <v>5191</v>
      </c>
      <c r="C695" s="552" t="s">
        <v>306</v>
      </c>
      <c r="D695" s="552" t="s">
        <v>322</v>
      </c>
      <c r="E695" s="552" t="s">
        <v>307</v>
      </c>
      <c r="F695" s="551" t="s">
        <v>5192</v>
      </c>
      <c r="G695" s="551" t="s">
        <v>5193</v>
      </c>
      <c r="H695" s="551" t="s">
        <v>5194</v>
      </c>
      <c r="I695" s="552" t="s">
        <v>664</v>
      </c>
      <c r="J695" s="552">
        <v>2</v>
      </c>
      <c r="K695" s="552" t="s">
        <v>5332</v>
      </c>
    </row>
    <row r="696" spans="1:12">
      <c r="A696" s="1012"/>
      <c r="B696" s="551" t="s">
        <v>5221</v>
      </c>
      <c r="C696" s="552" t="s">
        <v>306</v>
      </c>
      <c r="D696" s="552" t="s">
        <v>322</v>
      </c>
      <c r="E696" s="552" t="s">
        <v>307</v>
      </c>
      <c r="F696" s="551" t="s">
        <v>4938</v>
      </c>
      <c r="G696" s="551" t="s">
        <v>3175</v>
      </c>
      <c r="H696" s="551" t="s">
        <v>1096</v>
      </c>
      <c r="I696" s="552" t="s">
        <v>664</v>
      </c>
      <c r="J696" s="552">
        <v>5</v>
      </c>
      <c r="K696" s="552" t="s">
        <v>5332</v>
      </c>
    </row>
    <row r="697" spans="1:12">
      <c r="A697" s="1012"/>
      <c r="B697" s="553" t="s">
        <v>4913</v>
      </c>
      <c r="C697" s="552" t="s">
        <v>19</v>
      </c>
      <c r="D697" s="552" t="s">
        <v>25</v>
      </c>
      <c r="E697" s="552" t="s">
        <v>307</v>
      </c>
      <c r="F697" s="554" t="s">
        <v>4939</v>
      </c>
      <c r="G697" s="555" t="s">
        <v>482</v>
      </c>
      <c r="H697" s="551" t="s">
        <v>4941</v>
      </c>
      <c r="I697" s="552" t="s">
        <v>168</v>
      </c>
      <c r="J697" s="552">
        <v>5</v>
      </c>
      <c r="K697" s="552" t="s">
        <v>5332</v>
      </c>
    </row>
    <row r="698" spans="1:12">
      <c r="A698" s="1012"/>
      <c r="B698" s="553">
        <v>46111</v>
      </c>
      <c r="C698" s="552" t="s">
        <v>49</v>
      </c>
      <c r="D698" s="552" t="s">
        <v>151</v>
      </c>
      <c r="E698" s="552" t="s">
        <v>5254</v>
      </c>
      <c r="F698" s="554" t="s">
        <v>4939</v>
      </c>
      <c r="G698" s="555" t="s">
        <v>482</v>
      </c>
      <c r="H698" s="551" t="s">
        <v>5298</v>
      </c>
      <c r="I698" s="552" t="s">
        <v>126</v>
      </c>
      <c r="J698" s="552">
        <v>1</v>
      </c>
      <c r="K698" s="552" t="s">
        <v>5332</v>
      </c>
      <c r="L698" s="564">
        <f>250000*7</f>
        <v>1750000</v>
      </c>
    </row>
    <row r="699" spans="1:12">
      <c r="A699" s="1011" t="s">
        <v>1646</v>
      </c>
      <c r="B699" s="1011"/>
      <c r="C699" s="1011"/>
      <c r="D699" s="1011"/>
      <c r="E699" s="1011"/>
      <c r="F699" s="1011"/>
      <c r="G699" s="1011"/>
      <c r="H699" s="1011"/>
      <c r="I699" s="1011"/>
      <c r="J699" s="228">
        <f>SUM(J692:J698)</f>
        <v>20</v>
      </c>
      <c r="K699" s="228"/>
    </row>
    <row r="702" spans="1:12" ht="22.5">
      <c r="A702" s="639" t="s">
        <v>43</v>
      </c>
      <c r="B702" s="639" t="s">
        <v>1620</v>
      </c>
      <c r="C702" s="640" t="s">
        <v>2</v>
      </c>
      <c r="D702" s="640" t="s">
        <v>3</v>
      </c>
      <c r="E702" s="640" t="s">
        <v>4</v>
      </c>
      <c r="F702" s="640" t="s">
        <v>5</v>
      </c>
      <c r="G702" s="640" t="s">
        <v>6</v>
      </c>
      <c r="H702" s="641" t="s">
        <v>45</v>
      </c>
      <c r="I702" s="640" t="s">
        <v>8</v>
      </c>
      <c r="J702" s="642" t="s">
        <v>46</v>
      </c>
      <c r="K702" s="643" t="s">
        <v>47</v>
      </c>
    </row>
    <row r="703" spans="1:12">
      <c r="A703" s="1067" t="s">
        <v>5657</v>
      </c>
      <c r="B703" s="644" t="s">
        <v>4913</v>
      </c>
      <c r="C703" s="645" t="s">
        <v>19</v>
      </c>
      <c r="D703" s="645" t="s">
        <v>25</v>
      </c>
      <c r="E703" s="645" t="s">
        <v>307</v>
      </c>
      <c r="F703" s="646" t="s">
        <v>4939</v>
      </c>
      <c r="G703" s="647" t="s">
        <v>482</v>
      </c>
      <c r="H703" s="648" t="s">
        <v>4941</v>
      </c>
      <c r="I703" s="645" t="s">
        <v>437</v>
      </c>
      <c r="J703" s="646">
        <v>5</v>
      </c>
      <c r="K703" s="645" t="s">
        <v>631</v>
      </c>
      <c r="L703" s="514">
        <v>2500000</v>
      </c>
    </row>
    <row r="704" spans="1:12">
      <c r="A704" s="1067"/>
      <c r="B704" s="644" t="s">
        <v>4945</v>
      </c>
      <c r="C704" s="645" t="s">
        <v>19</v>
      </c>
      <c r="D704" s="645" t="s">
        <v>25</v>
      </c>
      <c r="E704" s="645" t="s">
        <v>307</v>
      </c>
      <c r="F704" s="646" t="s">
        <v>4939</v>
      </c>
      <c r="G704" s="647" t="s">
        <v>4950</v>
      </c>
      <c r="H704" s="648" t="s">
        <v>4949</v>
      </c>
      <c r="I704" s="645" t="s">
        <v>1948</v>
      </c>
      <c r="J704" s="646">
        <v>2</v>
      </c>
      <c r="K704" s="645" t="s">
        <v>631</v>
      </c>
      <c r="L704" s="539">
        <v>500000</v>
      </c>
    </row>
    <row r="705" spans="1:12">
      <c r="A705" s="1067"/>
      <c r="B705" s="644" t="s">
        <v>4913</v>
      </c>
      <c r="C705" s="645" t="s">
        <v>19</v>
      </c>
      <c r="D705" s="645" t="s">
        <v>25</v>
      </c>
      <c r="E705" s="645" t="s">
        <v>307</v>
      </c>
      <c r="F705" s="646" t="s">
        <v>4947</v>
      </c>
      <c r="G705" s="647" t="s">
        <v>115</v>
      </c>
      <c r="H705" s="648" t="s">
        <v>4949</v>
      </c>
      <c r="I705" s="645" t="s">
        <v>1948</v>
      </c>
      <c r="J705" s="646">
        <v>3</v>
      </c>
      <c r="K705" s="645" t="s">
        <v>631</v>
      </c>
      <c r="L705" s="539">
        <v>750000</v>
      </c>
    </row>
    <row r="706" spans="1:12">
      <c r="A706" s="1067"/>
      <c r="B706" s="650" t="s">
        <v>5299</v>
      </c>
      <c r="C706" s="645" t="s">
        <v>49</v>
      </c>
      <c r="D706" s="645" t="s">
        <v>151</v>
      </c>
      <c r="E706" s="645" t="s">
        <v>5254</v>
      </c>
      <c r="F706" s="646" t="s">
        <v>4939</v>
      </c>
      <c r="G706" s="647" t="s">
        <v>482</v>
      </c>
      <c r="H706" s="648" t="s">
        <v>5300</v>
      </c>
      <c r="I706" s="645" t="s">
        <v>1948</v>
      </c>
      <c r="J706" s="646">
        <v>5</v>
      </c>
      <c r="K706" s="645" t="s">
        <v>631</v>
      </c>
      <c r="L706" s="472">
        <v>1250000</v>
      </c>
    </row>
    <row r="707" spans="1:12">
      <c r="A707" s="1067"/>
      <c r="B707" s="651" t="s">
        <v>5442</v>
      </c>
      <c r="C707" s="652" t="s">
        <v>306</v>
      </c>
      <c r="D707" s="652" t="s">
        <v>322</v>
      </c>
      <c r="E707" s="653" t="s">
        <v>5400</v>
      </c>
      <c r="F707" s="653" t="s">
        <v>4938</v>
      </c>
      <c r="G707" s="653" t="s">
        <v>1911</v>
      </c>
      <c r="H707" s="653" t="s">
        <v>5401</v>
      </c>
      <c r="I707" s="654" t="s">
        <v>1111</v>
      </c>
      <c r="J707" s="655">
        <v>1</v>
      </c>
      <c r="K707" s="645" t="s">
        <v>631</v>
      </c>
      <c r="L707" s="612">
        <v>250000</v>
      </c>
    </row>
    <row r="708" spans="1:12">
      <c r="A708" s="1067"/>
      <c r="B708" s="656" t="s">
        <v>5444</v>
      </c>
      <c r="C708" s="652" t="s">
        <v>306</v>
      </c>
      <c r="D708" s="652" t="s">
        <v>322</v>
      </c>
      <c r="E708" s="653" t="s">
        <v>5400</v>
      </c>
      <c r="F708" s="657" t="s">
        <v>4938</v>
      </c>
      <c r="G708" s="657" t="s">
        <v>1911</v>
      </c>
      <c r="H708" s="657" t="s">
        <v>5402</v>
      </c>
      <c r="I708" s="654" t="s">
        <v>1111</v>
      </c>
      <c r="J708" s="655">
        <v>5</v>
      </c>
      <c r="K708" s="645" t="s">
        <v>631</v>
      </c>
      <c r="L708" s="612">
        <v>2500000</v>
      </c>
    </row>
    <row r="709" spans="1:12">
      <c r="A709" s="1067"/>
      <c r="B709" s="653" t="s">
        <v>5445</v>
      </c>
      <c r="C709" s="654" t="s">
        <v>306</v>
      </c>
      <c r="D709" s="654" t="s">
        <v>322</v>
      </c>
      <c r="E709" s="654" t="s">
        <v>5400</v>
      </c>
      <c r="F709" s="657" t="s">
        <v>4938</v>
      </c>
      <c r="G709" s="657" t="s">
        <v>1911</v>
      </c>
      <c r="H709" s="657" t="s">
        <v>5446</v>
      </c>
      <c r="I709" s="654" t="s">
        <v>5447</v>
      </c>
      <c r="J709" s="655">
        <v>3</v>
      </c>
      <c r="K709" s="645" t="s">
        <v>631</v>
      </c>
      <c r="L709" s="612">
        <v>750000</v>
      </c>
    </row>
    <row r="710" spans="1:12">
      <c r="A710" s="1067"/>
      <c r="B710" s="653" t="s">
        <v>5453</v>
      </c>
      <c r="C710" s="654" t="s">
        <v>306</v>
      </c>
      <c r="D710" s="654" t="s">
        <v>322</v>
      </c>
      <c r="E710" s="654" t="s">
        <v>5400</v>
      </c>
      <c r="F710" s="657" t="s">
        <v>5454</v>
      </c>
      <c r="G710" s="657" t="s">
        <v>3113</v>
      </c>
      <c r="H710" s="657" t="s">
        <v>5455</v>
      </c>
      <c r="I710" s="654" t="s">
        <v>5447</v>
      </c>
      <c r="J710" s="655">
        <v>2</v>
      </c>
      <c r="K710" s="645" t="s">
        <v>631</v>
      </c>
      <c r="L710" s="612">
        <v>500000</v>
      </c>
    </row>
    <row r="711" spans="1:12">
      <c r="A711" s="1067"/>
      <c r="B711" s="649">
        <v>46123</v>
      </c>
      <c r="C711" s="652" t="s">
        <v>306</v>
      </c>
      <c r="D711" s="652" t="s">
        <v>322</v>
      </c>
      <c r="E711" s="653" t="s">
        <v>5400</v>
      </c>
      <c r="F711" s="653" t="s">
        <v>4938</v>
      </c>
      <c r="G711" s="653" t="s">
        <v>1911</v>
      </c>
      <c r="H711" s="653" t="s">
        <v>5401</v>
      </c>
      <c r="I711" s="652" t="s">
        <v>1111</v>
      </c>
      <c r="J711" s="658">
        <v>1</v>
      </c>
      <c r="K711" s="645" t="s">
        <v>631</v>
      </c>
      <c r="L711" s="393">
        <v>250000</v>
      </c>
    </row>
    <row r="712" spans="1:12">
      <c r="A712" s="1067"/>
      <c r="B712" s="650" t="s">
        <v>5505</v>
      </c>
      <c r="C712" s="659" t="s">
        <v>124</v>
      </c>
      <c r="D712" s="659" t="s">
        <v>151</v>
      </c>
      <c r="E712" s="660" t="s">
        <v>5254</v>
      </c>
      <c r="F712" s="661">
        <v>1614</v>
      </c>
      <c r="G712" s="653" t="s">
        <v>1911</v>
      </c>
      <c r="H712" s="662" t="s">
        <v>1105</v>
      </c>
      <c r="I712" s="659" t="s">
        <v>1259</v>
      </c>
      <c r="J712" s="661">
        <v>4</v>
      </c>
      <c r="K712" s="645" t="s">
        <v>631</v>
      </c>
      <c r="L712" s="96">
        <v>1250000</v>
      </c>
    </row>
    <row r="713" spans="1:12">
      <c r="A713" s="1067"/>
      <c r="B713" s="650" t="s">
        <v>5505</v>
      </c>
      <c r="C713" s="659" t="s">
        <v>124</v>
      </c>
      <c r="D713" s="659" t="s">
        <v>151</v>
      </c>
      <c r="E713" s="660" t="s">
        <v>5254</v>
      </c>
      <c r="F713" s="661" t="s">
        <v>5506</v>
      </c>
      <c r="G713" s="663" t="s">
        <v>482</v>
      </c>
      <c r="H713" s="662" t="s">
        <v>378</v>
      </c>
      <c r="I713" s="659" t="s">
        <v>812</v>
      </c>
      <c r="J713" s="661">
        <v>5</v>
      </c>
      <c r="K713" s="645" t="s">
        <v>631</v>
      </c>
      <c r="L713" s="96">
        <v>1250000</v>
      </c>
    </row>
    <row r="714" spans="1:12">
      <c r="A714" s="1067"/>
      <c r="B714" s="650">
        <v>46132</v>
      </c>
      <c r="C714" s="659" t="s">
        <v>306</v>
      </c>
      <c r="D714" s="659" t="s">
        <v>322</v>
      </c>
      <c r="E714" s="662" t="s">
        <v>5400</v>
      </c>
      <c r="F714" s="648" t="s">
        <v>5092</v>
      </c>
      <c r="G714" s="648" t="s">
        <v>347</v>
      </c>
      <c r="H714" s="648" t="s">
        <v>5452</v>
      </c>
      <c r="I714" s="645" t="s">
        <v>1534</v>
      </c>
      <c r="J714" s="661">
        <v>1</v>
      </c>
      <c r="K714" s="645" t="s">
        <v>631</v>
      </c>
      <c r="L714" s="393">
        <v>500000</v>
      </c>
    </row>
    <row r="715" spans="1:12">
      <c r="A715" s="1067"/>
      <c r="B715" s="650" t="s">
        <v>5571</v>
      </c>
      <c r="C715" s="659" t="s">
        <v>306</v>
      </c>
      <c r="D715" s="659" t="s">
        <v>322</v>
      </c>
      <c r="E715" s="662" t="s">
        <v>5400</v>
      </c>
      <c r="F715" s="662" t="s">
        <v>5572</v>
      </c>
      <c r="G715" s="662" t="s">
        <v>102</v>
      </c>
      <c r="H715" s="662" t="s">
        <v>1105</v>
      </c>
      <c r="I715" s="645" t="s">
        <v>1534</v>
      </c>
      <c r="J715" s="661">
        <v>4</v>
      </c>
      <c r="K715" s="645" t="s">
        <v>631</v>
      </c>
      <c r="L715" s="393">
        <v>1000000</v>
      </c>
    </row>
    <row r="716" spans="1:12" ht="17.25" customHeight="1">
      <c r="A716" s="1068"/>
      <c r="B716" s="650" t="s">
        <v>5571</v>
      </c>
      <c r="C716" s="659" t="s">
        <v>306</v>
      </c>
      <c r="D716" s="659" t="s">
        <v>322</v>
      </c>
      <c r="E716" s="662" t="s">
        <v>5400</v>
      </c>
      <c r="F716" s="661">
        <v>8263</v>
      </c>
      <c r="G716" s="662" t="s">
        <v>482</v>
      </c>
      <c r="H716" s="662" t="s">
        <v>1105</v>
      </c>
      <c r="I716" s="645" t="s">
        <v>1534</v>
      </c>
      <c r="J716" s="659">
        <v>3</v>
      </c>
      <c r="K716" s="645" t="s">
        <v>631</v>
      </c>
      <c r="L716" s="393">
        <v>1250000</v>
      </c>
    </row>
    <row r="717" spans="1:12">
      <c r="A717" s="1005" t="s">
        <v>1646</v>
      </c>
      <c r="B717" s="1005"/>
      <c r="C717" s="1005"/>
      <c r="D717" s="1005"/>
      <c r="E717" s="1005"/>
      <c r="F717" s="1005"/>
      <c r="G717" s="1005"/>
      <c r="H717" s="1005"/>
      <c r="I717" s="1005"/>
      <c r="J717" s="659">
        <f>SUM(J703:J716)</f>
        <v>44</v>
      </c>
      <c r="K717" s="665"/>
      <c r="L717" s="638">
        <f>SUM(L703:L716)</f>
        <v>14500000</v>
      </c>
    </row>
    <row r="722" spans="1:12" ht="22.5">
      <c r="A722" s="639" t="s">
        <v>43</v>
      </c>
      <c r="B722" s="639" t="s">
        <v>1620</v>
      </c>
      <c r="C722" s="640" t="s">
        <v>2</v>
      </c>
      <c r="D722" s="640" t="s">
        <v>3</v>
      </c>
      <c r="E722" s="640" t="s">
        <v>4</v>
      </c>
      <c r="F722" s="640" t="s">
        <v>5</v>
      </c>
      <c r="G722" s="640" t="s">
        <v>6</v>
      </c>
      <c r="H722" s="641" t="s">
        <v>45</v>
      </c>
      <c r="I722" s="640" t="s">
        <v>8</v>
      </c>
      <c r="J722" s="642" t="s">
        <v>46</v>
      </c>
      <c r="K722" s="643" t="s">
        <v>47</v>
      </c>
    </row>
    <row r="723" spans="1:12">
      <c r="A723" s="1006" t="s">
        <v>739</v>
      </c>
      <c r="B723" s="671">
        <v>46106</v>
      </c>
      <c r="C723" s="672" t="s">
        <v>19</v>
      </c>
      <c r="D723" s="672" t="s">
        <v>151</v>
      </c>
      <c r="E723" s="672" t="s">
        <v>5254</v>
      </c>
      <c r="F723" s="673">
        <v>594</v>
      </c>
      <c r="G723" s="674" t="s">
        <v>264</v>
      </c>
      <c r="H723" s="675" t="s">
        <v>5255</v>
      </c>
      <c r="I723" s="672" t="s">
        <v>168</v>
      </c>
      <c r="J723" s="645">
        <v>1</v>
      </c>
      <c r="K723" s="645" t="s">
        <v>50</v>
      </c>
    </row>
    <row r="724" spans="1:12">
      <c r="A724" s="1007"/>
      <c r="B724" s="671" t="s">
        <v>5301</v>
      </c>
      <c r="C724" s="672" t="s">
        <v>49</v>
      </c>
      <c r="D724" s="672" t="s">
        <v>151</v>
      </c>
      <c r="E724" s="672" t="s">
        <v>5254</v>
      </c>
      <c r="F724" s="673" t="s">
        <v>2959</v>
      </c>
      <c r="G724" s="674" t="s">
        <v>143</v>
      </c>
      <c r="H724" s="675" t="s">
        <v>1105</v>
      </c>
      <c r="I724" s="672" t="s">
        <v>1259</v>
      </c>
      <c r="J724" s="645">
        <v>2</v>
      </c>
      <c r="K724" s="645" t="s">
        <v>50</v>
      </c>
    </row>
    <row r="725" spans="1:12">
      <c r="A725" s="1007"/>
      <c r="B725" s="671" t="s">
        <v>5302</v>
      </c>
      <c r="C725" s="672" t="s">
        <v>49</v>
      </c>
      <c r="D725" s="672" t="s">
        <v>151</v>
      </c>
      <c r="E725" s="672" t="s">
        <v>5254</v>
      </c>
      <c r="F725" s="673" t="s">
        <v>4947</v>
      </c>
      <c r="G725" s="674" t="s">
        <v>102</v>
      </c>
      <c r="H725" s="675" t="s">
        <v>2497</v>
      </c>
      <c r="I725" s="672" t="s">
        <v>1259</v>
      </c>
      <c r="J725" s="645">
        <v>2</v>
      </c>
      <c r="K725" s="645" t="s">
        <v>50</v>
      </c>
    </row>
    <row r="726" spans="1:12">
      <c r="A726" s="1007"/>
      <c r="B726" s="676" t="s">
        <v>5442</v>
      </c>
      <c r="C726" s="677" t="s">
        <v>306</v>
      </c>
      <c r="D726" s="677" t="s">
        <v>322</v>
      </c>
      <c r="E726" s="676" t="s">
        <v>5400</v>
      </c>
      <c r="F726" s="675" t="s">
        <v>4964</v>
      </c>
      <c r="G726" s="675" t="s">
        <v>347</v>
      </c>
      <c r="H726" s="675" t="s">
        <v>4915</v>
      </c>
      <c r="I726" s="672" t="s">
        <v>1534</v>
      </c>
      <c r="J726" s="645">
        <v>1</v>
      </c>
      <c r="K726" s="645" t="s">
        <v>50</v>
      </c>
    </row>
    <row r="727" spans="1:12">
      <c r="A727" s="1007"/>
      <c r="B727" s="676" t="s">
        <v>5448</v>
      </c>
      <c r="C727" s="677" t="s">
        <v>306</v>
      </c>
      <c r="D727" s="677" t="s">
        <v>322</v>
      </c>
      <c r="E727" s="676" t="s">
        <v>5400</v>
      </c>
      <c r="F727" s="675" t="s">
        <v>5449</v>
      </c>
      <c r="G727" s="675" t="s">
        <v>662</v>
      </c>
      <c r="H727" s="675" t="s">
        <v>5450</v>
      </c>
      <c r="I727" s="672" t="s">
        <v>1534</v>
      </c>
      <c r="J727" s="645">
        <v>1</v>
      </c>
      <c r="K727" s="645" t="s">
        <v>50</v>
      </c>
    </row>
    <row r="728" spans="1:12">
      <c r="A728" s="1007"/>
      <c r="B728" s="676" t="s">
        <v>5451</v>
      </c>
      <c r="C728" s="677" t="s">
        <v>306</v>
      </c>
      <c r="D728" s="677" t="s">
        <v>322</v>
      </c>
      <c r="E728" s="676" t="s">
        <v>5400</v>
      </c>
      <c r="F728" s="675" t="s">
        <v>5092</v>
      </c>
      <c r="G728" s="675" t="s">
        <v>347</v>
      </c>
      <c r="H728" s="675" t="s">
        <v>5452</v>
      </c>
      <c r="I728" s="672" t="s">
        <v>1534</v>
      </c>
      <c r="J728" s="645">
        <v>4</v>
      </c>
      <c r="K728" s="645" t="s">
        <v>50</v>
      </c>
    </row>
    <row r="729" spans="1:12">
      <c r="A729" s="1007"/>
      <c r="B729" s="671">
        <v>46125</v>
      </c>
      <c r="C729" s="677" t="s">
        <v>19</v>
      </c>
      <c r="D729" s="677" t="s">
        <v>322</v>
      </c>
      <c r="E729" s="676" t="s">
        <v>5400</v>
      </c>
      <c r="F729" s="676" t="s">
        <v>3589</v>
      </c>
      <c r="G729" s="676" t="s">
        <v>482</v>
      </c>
      <c r="H729" s="678" t="s">
        <v>5326</v>
      </c>
      <c r="I729" s="677" t="s">
        <v>168</v>
      </c>
      <c r="J729" s="659">
        <v>1</v>
      </c>
      <c r="K729" s="645" t="s">
        <v>50</v>
      </c>
    </row>
    <row r="730" spans="1:12">
      <c r="A730" s="1008"/>
      <c r="B730" s="671" t="s">
        <v>5505</v>
      </c>
      <c r="C730" s="677" t="s">
        <v>19</v>
      </c>
      <c r="D730" s="677" t="s">
        <v>151</v>
      </c>
      <c r="E730" s="679" t="s">
        <v>5254</v>
      </c>
      <c r="F730" s="680">
        <v>1614</v>
      </c>
      <c r="G730" s="676" t="s">
        <v>1911</v>
      </c>
      <c r="H730" s="676" t="s">
        <v>1105</v>
      </c>
      <c r="I730" s="677" t="s">
        <v>1259</v>
      </c>
      <c r="J730" s="659">
        <v>2</v>
      </c>
      <c r="K730" s="645" t="s">
        <v>50</v>
      </c>
    </row>
    <row r="731" spans="1:12">
      <c r="A731" s="1005" t="s">
        <v>1646</v>
      </c>
      <c r="B731" s="1005"/>
      <c r="C731" s="1005"/>
      <c r="D731" s="1005"/>
      <c r="E731" s="1005"/>
      <c r="F731" s="1005"/>
      <c r="G731" s="1005"/>
      <c r="H731" s="1005"/>
      <c r="I731" s="1005"/>
      <c r="J731" s="659">
        <f>SUM(J723:J730)</f>
        <v>14</v>
      </c>
      <c r="K731" s="665"/>
      <c r="L731" s="638">
        <f>SUM(L717:L730)</f>
        <v>14500000</v>
      </c>
    </row>
    <row r="735" spans="1:12" ht="22.5">
      <c r="A735" s="639" t="s">
        <v>43</v>
      </c>
      <c r="B735" s="639" t="s">
        <v>1620</v>
      </c>
      <c r="C735" s="640" t="s">
        <v>2</v>
      </c>
      <c r="D735" s="640" t="s">
        <v>3</v>
      </c>
      <c r="E735" s="640" t="s">
        <v>4</v>
      </c>
      <c r="F735" s="640" t="s">
        <v>5</v>
      </c>
      <c r="G735" s="640" t="s">
        <v>6</v>
      </c>
      <c r="H735" s="641" t="s">
        <v>45</v>
      </c>
      <c r="I735" s="640" t="s">
        <v>8</v>
      </c>
      <c r="J735" s="642" t="s">
        <v>46</v>
      </c>
      <c r="K735" s="643" t="s">
        <v>47</v>
      </c>
    </row>
    <row r="736" spans="1:12">
      <c r="A736" s="1009" t="s">
        <v>5675</v>
      </c>
      <c r="B736" s="671">
        <v>46107</v>
      </c>
      <c r="C736" s="659" t="s">
        <v>21</v>
      </c>
      <c r="D736" s="659" t="s">
        <v>14</v>
      </c>
      <c r="E736" s="660" t="s">
        <v>107</v>
      </c>
      <c r="F736" s="660" t="s">
        <v>1968</v>
      </c>
      <c r="G736" s="663" t="s">
        <v>376</v>
      </c>
      <c r="H736" s="664" t="s">
        <v>303</v>
      </c>
      <c r="I736" s="660" t="s">
        <v>90</v>
      </c>
      <c r="J736" s="664">
        <v>1</v>
      </c>
      <c r="K736" s="645" t="s">
        <v>50</v>
      </c>
    </row>
    <row r="737" spans="1:12">
      <c r="A737" s="1009"/>
      <c r="B737" s="676" t="s">
        <v>5459</v>
      </c>
      <c r="C737" s="677" t="s">
        <v>311</v>
      </c>
      <c r="D737" s="677" t="s">
        <v>320</v>
      </c>
      <c r="E737" s="676" t="s">
        <v>690</v>
      </c>
      <c r="F737" s="676" t="s">
        <v>5004</v>
      </c>
      <c r="G737" s="676" t="s">
        <v>1198</v>
      </c>
      <c r="H737" s="678" t="s">
        <v>5460</v>
      </c>
      <c r="I737" s="645" t="s">
        <v>638</v>
      </c>
      <c r="J737" s="645">
        <v>1</v>
      </c>
      <c r="K737" s="645" t="s">
        <v>50</v>
      </c>
    </row>
    <row r="738" spans="1:12" ht="45">
      <c r="A738" s="1009"/>
      <c r="B738" s="676" t="s">
        <v>5462</v>
      </c>
      <c r="C738" s="677" t="s">
        <v>311</v>
      </c>
      <c r="D738" s="677" t="s">
        <v>675</v>
      </c>
      <c r="E738" s="676" t="s">
        <v>720</v>
      </c>
      <c r="F738" s="676">
        <v>7060</v>
      </c>
      <c r="G738" s="676" t="s">
        <v>371</v>
      </c>
      <c r="H738" s="675" t="s">
        <v>5463</v>
      </c>
      <c r="I738" s="662" t="s">
        <v>638</v>
      </c>
      <c r="J738" s="662">
        <v>1</v>
      </c>
      <c r="K738" s="645" t="s">
        <v>50</v>
      </c>
    </row>
    <row r="739" spans="1:12">
      <c r="A739" s="1009"/>
      <c r="B739" s="676" t="s">
        <v>5462</v>
      </c>
      <c r="C739" s="677" t="s">
        <v>311</v>
      </c>
      <c r="D739" s="677" t="s">
        <v>320</v>
      </c>
      <c r="E739" s="676" t="s">
        <v>337</v>
      </c>
      <c r="F739" s="676" t="s">
        <v>3054</v>
      </c>
      <c r="G739" s="676" t="s">
        <v>354</v>
      </c>
      <c r="H739" s="676" t="s">
        <v>310</v>
      </c>
      <c r="I739" s="662" t="s">
        <v>5465</v>
      </c>
      <c r="J739" s="662">
        <v>2</v>
      </c>
      <c r="K739" s="645" t="s">
        <v>50</v>
      </c>
    </row>
    <row r="740" spans="1:12">
      <c r="A740" s="1009"/>
      <c r="B740" s="676" t="s">
        <v>5467</v>
      </c>
      <c r="C740" s="677" t="s">
        <v>311</v>
      </c>
      <c r="D740" s="677" t="s">
        <v>320</v>
      </c>
      <c r="E740" s="676" t="s">
        <v>337</v>
      </c>
      <c r="F740" s="676" t="s">
        <v>3054</v>
      </c>
      <c r="G740" s="676" t="s">
        <v>354</v>
      </c>
      <c r="H740" s="676" t="s">
        <v>310</v>
      </c>
      <c r="I740" s="662" t="s">
        <v>5465</v>
      </c>
      <c r="J740" s="662">
        <v>2</v>
      </c>
      <c r="K740" s="645" t="s">
        <v>50</v>
      </c>
    </row>
    <row r="741" spans="1:12" ht="21">
      <c r="A741" s="1009"/>
      <c r="B741" s="676" t="s">
        <v>5468</v>
      </c>
      <c r="C741" s="677" t="s">
        <v>311</v>
      </c>
      <c r="D741" s="677" t="s">
        <v>320</v>
      </c>
      <c r="E741" s="681" t="s">
        <v>5469</v>
      </c>
      <c r="F741" s="676" t="s">
        <v>5060</v>
      </c>
      <c r="G741" s="676" t="s">
        <v>354</v>
      </c>
      <c r="H741" s="676" t="s">
        <v>310</v>
      </c>
      <c r="I741" s="662" t="s">
        <v>5465</v>
      </c>
      <c r="J741" s="662">
        <v>2</v>
      </c>
      <c r="K741" s="645" t="s">
        <v>50</v>
      </c>
    </row>
    <row r="742" spans="1:12" ht="21">
      <c r="A742" s="1009"/>
      <c r="B742" s="676" t="s">
        <v>5470</v>
      </c>
      <c r="C742" s="677" t="s">
        <v>311</v>
      </c>
      <c r="D742" s="677" t="s">
        <v>320</v>
      </c>
      <c r="E742" s="681" t="s">
        <v>5469</v>
      </c>
      <c r="F742" s="676" t="s">
        <v>5060</v>
      </c>
      <c r="G742" s="676" t="s">
        <v>354</v>
      </c>
      <c r="H742" s="676" t="s">
        <v>310</v>
      </c>
      <c r="I742" s="662" t="s">
        <v>5465</v>
      </c>
      <c r="J742" s="662">
        <v>2</v>
      </c>
      <c r="K742" s="645" t="s">
        <v>50</v>
      </c>
    </row>
    <row r="743" spans="1:12">
      <c r="A743" s="1009"/>
      <c r="B743" s="671">
        <v>46120</v>
      </c>
      <c r="C743" s="677" t="s">
        <v>21</v>
      </c>
      <c r="D743" s="677" t="s">
        <v>14</v>
      </c>
      <c r="E743" s="679" t="s">
        <v>107</v>
      </c>
      <c r="F743" s="679" t="s">
        <v>2959</v>
      </c>
      <c r="G743" s="682" t="s">
        <v>143</v>
      </c>
      <c r="H743" s="680" t="s">
        <v>271</v>
      </c>
      <c r="I743" s="660"/>
      <c r="J743" s="660">
        <v>1</v>
      </c>
      <c r="K743" s="645" t="s">
        <v>50</v>
      </c>
    </row>
    <row r="744" spans="1:12">
      <c r="A744" s="1009"/>
      <c r="B744" s="671">
        <v>46125</v>
      </c>
      <c r="C744" s="677" t="s">
        <v>24</v>
      </c>
      <c r="D744" s="677" t="s">
        <v>14</v>
      </c>
      <c r="E744" s="679" t="s">
        <v>78</v>
      </c>
      <c r="F744" s="680" t="s">
        <v>3008</v>
      </c>
      <c r="G744" s="682" t="s">
        <v>1382</v>
      </c>
      <c r="H744" s="680" t="s">
        <v>5359</v>
      </c>
      <c r="I744" s="660" t="s">
        <v>202</v>
      </c>
      <c r="J744" s="660">
        <v>1</v>
      </c>
      <c r="K744" s="645" t="s">
        <v>50</v>
      </c>
    </row>
    <row r="745" spans="1:12">
      <c r="A745" s="1009"/>
      <c r="B745" s="671">
        <v>46125</v>
      </c>
      <c r="C745" s="677" t="s">
        <v>24</v>
      </c>
      <c r="D745" s="677" t="s">
        <v>14</v>
      </c>
      <c r="E745" s="660" t="s">
        <v>1787</v>
      </c>
      <c r="F745" s="679" t="s">
        <v>2135</v>
      </c>
      <c r="G745" s="663" t="s">
        <v>67</v>
      </c>
      <c r="H745" s="680" t="s">
        <v>5480</v>
      </c>
      <c r="I745" s="660" t="s">
        <v>90</v>
      </c>
      <c r="J745" s="664">
        <v>1</v>
      </c>
      <c r="K745" s="645" t="s">
        <v>50</v>
      </c>
    </row>
    <row r="746" spans="1:12" ht="36">
      <c r="A746" s="1009"/>
      <c r="B746" s="671">
        <v>46126</v>
      </c>
      <c r="C746" s="677" t="s">
        <v>24</v>
      </c>
      <c r="D746" s="677" t="s">
        <v>31</v>
      </c>
      <c r="E746" s="680" t="s">
        <v>78</v>
      </c>
      <c r="F746" s="680" t="s">
        <v>3900</v>
      </c>
      <c r="G746" s="682" t="s">
        <v>36</v>
      </c>
      <c r="H746" s="680" t="s">
        <v>5483</v>
      </c>
      <c r="I746" s="664" t="s">
        <v>5484</v>
      </c>
      <c r="J746" s="664">
        <v>1</v>
      </c>
      <c r="K746" s="645" t="s">
        <v>50</v>
      </c>
    </row>
    <row r="747" spans="1:12">
      <c r="A747" s="1009"/>
      <c r="B747" s="671">
        <v>46128</v>
      </c>
      <c r="C747" s="659" t="s">
        <v>21</v>
      </c>
      <c r="D747" s="659" t="s">
        <v>14</v>
      </c>
      <c r="E747" s="660" t="s">
        <v>107</v>
      </c>
      <c r="F747" s="660" t="s">
        <v>1968</v>
      </c>
      <c r="G747" s="663" t="s">
        <v>376</v>
      </c>
      <c r="H747" s="664" t="s">
        <v>4843</v>
      </c>
      <c r="I747" s="660" t="s">
        <v>90</v>
      </c>
      <c r="J747" s="660">
        <v>2</v>
      </c>
      <c r="K747" s="645" t="s">
        <v>50</v>
      </c>
    </row>
    <row r="748" spans="1:12">
      <c r="A748" s="1009"/>
      <c r="B748" s="671">
        <v>46128</v>
      </c>
      <c r="C748" s="677" t="s">
        <v>24</v>
      </c>
      <c r="D748" s="677" t="s">
        <v>14</v>
      </c>
      <c r="E748" s="660" t="s">
        <v>1787</v>
      </c>
      <c r="F748" s="679" t="s">
        <v>2817</v>
      </c>
      <c r="G748" s="663" t="s">
        <v>23</v>
      </c>
      <c r="H748" s="680" t="s">
        <v>5434</v>
      </c>
      <c r="I748" s="660"/>
      <c r="J748" s="664">
        <v>2</v>
      </c>
      <c r="K748" s="645" t="s">
        <v>50</v>
      </c>
    </row>
    <row r="749" spans="1:12">
      <c r="A749" s="1005" t="s">
        <v>1646</v>
      </c>
      <c r="B749" s="1005"/>
      <c r="C749" s="1005"/>
      <c r="D749" s="1005"/>
      <c r="E749" s="1005"/>
      <c r="F749" s="1005"/>
      <c r="G749" s="1005"/>
      <c r="H749" s="1005"/>
      <c r="I749" s="1005"/>
      <c r="J749" s="659">
        <f>SUM(J736:J748)</f>
        <v>19</v>
      </c>
      <c r="K749" s="665"/>
      <c r="L749" s="638">
        <f>SUM(L735:L748)</f>
        <v>0</v>
      </c>
    </row>
    <row r="750" spans="1:12">
      <c r="K750" s="109"/>
    </row>
    <row r="752" spans="1:12" ht="22.5">
      <c r="A752" s="639" t="s">
        <v>43</v>
      </c>
      <c r="B752" s="639" t="s">
        <v>1620</v>
      </c>
      <c r="C752" s="640" t="s">
        <v>2</v>
      </c>
      <c r="D752" s="640" t="s">
        <v>3</v>
      </c>
      <c r="E752" s="640" t="s">
        <v>4</v>
      </c>
      <c r="F752" s="640" t="s">
        <v>5</v>
      </c>
      <c r="G752" s="640" t="s">
        <v>6</v>
      </c>
      <c r="H752" s="641" t="s">
        <v>45</v>
      </c>
      <c r="I752" s="640" t="s">
        <v>8</v>
      </c>
      <c r="J752" s="642" t="s">
        <v>46</v>
      </c>
      <c r="K752" s="643" t="s">
        <v>47</v>
      </c>
    </row>
    <row r="753" spans="1:12">
      <c r="A753" s="996" t="s">
        <v>5678</v>
      </c>
      <c r="B753" s="683" t="s">
        <v>5676</v>
      </c>
      <c r="C753" s="646" t="s">
        <v>49</v>
      </c>
      <c r="D753" s="646" t="s">
        <v>151</v>
      </c>
      <c r="E753" s="646" t="s">
        <v>5254</v>
      </c>
      <c r="F753" s="646" t="s">
        <v>4939</v>
      </c>
      <c r="G753" s="647" t="s">
        <v>482</v>
      </c>
      <c r="H753" s="646" t="s">
        <v>5298</v>
      </c>
      <c r="I753" s="646" t="s">
        <v>126</v>
      </c>
      <c r="J753" s="646">
        <v>2</v>
      </c>
      <c r="K753" s="645" t="s">
        <v>50</v>
      </c>
    </row>
    <row r="754" spans="1:12">
      <c r="A754" s="997"/>
      <c r="B754" s="683">
        <v>46113</v>
      </c>
      <c r="C754" s="646" t="s">
        <v>49</v>
      </c>
      <c r="D754" s="646" t="s">
        <v>151</v>
      </c>
      <c r="E754" s="646" t="s">
        <v>5254</v>
      </c>
      <c r="F754" s="646">
        <v>1614</v>
      </c>
      <c r="G754" s="647" t="s">
        <v>482</v>
      </c>
      <c r="H754" s="646" t="s">
        <v>378</v>
      </c>
      <c r="I754" s="646" t="s">
        <v>126</v>
      </c>
      <c r="J754" s="646">
        <v>1</v>
      </c>
      <c r="K754" s="645" t="s">
        <v>50</v>
      </c>
    </row>
    <row r="755" spans="1:12">
      <c r="A755" s="997"/>
      <c r="B755" s="646" t="s">
        <v>5444</v>
      </c>
      <c r="C755" s="646" t="s">
        <v>306</v>
      </c>
      <c r="D755" s="646" t="s">
        <v>322</v>
      </c>
      <c r="E755" s="646" t="s">
        <v>5400</v>
      </c>
      <c r="F755" s="646" t="s">
        <v>4938</v>
      </c>
      <c r="G755" s="646" t="s">
        <v>1911</v>
      </c>
      <c r="H755" s="646" t="s">
        <v>4941</v>
      </c>
      <c r="I755" s="646" t="s">
        <v>1111</v>
      </c>
      <c r="J755" s="646">
        <v>5</v>
      </c>
      <c r="K755" s="645" t="s">
        <v>50</v>
      </c>
    </row>
    <row r="756" spans="1:12">
      <c r="A756" s="997"/>
      <c r="B756" s="683" t="s">
        <v>5505</v>
      </c>
      <c r="C756" s="646" t="s">
        <v>19</v>
      </c>
      <c r="D756" s="646" t="s">
        <v>151</v>
      </c>
      <c r="E756" s="684" t="s">
        <v>5254</v>
      </c>
      <c r="F756" s="646" t="s">
        <v>5506</v>
      </c>
      <c r="G756" s="647" t="s">
        <v>18</v>
      </c>
      <c r="H756" s="646" t="s">
        <v>378</v>
      </c>
      <c r="I756" s="646" t="s">
        <v>168</v>
      </c>
      <c r="J756" s="646">
        <v>5</v>
      </c>
      <c r="K756" s="645" t="s">
        <v>50</v>
      </c>
    </row>
    <row r="757" spans="1:12">
      <c r="A757" s="997"/>
      <c r="B757" s="683" t="s">
        <v>5574</v>
      </c>
      <c r="C757" s="646" t="s">
        <v>306</v>
      </c>
      <c r="D757" s="646" t="s">
        <v>322</v>
      </c>
      <c r="E757" s="646" t="s">
        <v>5400</v>
      </c>
      <c r="F757" s="646">
        <v>7063</v>
      </c>
      <c r="G757" s="646" t="s">
        <v>1391</v>
      </c>
      <c r="H757" s="646" t="s">
        <v>378</v>
      </c>
      <c r="I757" s="646" t="s">
        <v>168</v>
      </c>
      <c r="J757" s="646">
        <v>3</v>
      </c>
      <c r="K757" s="645" t="s">
        <v>50</v>
      </c>
    </row>
    <row r="758" spans="1:12">
      <c r="A758" s="997"/>
      <c r="B758" s="683" t="s">
        <v>5571</v>
      </c>
      <c r="C758" s="646" t="s">
        <v>306</v>
      </c>
      <c r="D758" s="646" t="s">
        <v>322</v>
      </c>
      <c r="E758" s="646" t="s">
        <v>5400</v>
      </c>
      <c r="F758" s="646">
        <v>8263</v>
      </c>
      <c r="G758" s="646" t="s">
        <v>482</v>
      </c>
      <c r="H758" s="646" t="s">
        <v>1105</v>
      </c>
      <c r="I758" s="646" t="s">
        <v>1534</v>
      </c>
      <c r="J758" s="646">
        <v>2</v>
      </c>
      <c r="K758" s="645" t="s">
        <v>50</v>
      </c>
    </row>
    <row r="759" spans="1:12">
      <c r="A759" s="997"/>
      <c r="B759" s="683">
        <v>46139</v>
      </c>
      <c r="C759" s="646" t="s">
        <v>306</v>
      </c>
      <c r="D759" s="646" t="s">
        <v>322</v>
      </c>
      <c r="E759" s="646" t="s">
        <v>5400</v>
      </c>
      <c r="F759" s="646" t="s">
        <v>3244</v>
      </c>
      <c r="G759" s="646" t="s">
        <v>23</v>
      </c>
      <c r="H759" s="646" t="s">
        <v>5599</v>
      </c>
      <c r="I759" s="646" t="s">
        <v>168</v>
      </c>
      <c r="J759" s="646">
        <v>1</v>
      </c>
      <c r="K759" s="645" t="s">
        <v>50</v>
      </c>
    </row>
    <row r="760" spans="1:12">
      <c r="A760" s="997"/>
      <c r="B760" s="683" t="s">
        <v>5601</v>
      </c>
      <c r="C760" s="646" t="s">
        <v>306</v>
      </c>
      <c r="D760" s="646" t="s">
        <v>322</v>
      </c>
      <c r="E760" s="646" t="s">
        <v>5400</v>
      </c>
      <c r="F760" s="646">
        <v>7063</v>
      </c>
      <c r="G760" s="646" t="s">
        <v>1391</v>
      </c>
      <c r="H760" s="646" t="s">
        <v>2962</v>
      </c>
      <c r="I760" s="646" t="s">
        <v>1948</v>
      </c>
      <c r="J760" s="646">
        <v>3</v>
      </c>
      <c r="K760" s="645" t="s">
        <v>50</v>
      </c>
    </row>
    <row r="761" spans="1:12">
      <c r="A761" s="1010"/>
      <c r="B761" s="683">
        <v>46125</v>
      </c>
      <c r="C761" s="646" t="s">
        <v>5679</v>
      </c>
      <c r="D761" s="646" t="s">
        <v>14</v>
      </c>
      <c r="E761" s="646" t="s">
        <v>5680</v>
      </c>
      <c r="F761" s="646" t="s">
        <v>5681</v>
      </c>
      <c r="G761" s="646" t="s">
        <v>5682</v>
      </c>
      <c r="H761" s="646" t="s">
        <v>5683</v>
      </c>
      <c r="I761" s="646" t="s">
        <v>5684</v>
      </c>
      <c r="J761" s="646">
        <v>1</v>
      </c>
      <c r="K761" s="687" t="s">
        <v>5685</v>
      </c>
    </row>
    <row r="762" spans="1:12">
      <c r="A762" s="998" t="s">
        <v>1646</v>
      </c>
      <c r="B762" s="998"/>
      <c r="C762" s="998"/>
      <c r="D762" s="998"/>
      <c r="E762" s="998"/>
      <c r="F762" s="998"/>
      <c r="G762" s="998"/>
      <c r="H762" s="998"/>
      <c r="I762" s="998"/>
      <c r="J762" s="645">
        <f>SUM(J753:J761)</f>
        <v>23</v>
      </c>
      <c r="K762" s="686"/>
      <c r="L762" s="638">
        <f>SUM(L748:L760)</f>
        <v>0</v>
      </c>
    </row>
    <row r="763" spans="1:12">
      <c r="J763" s="222"/>
    </row>
    <row r="764" spans="1:12" ht="22.5">
      <c r="A764" s="639" t="s">
        <v>43</v>
      </c>
      <c r="B764" s="639" t="s">
        <v>1620</v>
      </c>
      <c r="C764" s="640" t="s">
        <v>2</v>
      </c>
      <c r="D764" s="640" t="s">
        <v>3</v>
      </c>
      <c r="E764" s="640" t="s">
        <v>4</v>
      </c>
      <c r="F764" s="640" t="s">
        <v>5</v>
      </c>
      <c r="G764" s="640" t="s">
        <v>6</v>
      </c>
      <c r="H764" s="641" t="s">
        <v>45</v>
      </c>
      <c r="I764" s="640" t="s">
        <v>8</v>
      </c>
      <c r="J764" s="642" t="s">
        <v>46</v>
      </c>
      <c r="K764" s="643" t="s">
        <v>47</v>
      </c>
    </row>
    <row r="765" spans="1:12">
      <c r="A765" s="1001" t="s">
        <v>5686</v>
      </c>
      <c r="B765" s="758">
        <v>46154</v>
      </c>
      <c r="C765" s="747" t="s">
        <v>306</v>
      </c>
      <c r="D765" s="747" t="s">
        <v>322</v>
      </c>
      <c r="E765" s="675" t="s">
        <v>5400</v>
      </c>
      <c r="F765" s="744" t="s">
        <v>5051</v>
      </c>
      <c r="G765" s="744" t="s">
        <v>4967</v>
      </c>
      <c r="H765" s="691" t="s">
        <v>5762</v>
      </c>
      <c r="I765" s="747" t="s">
        <v>1534</v>
      </c>
      <c r="J765" s="747">
        <v>2</v>
      </c>
      <c r="K765" s="645" t="s">
        <v>50</v>
      </c>
    </row>
    <row r="766" spans="1:12">
      <c r="A766" s="1002"/>
      <c r="B766" s="758">
        <v>46155</v>
      </c>
      <c r="C766" s="747" t="s">
        <v>306</v>
      </c>
      <c r="D766" s="747" t="s">
        <v>322</v>
      </c>
      <c r="E766" s="675" t="s">
        <v>5400</v>
      </c>
      <c r="F766" s="744" t="s">
        <v>5051</v>
      </c>
      <c r="G766" s="744" t="s">
        <v>4967</v>
      </c>
      <c r="H766" s="691" t="s">
        <v>5762</v>
      </c>
      <c r="I766" s="747" t="s">
        <v>1534</v>
      </c>
      <c r="J766" s="747">
        <v>2</v>
      </c>
      <c r="K766" s="645" t="s">
        <v>50</v>
      </c>
    </row>
    <row r="767" spans="1:12">
      <c r="A767" s="1002"/>
      <c r="B767" s="758">
        <v>46156</v>
      </c>
      <c r="C767" s="747" t="s">
        <v>306</v>
      </c>
      <c r="D767" s="747" t="s">
        <v>322</v>
      </c>
      <c r="E767" s="675" t="s">
        <v>5400</v>
      </c>
      <c r="F767" s="744" t="s">
        <v>5051</v>
      </c>
      <c r="G767" s="744" t="s">
        <v>4967</v>
      </c>
      <c r="H767" s="691" t="s">
        <v>5762</v>
      </c>
      <c r="I767" s="747" t="s">
        <v>1534</v>
      </c>
      <c r="J767" s="747">
        <v>2</v>
      </c>
      <c r="K767" s="645" t="s">
        <v>50</v>
      </c>
    </row>
    <row r="768" spans="1:12">
      <c r="A768" s="1002"/>
      <c r="B768" s="757">
        <v>46160</v>
      </c>
      <c r="C768" s="745" t="s">
        <v>306</v>
      </c>
      <c r="D768" s="745" t="s">
        <v>322</v>
      </c>
      <c r="E768" s="744" t="s">
        <v>5400</v>
      </c>
      <c r="F768" s="744" t="s">
        <v>5051</v>
      </c>
      <c r="G768" s="744" t="s">
        <v>4967</v>
      </c>
      <c r="H768" s="746" t="s">
        <v>5859</v>
      </c>
      <c r="I768" s="747" t="s">
        <v>1534</v>
      </c>
      <c r="J768" s="677">
        <v>1</v>
      </c>
      <c r="K768" s="645" t="s">
        <v>50</v>
      </c>
    </row>
    <row r="769" spans="1:12">
      <c r="A769" s="1003"/>
      <c r="B769" s="757">
        <v>46164</v>
      </c>
      <c r="C769" s="745" t="s">
        <v>306</v>
      </c>
      <c r="D769" s="745" t="s">
        <v>322</v>
      </c>
      <c r="E769" s="744" t="s">
        <v>5400</v>
      </c>
      <c r="F769" s="744" t="s">
        <v>5051</v>
      </c>
      <c r="G769" s="744" t="s">
        <v>4967</v>
      </c>
      <c r="H769" s="746" t="s">
        <v>5859</v>
      </c>
      <c r="I769" s="747" t="s">
        <v>1534</v>
      </c>
      <c r="J769" s="677">
        <v>1</v>
      </c>
      <c r="K769" s="645" t="s">
        <v>50</v>
      </c>
    </row>
    <row r="770" spans="1:12">
      <c r="A770" s="998" t="s">
        <v>1646</v>
      </c>
      <c r="B770" s="998"/>
      <c r="C770" s="998"/>
      <c r="D770" s="998"/>
      <c r="E770" s="998"/>
      <c r="F770" s="998"/>
      <c r="G770" s="998"/>
      <c r="H770" s="998"/>
      <c r="I770" s="998"/>
      <c r="J770" s="645">
        <f>SUM(J765:J769)</f>
        <v>8</v>
      </c>
      <c r="K770" s="686"/>
      <c r="L770" s="638">
        <f>SUM(L753:L765)</f>
        <v>0</v>
      </c>
    </row>
    <row r="772" spans="1:12" ht="22.5">
      <c r="A772" s="639" t="s">
        <v>43</v>
      </c>
      <c r="B772" s="639" t="s">
        <v>1620</v>
      </c>
      <c r="C772" s="640" t="s">
        <v>2</v>
      </c>
      <c r="D772" s="640" t="s">
        <v>3</v>
      </c>
      <c r="E772" s="640" t="s">
        <v>4</v>
      </c>
      <c r="F772" s="640" t="s">
        <v>5</v>
      </c>
      <c r="G772" s="640" t="s">
        <v>6</v>
      </c>
      <c r="H772" s="641" t="s">
        <v>45</v>
      </c>
      <c r="I772" s="640" t="s">
        <v>8</v>
      </c>
      <c r="J772" s="642" t="s">
        <v>46</v>
      </c>
      <c r="K772" s="643" t="s">
        <v>47</v>
      </c>
    </row>
    <row r="773" spans="1:12" ht="33.75">
      <c r="A773" s="1004" t="s">
        <v>5687</v>
      </c>
      <c r="B773" s="690">
        <v>46111</v>
      </c>
      <c r="C773" s="672" t="s">
        <v>21</v>
      </c>
      <c r="D773" s="672" t="s">
        <v>14</v>
      </c>
      <c r="E773" s="697" t="s">
        <v>1787</v>
      </c>
      <c r="F773" s="697" t="s">
        <v>2817</v>
      </c>
      <c r="G773" s="674" t="s">
        <v>23</v>
      </c>
      <c r="H773" s="673" t="s">
        <v>5289</v>
      </c>
      <c r="I773" s="646" t="s">
        <v>90</v>
      </c>
      <c r="J773" s="646">
        <v>1</v>
      </c>
      <c r="K773" s="645" t="s">
        <v>50</v>
      </c>
    </row>
    <row r="774" spans="1:12" ht="33.75">
      <c r="A774" s="1004"/>
      <c r="B774" s="690">
        <v>46113</v>
      </c>
      <c r="C774" s="645" t="s">
        <v>21</v>
      </c>
      <c r="D774" s="645" t="s">
        <v>14</v>
      </c>
      <c r="E774" s="684" t="s">
        <v>1788</v>
      </c>
      <c r="F774" s="646" t="s">
        <v>3332</v>
      </c>
      <c r="G774" s="647" t="s">
        <v>23</v>
      </c>
      <c r="H774" s="646" t="s">
        <v>5234</v>
      </c>
      <c r="I774" s="684"/>
      <c r="J774" s="646">
        <v>2</v>
      </c>
      <c r="K774" s="645" t="s">
        <v>50</v>
      </c>
    </row>
    <row r="775" spans="1:12" ht="33.75">
      <c r="A775" s="1004"/>
      <c r="B775" s="690">
        <v>46114</v>
      </c>
      <c r="C775" s="672" t="s">
        <v>21</v>
      </c>
      <c r="D775" s="672" t="s">
        <v>14</v>
      </c>
      <c r="E775" s="697" t="s">
        <v>1788</v>
      </c>
      <c r="F775" s="673" t="s">
        <v>3332</v>
      </c>
      <c r="G775" s="674" t="s">
        <v>23</v>
      </c>
      <c r="H775" s="673" t="s">
        <v>5234</v>
      </c>
      <c r="I775" s="697"/>
      <c r="J775" s="646">
        <v>2</v>
      </c>
      <c r="K775" s="645" t="s">
        <v>50</v>
      </c>
    </row>
    <row r="776" spans="1:12">
      <c r="A776" s="1004"/>
      <c r="B776" s="690">
        <v>46124</v>
      </c>
      <c r="C776" s="672" t="s">
        <v>21</v>
      </c>
      <c r="D776" s="672" t="s">
        <v>17</v>
      </c>
      <c r="E776" s="673" t="s">
        <v>5276</v>
      </c>
      <c r="F776" s="697" t="s">
        <v>2329</v>
      </c>
      <c r="G776" s="647" t="s">
        <v>23</v>
      </c>
      <c r="H776" s="673" t="s">
        <v>5532</v>
      </c>
      <c r="I776" s="697" t="s">
        <v>202</v>
      </c>
      <c r="J776" s="684">
        <v>2</v>
      </c>
      <c r="K776" s="645" t="s">
        <v>50</v>
      </c>
    </row>
    <row r="777" spans="1:12">
      <c r="A777" s="1004"/>
      <c r="B777" s="683">
        <v>46136</v>
      </c>
      <c r="C777" s="645" t="s">
        <v>21</v>
      </c>
      <c r="D777" s="645" t="s">
        <v>14</v>
      </c>
      <c r="E777" s="684" t="s">
        <v>107</v>
      </c>
      <c r="F777" s="684" t="s">
        <v>1968</v>
      </c>
      <c r="G777" s="647" t="s">
        <v>376</v>
      </c>
      <c r="H777" s="646" t="s">
        <v>5397</v>
      </c>
      <c r="I777" s="684" t="s">
        <v>90</v>
      </c>
      <c r="J777" s="684">
        <v>1</v>
      </c>
      <c r="K777" s="645" t="s">
        <v>50</v>
      </c>
    </row>
    <row r="778" spans="1:12">
      <c r="A778" s="998" t="s">
        <v>1646</v>
      </c>
      <c r="B778" s="998"/>
      <c r="C778" s="998"/>
      <c r="D778" s="998"/>
      <c r="E778" s="998"/>
      <c r="F778" s="998"/>
      <c r="G778" s="998"/>
      <c r="H778" s="998"/>
      <c r="I778" s="998"/>
      <c r="J778" s="645">
        <f>SUM(J773:J777)</f>
        <v>8</v>
      </c>
      <c r="K778" s="686"/>
      <c r="L778" s="638">
        <f>SUM(L761:L776)</f>
        <v>0</v>
      </c>
    </row>
    <row r="781" spans="1:12" ht="22.5">
      <c r="A781" s="639" t="s">
        <v>43</v>
      </c>
      <c r="B781" s="639" t="s">
        <v>1620</v>
      </c>
      <c r="C781" s="640" t="s">
        <v>2</v>
      </c>
      <c r="D781" s="640" t="s">
        <v>3</v>
      </c>
      <c r="E781" s="640" t="s">
        <v>4</v>
      </c>
      <c r="F781" s="640" t="s">
        <v>5</v>
      </c>
      <c r="G781" s="640" t="s">
        <v>6</v>
      </c>
      <c r="H781" s="641" t="s">
        <v>45</v>
      </c>
      <c r="I781" s="640" t="s">
        <v>8</v>
      </c>
      <c r="J781" s="642" t="s">
        <v>46</v>
      </c>
      <c r="K781" s="643" t="s">
        <v>47</v>
      </c>
    </row>
    <row r="782" spans="1:12">
      <c r="A782" s="1004" t="s">
        <v>228</v>
      </c>
      <c r="B782" s="699">
        <v>46115</v>
      </c>
      <c r="C782" s="697" t="s">
        <v>5688</v>
      </c>
      <c r="D782" s="697" t="s">
        <v>14</v>
      </c>
      <c r="E782" s="697" t="s">
        <v>1893</v>
      </c>
      <c r="F782" s="697" t="s">
        <v>5689</v>
      </c>
      <c r="G782" s="697" t="s">
        <v>34</v>
      </c>
      <c r="H782" s="697" t="s">
        <v>5690</v>
      </c>
      <c r="I782" s="697" t="s">
        <v>5684</v>
      </c>
      <c r="J782" s="697">
        <v>3</v>
      </c>
      <c r="K782" s="697" t="s">
        <v>1280</v>
      </c>
    </row>
    <row r="783" spans="1:12">
      <c r="A783" s="1004"/>
      <c r="B783" s="699">
        <v>46125</v>
      </c>
      <c r="C783" s="697" t="s">
        <v>5688</v>
      </c>
      <c r="D783" s="697" t="s">
        <v>14</v>
      </c>
      <c r="E783" s="697" t="s">
        <v>1893</v>
      </c>
      <c r="F783" s="697" t="s">
        <v>5689</v>
      </c>
      <c r="G783" s="697" t="s">
        <v>34</v>
      </c>
      <c r="H783" s="697" t="s">
        <v>5690</v>
      </c>
      <c r="I783" s="697" t="s">
        <v>5684</v>
      </c>
      <c r="J783" s="697">
        <v>3</v>
      </c>
      <c r="K783" s="697" t="s">
        <v>1280</v>
      </c>
    </row>
    <row r="784" spans="1:12">
      <c r="A784" s="1004"/>
      <c r="B784" s="699">
        <v>46127</v>
      </c>
      <c r="C784" s="697" t="s">
        <v>5688</v>
      </c>
      <c r="D784" s="697" t="s">
        <v>14</v>
      </c>
      <c r="E784" s="697" t="s">
        <v>1893</v>
      </c>
      <c r="F784" s="697" t="s">
        <v>5689</v>
      </c>
      <c r="G784" s="697" t="s">
        <v>34</v>
      </c>
      <c r="H784" s="697" t="s">
        <v>5690</v>
      </c>
      <c r="I784" s="697" t="s">
        <v>5684</v>
      </c>
      <c r="J784" s="697">
        <v>3</v>
      </c>
      <c r="K784" s="697" t="s">
        <v>1280</v>
      </c>
    </row>
    <row r="785" spans="1:11">
      <c r="A785" s="1004"/>
      <c r="B785" s="699">
        <v>46128</v>
      </c>
      <c r="C785" s="697" t="s">
        <v>5688</v>
      </c>
      <c r="D785" s="697" t="s">
        <v>14</v>
      </c>
      <c r="E785" s="697" t="s">
        <v>1893</v>
      </c>
      <c r="F785" s="697" t="s">
        <v>5689</v>
      </c>
      <c r="G785" s="697" t="s">
        <v>5692</v>
      </c>
      <c r="H785" s="697" t="s">
        <v>5690</v>
      </c>
      <c r="I785" s="697" t="s">
        <v>5684</v>
      </c>
      <c r="J785" s="697">
        <v>3</v>
      </c>
      <c r="K785" s="697" t="s">
        <v>1280</v>
      </c>
    </row>
    <row r="786" spans="1:11">
      <c r="A786" s="1004"/>
      <c r="B786" s="699">
        <v>46132</v>
      </c>
      <c r="C786" s="697" t="s">
        <v>5688</v>
      </c>
      <c r="D786" s="697" t="s">
        <v>14</v>
      </c>
      <c r="E786" s="697" t="s">
        <v>1893</v>
      </c>
      <c r="F786" s="697" t="s">
        <v>5689</v>
      </c>
      <c r="G786" s="697" t="s">
        <v>5691</v>
      </c>
      <c r="H786" s="697" t="s">
        <v>5690</v>
      </c>
      <c r="I786" s="697" t="s">
        <v>5684</v>
      </c>
      <c r="J786" s="697">
        <v>3</v>
      </c>
      <c r="K786" s="697" t="s">
        <v>1280</v>
      </c>
    </row>
    <row r="787" spans="1:11">
      <c r="A787" s="1004"/>
      <c r="B787" s="699">
        <v>46135</v>
      </c>
      <c r="C787" s="697" t="s">
        <v>5688</v>
      </c>
      <c r="D787" s="697" t="s">
        <v>14</v>
      </c>
      <c r="E787" s="697" t="s">
        <v>1893</v>
      </c>
      <c r="F787" s="697" t="s">
        <v>5689</v>
      </c>
      <c r="G787" s="697" t="s">
        <v>5691</v>
      </c>
      <c r="H787" s="697" t="s">
        <v>5690</v>
      </c>
      <c r="I787" s="697" t="s">
        <v>5684</v>
      </c>
      <c r="J787" s="697">
        <v>3</v>
      </c>
      <c r="K787" s="697" t="s">
        <v>1280</v>
      </c>
    </row>
    <row r="788" spans="1:11">
      <c r="A788" s="1004"/>
      <c r="B788" s="699">
        <v>46136</v>
      </c>
      <c r="C788" s="697" t="s">
        <v>5688</v>
      </c>
      <c r="D788" s="697" t="s">
        <v>14</v>
      </c>
      <c r="E788" s="697" t="s">
        <v>1893</v>
      </c>
      <c r="F788" s="697" t="s">
        <v>5689</v>
      </c>
      <c r="G788" s="697" t="s">
        <v>5691</v>
      </c>
      <c r="H788" s="697" t="s">
        <v>5690</v>
      </c>
      <c r="I788" s="697" t="s">
        <v>5684</v>
      </c>
      <c r="J788" s="697">
        <v>3</v>
      </c>
      <c r="K788" s="697" t="s">
        <v>1280</v>
      </c>
    </row>
    <row r="789" spans="1:11">
      <c r="A789" s="1004"/>
      <c r="B789" s="699">
        <v>46137</v>
      </c>
      <c r="C789" s="697" t="s">
        <v>5688</v>
      </c>
      <c r="D789" s="697" t="s">
        <v>14</v>
      </c>
      <c r="E789" s="697" t="s">
        <v>1893</v>
      </c>
      <c r="F789" s="697" t="s">
        <v>5689</v>
      </c>
      <c r="G789" s="697" t="s">
        <v>5691</v>
      </c>
      <c r="H789" s="697" t="s">
        <v>5690</v>
      </c>
      <c r="I789" s="697" t="s">
        <v>5684</v>
      </c>
      <c r="J789" s="697">
        <v>3</v>
      </c>
      <c r="K789" s="697" t="s">
        <v>1280</v>
      </c>
    </row>
    <row r="790" spans="1:11">
      <c r="A790" s="998" t="s">
        <v>1646</v>
      </c>
      <c r="B790" s="998"/>
      <c r="C790" s="998"/>
      <c r="D790" s="998"/>
      <c r="E790" s="998"/>
      <c r="F790" s="998"/>
      <c r="G790" s="998"/>
      <c r="H790" s="998"/>
      <c r="I790" s="998"/>
      <c r="J790" s="645">
        <f>SUM(J782:J789)</f>
        <v>24</v>
      </c>
      <c r="K790" s="686"/>
    </row>
    <row r="793" spans="1:11" ht="22.5">
      <c r="A793" s="639" t="s">
        <v>43</v>
      </c>
      <c r="B793" s="639" t="s">
        <v>1620</v>
      </c>
      <c r="C793" s="640" t="s">
        <v>2</v>
      </c>
      <c r="D793" s="640" t="s">
        <v>3</v>
      </c>
      <c r="E793" s="640" t="s">
        <v>4</v>
      </c>
      <c r="F793" s="640" t="s">
        <v>5</v>
      </c>
      <c r="G793" s="640" t="s">
        <v>6</v>
      </c>
      <c r="H793" s="641" t="s">
        <v>45</v>
      </c>
      <c r="I793" s="640" t="s">
        <v>8</v>
      </c>
      <c r="J793" s="642" t="s">
        <v>46</v>
      </c>
      <c r="K793" s="643" t="s">
        <v>47</v>
      </c>
    </row>
    <row r="794" spans="1:11">
      <c r="A794" s="996" t="s">
        <v>5678</v>
      </c>
      <c r="B794" s="671">
        <v>46148</v>
      </c>
      <c r="C794" s="736" t="s">
        <v>306</v>
      </c>
      <c r="D794" s="736" t="s">
        <v>322</v>
      </c>
      <c r="E794" s="714" t="s">
        <v>5400</v>
      </c>
      <c r="F794" s="714" t="s">
        <v>4939</v>
      </c>
      <c r="G794" s="714" t="s">
        <v>482</v>
      </c>
      <c r="H794" s="715" t="s">
        <v>2979</v>
      </c>
      <c r="I794" s="759" t="s">
        <v>126</v>
      </c>
      <c r="J794" s="716">
        <v>1</v>
      </c>
      <c r="K794" s="645" t="s">
        <v>50</v>
      </c>
    </row>
    <row r="795" spans="1:11">
      <c r="A795" s="997"/>
      <c r="B795" s="671" t="s">
        <v>5665</v>
      </c>
      <c r="C795" s="736" t="s">
        <v>306</v>
      </c>
      <c r="D795" s="736" t="s">
        <v>322</v>
      </c>
      <c r="E795" s="714" t="s">
        <v>5400</v>
      </c>
      <c r="F795" s="714">
        <v>1615</v>
      </c>
      <c r="G795" s="714" t="s">
        <v>482</v>
      </c>
      <c r="H795" s="715" t="s">
        <v>5663</v>
      </c>
      <c r="I795" s="759" t="s">
        <v>1948</v>
      </c>
      <c r="J795" s="716">
        <v>2</v>
      </c>
      <c r="K795" s="645" t="s">
        <v>50</v>
      </c>
    </row>
    <row r="796" spans="1:11">
      <c r="A796" s="997"/>
      <c r="B796" s="675" t="s">
        <v>5765</v>
      </c>
      <c r="C796" s="747" t="s">
        <v>306</v>
      </c>
      <c r="D796" s="747" t="s">
        <v>322</v>
      </c>
      <c r="E796" s="675" t="s">
        <v>5400</v>
      </c>
      <c r="F796" s="675" t="s">
        <v>5766</v>
      </c>
      <c r="G796" s="675" t="s">
        <v>5767</v>
      </c>
      <c r="H796" s="691" t="s">
        <v>5768</v>
      </c>
      <c r="I796" s="747" t="s">
        <v>664</v>
      </c>
      <c r="J796" s="747">
        <v>4</v>
      </c>
      <c r="K796" s="645" t="s">
        <v>50</v>
      </c>
    </row>
    <row r="797" spans="1:11">
      <c r="A797" s="997"/>
      <c r="B797" s="744" t="s">
        <v>5861</v>
      </c>
      <c r="C797" s="745" t="s">
        <v>306</v>
      </c>
      <c r="D797" s="745" t="s">
        <v>322</v>
      </c>
      <c r="E797" s="744" t="s">
        <v>5400</v>
      </c>
      <c r="F797" s="744">
        <v>1615</v>
      </c>
      <c r="G797" s="744" t="s">
        <v>1911</v>
      </c>
      <c r="H797" s="746" t="s">
        <v>1057</v>
      </c>
      <c r="I797" s="747" t="s">
        <v>5447</v>
      </c>
      <c r="J797" s="677">
        <v>1</v>
      </c>
      <c r="K797" s="645" t="s">
        <v>50</v>
      </c>
    </row>
    <row r="798" spans="1:11">
      <c r="A798" s="997"/>
      <c r="B798" s="744" t="s">
        <v>5862</v>
      </c>
      <c r="C798" s="745" t="s">
        <v>306</v>
      </c>
      <c r="D798" s="745" t="s">
        <v>322</v>
      </c>
      <c r="E798" s="744" t="s">
        <v>5400</v>
      </c>
      <c r="F798" s="744">
        <v>1571</v>
      </c>
      <c r="G798" s="744" t="s">
        <v>1911</v>
      </c>
      <c r="H798" s="746" t="s">
        <v>5863</v>
      </c>
      <c r="I798" s="747" t="s">
        <v>5447</v>
      </c>
      <c r="J798" s="677">
        <v>2</v>
      </c>
      <c r="K798" s="645" t="s">
        <v>50</v>
      </c>
    </row>
    <row r="799" spans="1:11">
      <c r="A799" s="997"/>
      <c r="B799" s="744" t="s">
        <v>5866</v>
      </c>
      <c r="C799" s="745" t="s">
        <v>306</v>
      </c>
      <c r="D799" s="745" t="s">
        <v>322</v>
      </c>
      <c r="E799" s="744" t="s">
        <v>5400</v>
      </c>
      <c r="F799" s="744" t="s">
        <v>5766</v>
      </c>
      <c r="G799" s="744" t="s">
        <v>1047</v>
      </c>
      <c r="H799" s="746" t="s">
        <v>5863</v>
      </c>
      <c r="I799" s="747" t="s">
        <v>5447</v>
      </c>
      <c r="J799" s="677">
        <v>2</v>
      </c>
      <c r="K799" s="645" t="s">
        <v>50</v>
      </c>
    </row>
    <row r="800" spans="1:11">
      <c r="A800" s="997"/>
      <c r="B800" s="671" t="s">
        <v>5852</v>
      </c>
      <c r="C800" s="659" t="s">
        <v>19</v>
      </c>
      <c r="D800" s="659" t="s">
        <v>25</v>
      </c>
      <c r="E800" s="744" t="s">
        <v>5839</v>
      </c>
      <c r="F800" s="660" t="s">
        <v>5848</v>
      </c>
      <c r="G800" s="663" t="s">
        <v>331</v>
      </c>
      <c r="H800" s="750" t="s">
        <v>5854</v>
      </c>
      <c r="I800" s="747" t="s">
        <v>664</v>
      </c>
      <c r="J800" s="750">
        <v>2</v>
      </c>
      <c r="K800" s="645" t="s">
        <v>50</v>
      </c>
    </row>
    <row r="801" spans="1:11">
      <c r="A801" s="997"/>
      <c r="B801" s="671">
        <v>46171</v>
      </c>
      <c r="C801" s="659" t="s">
        <v>19</v>
      </c>
      <c r="D801" s="659" t="s">
        <v>25</v>
      </c>
      <c r="E801" s="744" t="s">
        <v>5839</v>
      </c>
      <c r="F801" s="660" t="s">
        <v>5848</v>
      </c>
      <c r="G801" s="744" t="s">
        <v>18</v>
      </c>
      <c r="H801" s="746" t="s">
        <v>5851</v>
      </c>
      <c r="I801" s="747" t="s">
        <v>664</v>
      </c>
      <c r="J801" s="750">
        <v>2</v>
      </c>
      <c r="K801" s="645" t="s">
        <v>50</v>
      </c>
    </row>
    <row r="802" spans="1:11">
      <c r="A802" s="998" t="s">
        <v>1646</v>
      </c>
      <c r="B802" s="998"/>
      <c r="C802" s="998"/>
      <c r="D802" s="998"/>
      <c r="E802" s="998"/>
      <c r="F802" s="998"/>
      <c r="G802" s="998"/>
      <c r="H802" s="998"/>
      <c r="I802" s="998"/>
      <c r="J802" s="645">
        <f>SUM(J794:J801)</f>
        <v>16</v>
      </c>
      <c r="K802" s="686"/>
    </row>
    <row r="805" spans="1:11" ht="22.5">
      <c r="A805" s="639" t="s">
        <v>43</v>
      </c>
      <c r="B805" s="639" t="s">
        <v>1620</v>
      </c>
      <c r="C805" s="640" t="s">
        <v>2</v>
      </c>
      <c r="D805" s="640" t="s">
        <v>3</v>
      </c>
      <c r="E805" s="640" t="s">
        <v>4</v>
      </c>
      <c r="F805" s="640" t="s">
        <v>5</v>
      </c>
      <c r="G805" s="640" t="s">
        <v>6</v>
      </c>
      <c r="H805" s="641" t="s">
        <v>45</v>
      </c>
      <c r="I805" s="640" t="s">
        <v>8</v>
      </c>
      <c r="J805" s="642" t="s">
        <v>46</v>
      </c>
      <c r="K805" s="643" t="s">
        <v>47</v>
      </c>
    </row>
    <row r="806" spans="1:11">
      <c r="A806" s="999" t="s">
        <v>5985</v>
      </c>
      <c r="B806" s="690">
        <v>46140</v>
      </c>
      <c r="C806" s="747" t="s">
        <v>21</v>
      </c>
      <c r="D806" s="747" t="s">
        <v>14</v>
      </c>
      <c r="E806" s="749" t="s">
        <v>78</v>
      </c>
      <c r="F806" s="751" t="s">
        <v>3008</v>
      </c>
      <c r="G806" s="674" t="s">
        <v>1382</v>
      </c>
      <c r="H806" s="751" t="s">
        <v>5986</v>
      </c>
      <c r="I806" s="749" t="s">
        <v>202</v>
      </c>
      <c r="J806" s="749">
        <v>1</v>
      </c>
      <c r="K806" s="645" t="s">
        <v>50</v>
      </c>
    </row>
    <row r="807" spans="1:11">
      <c r="A807" s="1000"/>
      <c r="B807" s="690">
        <v>46148</v>
      </c>
      <c r="C807" s="645" t="s">
        <v>21</v>
      </c>
      <c r="D807" s="645" t="s">
        <v>14</v>
      </c>
      <c r="E807" s="748" t="s">
        <v>107</v>
      </c>
      <c r="F807" s="684" t="s">
        <v>2959</v>
      </c>
      <c r="G807" s="647" t="s">
        <v>143</v>
      </c>
      <c r="H807" s="748" t="s">
        <v>5570</v>
      </c>
      <c r="I807" s="684" t="s">
        <v>126</v>
      </c>
      <c r="J807" s="684">
        <v>1</v>
      </c>
      <c r="K807" s="645" t="s">
        <v>50</v>
      </c>
    </row>
    <row r="808" spans="1:11">
      <c r="A808" s="1000"/>
      <c r="B808" s="690">
        <v>46149</v>
      </c>
      <c r="C808" s="645" t="s">
        <v>21</v>
      </c>
      <c r="D808" s="645" t="s">
        <v>14</v>
      </c>
      <c r="E808" s="748" t="s">
        <v>107</v>
      </c>
      <c r="F808" s="684" t="s">
        <v>2959</v>
      </c>
      <c r="G808" s="647" t="s">
        <v>143</v>
      </c>
      <c r="H808" s="748" t="s">
        <v>5570</v>
      </c>
      <c r="I808" s="684" t="s">
        <v>126</v>
      </c>
      <c r="J808" s="684">
        <v>1</v>
      </c>
      <c r="K808" s="645" t="s">
        <v>50</v>
      </c>
    </row>
    <row r="809" spans="1:11" ht="22.5">
      <c r="A809" s="1000"/>
      <c r="B809" s="690">
        <v>46150</v>
      </c>
      <c r="C809" s="747" t="s">
        <v>21</v>
      </c>
      <c r="D809" s="747" t="s">
        <v>14</v>
      </c>
      <c r="E809" s="749" t="s">
        <v>1787</v>
      </c>
      <c r="F809" s="749" t="s">
        <v>2817</v>
      </c>
      <c r="G809" s="674" t="s">
        <v>67</v>
      </c>
      <c r="H809" s="751" t="s">
        <v>5987</v>
      </c>
      <c r="I809" s="749" t="s">
        <v>120</v>
      </c>
      <c r="J809" s="751">
        <v>1</v>
      </c>
      <c r="K809" s="645" t="s">
        <v>50</v>
      </c>
    </row>
    <row r="810" spans="1:11">
      <c r="A810" s="1000"/>
      <c r="B810" s="675" t="s">
        <v>5867</v>
      </c>
      <c r="C810" s="686" t="s">
        <v>311</v>
      </c>
      <c r="D810" s="686" t="s">
        <v>320</v>
      </c>
      <c r="E810" s="691" t="s">
        <v>337</v>
      </c>
      <c r="F810" s="691" t="s">
        <v>3168</v>
      </c>
      <c r="G810" s="691" t="s">
        <v>3169</v>
      </c>
      <c r="H810" s="675" t="s">
        <v>5988</v>
      </c>
      <c r="I810" s="675" t="s">
        <v>5869</v>
      </c>
      <c r="J810" s="675">
        <v>1</v>
      </c>
      <c r="K810" s="645" t="s">
        <v>50</v>
      </c>
    </row>
    <row r="811" spans="1:11">
      <c r="A811" s="1000"/>
      <c r="B811" s="675" t="s">
        <v>5861</v>
      </c>
      <c r="C811" s="686" t="s">
        <v>311</v>
      </c>
      <c r="D811" s="686" t="s">
        <v>320</v>
      </c>
      <c r="E811" s="691" t="s">
        <v>5188</v>
      </c>
      <c r="F811" s="691" t="s">
        <v>1919</v>
      </c>
      <c r="G811" s="691" t="s">
        <v>347</v>
      </c>
      <c r="H811" s="691" t="s">
        <v>5753</v>
      </c>
      <c r="I811" s="691"/>
      <c r="J811" s="691">
        <v>2</v>
      </c>
      <c r="K811" s="645" t="s">
        <v>50</v>
      </c>
    </row>
    <row r="812" spans="1:11">
      <c r="A812" s="998" t="s">
        <v>1646</v>
      </c>
      <c r="B812" s="998"/>
      <c r="C812" s="998"/>
      <c r="D812" s="998"/>
      <c r="E812" s="998"/>
      <c r="F812" s="998"/>
      <c r="G812" s="998"/>
      <c r="H812" s="998"/>
      <c r="I812" s="998"/>
      <c r="J812" s="645">
        <f>SUM(J806:J811)</f>
        <v>7</v>
      </c>
      <c r="K812" s="686"/>
    </row>
    <row r="816" spans="1:11" ht="22.5">
      <c r="A816" s="639" t="s">
        <v>43</v>
      </c>
      <c r="B816" s="639" t="s">
        <v>1620</v>
      </c>
      <c r="C816" s="640" t="s">
        <v>2</v>
      </c>
      <c r="D816" s="640" t="s">
        <v>3</v>
      </c>
      <c r="E816" s="640" t="s">
        <v>4</v>
      </c>
      <c r="F816" s="640" t="s">
        <v>5</v>
      </c>
      <c r="G816" s="640" t="s">
        <v>6</v>
      </c>
      <c r="H816" s="641" t="s">
        <v>45</v>
      </c>
      <c r="I816" s="640" t="s">
        <v>8</v>
      </c>
      <c r="J816" s="642" t="s">
        <v>46</v>
      </c>
      <c r="K816" s="643" t="s">
        <v>47</v>
      </c>
    </row>
    <row r="817" spans="1:12">
      <c r="A817" s="805" t="s">
        <v>5991</v>
      </c>
      <c r="B817" s="690">
        <v>46153</v>
      </c>
      <c r="C817" s="645" t="s">
        <v>21</v>
      </c>
      <c r="D817" s="645" t="s">
        <v>14</v>
      </c>
      <c r="E817" s="684" t="s">
        <v>1893</v>
      </c>
      <c r="F817" s="684" t="s">
        <v>4939</v>
      </c>
      <c r="G817" s="647" t="s">
        <v>2193</v>
      </c>
      <c r="H817" s="751" t="s">
        <v>5989</v>
      </c>
      <c r="I817" s="749" t="s">
        <v>202</v>
      </c>
      <c r="J817" s="749">
        <v>2</v>
      </c>
      <c r="K817" s="645" t="s">
        <v>50</v>
      </c>
    </row>
    <row r="818" spans="1:12">
      <c r="A818" s="805"/>
      <c r="B818" s="690">
        <v>46154</v>
      </c>
      <c r="C818" s="645" t="s">
        <v>21</v>
      </c>
      <c r="D818" s="645" t="s">
        <v>14</v>
      </c>
      <c r="E818" s="684" t="s">
        <v>1893</v>
      </c>
      <c r="F818" s="684" t="s">
        <v>4939</v>
      </c>
      <c r="G818" s="647" t="s">
        <v>2193</v>
      </c>
      <c r="H818" s="751" t="s">
        <v>5990</v>
      </c>
      <c r="I818" s="749" t="s">
        <v>202</v>
      </c>
      <c r="J818" s="749">
        <v>2</v>
      </c>
      <c r="K818" s="645" t="s">
        <v>50</v>
      </c>
    </row>
    <row r="819" spans="1:12">
      <c r="A819" s="998" t="s">
        <v>1646</v>
      </c>
      <c r="B819" s="998"/>
      <c r="C819" s="998"/>
      <c r="D819" s="998"/>
      <c r="E819" s="998"/>
      <c r="F819" s="998"/>
      <c r="G819" s="998"/>
      <c r="H819" s="998"/>
      <c r="I819" s="998"/>
      <c r="J819" s="645">
        <f>SUM(J813:J818)</f>
        <v>4</v>
      </c>
      <c r="K819" s="686"/>
    </row>
    <row r="823" spans="1:12" s="763" customFormat="1" ht="22.5">
      <c r="A823" s="639" t="s">
        <v>43</v>
      </c>
      <c r="B823" s="639" t="s">
        <v>1620</v>
      </c>
      <c r="C823" s="640" t="s">
        <v>2</v>
      </c>
      <c r="D823" s="640" t="s">
        <v>3</v>
      </c>
      <c r="E823" s="640" t="s">
        <v>4</v>
      </c>
      <c r="F823" s="640" t="s">
        <v>5</v>
      </c>
      <c r="G823" s="640" t="s">
        <v>6</v>
      </c>
      <c r="H823" s="641" t="s">
        <v>45</v>
      </c>
      <c r="I823" s="640" t="s">
        <v>8</v>
      </c>
      <c r="J823" s="642" t="s">
        <v>46</v>
      </c>
      <c r="K823" s="643" t="s">
        <v>47</v>
      </c>
      <c r="L823" s="762"/>
    </row>
    <row r="824" spans="1:12" s="763" customFormat="1" ht="11.25">
      <c r="A824" s="1001" t="s">
        <v>6000</v>
      </c>
      <c r="B824" s="690">
        <v>46139</v>
      </c>
      <c r="C824" s="747" t="s">
        <v>306</v>
      </c>
      <c r="D824" s="747" t="s">
        <v>322</v>
      </c>
      <c r="E824" s="675" t="s">
        <v>5400</v>
      </c>
      <c r="F824" s="675">
        <v>1571</v>
      </c>
      <c r="G824" s="675" t="s">
        <v>482</v>
      </c>
      <c r="H824" s="691" t="s">
        <v>2962</v>
      </c>
      <c r="I824" s="747" t="s">
        <v>126</v>
      </c>
      <c r="J824" s="747">
        <v>1</v>
      </c>
      <c r="K824" s="645" t="s">
        <v>50</v>
      </c>
      <c r="L824" s="762"/>
    </row>
    <row r="825" spans="1:12" s="763" customFormat="1" ht="11.25">
      <c r="A825" s="1002"/>
      <c r="B825" s="690" t="s">
        <v>5615</v>
      </c>
      <c r="C825" s="747" t="s">
        <v>306</v>
      </c>
      <c r="D825" s="747" t="s">
        <v>322</v>
      </c>
      <c r="E825" s="675" t="s">
        <v>5400</v>
      </c>
      <c r="F825" s="675">
        <v>1615</v>
      </c>
      <c r="G825" s="675" t="s">
        <v>482</v>
      </c>
      <c r="H825" s="691" t="s">
        <v>5616</v>
      </c>
      <c r="I825" s="747"/>
      <c r="J825" s="747">
        <v>2</v>
      </c>
      <c r="K825" s="645" t="s">
        <v>50</v>
      </c>
      <c r="L825" s="762"/>
    </row>
    <row r="826" spans="1:12" s="763" customFormat="1" ht="11.25">
      <c r="A826" s="1002"/>
      <c r="B826" s="690" t="s">
        <v>5600</v>
      </c>
      <c r="C826" s="747" t="s">
        <v>306</v>
      </c>
      <c r="D826" s="747" t="s">
        <v>322</v>
      </c>
      <c r="E826" s="675" t="s">
        <v>5400</v>
      </c>
      <c r="F826" s="675" t="s">
        <v>5572</v>
      </c>
      <c r="G826" s="675" t="s">
        <v>102</v>
      </c>
      <c r="H826" s="691" t="s">
        <v>5613</v>
      </c>
      <c r="I826" s="747" t="s">
        <v>1534</v>
      </c>
      <c r="J826" s="645">
        <v>2</v>
      </c>
      <c r="K826" s="645" t="s">
        <v>50</v>
      </c>
      <c r="L826" s="762"/>
    </row>
    <row r="827" spans="1:12" s="763" customFormat="1" ht="11.25">
      <c r="A827" s="1002"/>
      <c r="B827" s="690">
        <v>46148</v>
      </c>
      <c r="C827" s="747" t="s">
        <v>306</v>
      </c>
      <c r="D827" s="747" t="s">
        <v>322</v>
      </c>
      <c r="E827" s="675" t="s">
        <v>5400</v>
      </c>
      <c r="F827" s="675" t="s">
        <v>4939</v>
      </c>
      <c r="G827" s="675" t="s">
        <v>482</v>
      </c>
      <c r="H827" s="691" t="s">
        <v>2979</v>
      </c>
      <c r="I827" s="747" t="s">
        <v>126</v>
      </c>
      <c r="J827" s="747">
        <v>2</v>
      </c>
      <c r="K827" s="645" t="s">
        <v>50</v>
      </c>
      <c r="L827" s="762"/>
    </row>
    <row r="828" spans="1:12" s="763" customFormat="1" ht="11.25">
      <c r="A828" s="1002"/>
      <c r="B828" s="690">
        <v>46148</v>
      </c>
      <c r="C828" s="747" t="s">
        <v>306</v>
      </c>
      <c r="D828" s="747" t="s">
        <v>322</v>
      </c>
      <c r="E828" s="675" t="s">
        <v>5400</v>
      </c>
      <c r="F828" s="675" t="s">
        <v>5506</v>
      </c>
      <c r="G828" s="675" t="s">
        <v>18</v>
      </c>
      <c r="H828" s="691" t="s">
        <v>5613</v>
      </c>
      <c r="I828" s="747" t="s">
        <v>1534</v>
      </c>
      <c r="J828" s="747">
        <v>1</v>
      </c>
      <c r="K828" s="645" t="s">
        <v>50</v>
      </c>
      <c r="L828" s="762"/>
    </row>
    <row r="829" spans="1:12" s="763" customFormat="1" ht="11.25">
      <c r="A829" s="1002"/>
      <c r="B829" s="690" t="s">
        <v>5666</v>
      </c>
      <c r="C829" s="747" t="s">
        <v>306</v>
      </c>
      <c r="D829" s="747" t="s">
        <v>322</v>
      </c>
      <c r="E829" s="675" t="s">
        <v>5400</v>
      </c>
      <c r="F829" s="675" t="s">
        <v>5506</v>
      </c>
      <c r="G829" s="675" t="s">
        <v>264</v>
      </c>
      <c r="H829" s="691" t="s">
        <v>5613</v>
      </c>
      <c r="I829" s="747" t="s">
        <v>1534</v>
      </c>
      <c r="J829" s="747">
        <v>2</v>
      </c>
      <c r="K829" s="645" t="s">
        <v>50</v>
      </c>
      <c r="L829" s="762"/>
    </row>
    <row r="830" spans="1:12" s="763" customFormat="1" ht="11.25">
      <c r="A830" s="1002"/>
      <c r="B830" s="675" t="s">
        <v>5759</v>
      </c>
      <c r="C830" s="747" t="s">
        <v>306</v>
      </c>
      <c r="D830" s="747" t="s">
        <v>322</v>
      </c>
      <c r="E830" s="675" t="s">
        <v>5400</v>
      </c>
      <c r="F830" s="675" t="s">
        <v>5760</v>
      </c>
      <c r="G830" s="675" t="s">
        <v>1911</v>
      </c>
      <c r="H830" s="691" t="s">
        <v>4915</v>
      </c>
      <c r="I830" s="747" t="s">
        <v>1534</v>
      </c>
      <c r="J830" s="747">
        <v>3</v>
      </c>
      <c r="K830" s="645" t="s">
        <v>50</v>
      </c>
      <c r="L830" s="762"/>
    </row>
    <row r="831" spans="1:12" s="763" customFormat="1" ht="11.25">
      <c r="A831" s="1002"/>
      <c r="B831" s="675" t="s">
        <v>5764</v>
      </c>
      <c r="C831" s="747" t="s">
        <v>306</v>
      </c>
      <c r="D831" s="747" t="s">
        <v>322</v>
      </c>
      <c r="E831" s="675" t="s">
        <v>5400</v>
      </c>
      <c r="F831" s="675" t="s">
        <v>5760</v>
      </c>
      <c r="G831" s="675" t="s">
        <v>640</v>
      </c>
      <c r="H831" s="691" t="s">
        <v>4915</v>
      </c>
      <c r="I831" s="747" t="s">
        <v>1534</v>
      </c>
      <c r="J831" s="747">
        <v>2</v>
      </c>
      <c r="K831" s="645" t="s">
        <v>50</v>
      </c>
      <c r="L831" s="762"/>
    </row>
    <row r="832" spans="1:12" s="763" customFormat="1" ht="11.25">
      <c r="A832" s="1002"/>
      <c r="B832" s="675" t="s">
        <v>5858</v>
      </c>
      <c r="C832" s="686" t="s">
        <v>306</v>
      </c>
      <c r="D832" s="686" t="s">
        <v>322</v>
      </c>
      <c r="E832" s="675" t="s">
        <v>5400</v>
      </c>
      <c r="F832" s="675" t="s">
        <v>5051</v>
      </c>
      <c r="G832" s="675" t="s">
        <v>4967</v>
      </c>
      <c r="H832" s="691" t="s">
        <v>5859</v>
      </c>
      <c r="I832" s="747" t="s">
        <v>1534</v>
      </c>
      <c r="J832" s="747">
        <v>4</v>
      </c>
      <c r="K832" s="645" t="s">
        <v>50</v>
      </c>
      <c r="L832" s="762"/>
    </row>
    <row r="833" spans="1:12" s="763" customFormat="1" ht="11.25">
      <c r="A833" s="1003"/>
      <c r="B833" s="690">
        <v>46165</v>
      </c>
      <c r="C833" s="645" t="s">
        <v>19</v>
      </c>
      <c r="D833" s="645" t="s">
        <v>25</v>
      </c>
      <c r="E833" s="675" t="s">
        <v>5839</v>
      </c>
      <c r="F833" s="675" t="s">
        <v>5051</v>
      </c>
      <c r="G833" s="675" t="s">
        <v>5841</v>
      </c>
      <c r="H833" s="691" t="s">
        <v>5842</v>
      </c>
      <c r="I833" s="747"/>
      <c r="J833" s="747">
        <v>2</v>
      </c>
      <c r="K833" s="645" t="s">
        <v>50</v>
      </c>
      <c r="L833" s="762"/>
    </row>
    <row r="834" spans="1:12" s="763" customFormat="1" ht="11.25">
      <c r="A834" s="998" t="s">
        <v>1646</v>
      </c>
      <c r="B834" s="998"/>
      <c r="C834" s="998"/>
      <c r="D834" s="998"/>
      <c r="E834" s="998"/>
      <c r="F834" s="998"/>
      <c r="G834" s="998"/>
      <c r="H834" s="998"/>
      <c r="I834" s="998"/>
      <c r="J834" s="645">
        <f>SUM(J824:J833)</f>
        <v>21</v>
      </c>
      <c r="K834" s="686"/>
      <c r="L834" s="762"/>
    </row>
    <row r="835" spans="1:12" s="763" customFormat="1" ht="11.25">
      <c r="L835" s="762"/>
    </row>
    <row r="836" spans="1:12" s="763" customFormat="1" ht="11.25">
      <c r="L836" s="762"/>
    </row>
    <row r="837" spans="1:12" s="763" customFormat="1" ht="22.5">
      <c r="A837" s="639" t="s">
        <v>43</v>
      </c>
      <c r="B837" s="639" t="s">
        <v>1620</v>
      </c>
      <c r="C837" s="640" t="s">
        <v>2</v>
      </c>
      <c r="D837" s="640" t="s">
        <v>3</v>
      </c>
      <c r="E837" s="640" t="s">
        <v>4</v>
      </c>
      <c r="F837" s="640" t="s">
        <v>5</v>
      </c>
      <c r="G837" s="640" t="s">
        <v>6</v>
      </c>
      <c r="H837" s="641" t="s">
        <v>45</v>
      </c>
      <c r="I837" s="640" t="s">
        <v>8</v>
      </c>
      <c r="J837" s="642" t="s">
        <v>46</v>
      </c>
      <c r="K837" s="643" t="s">
        <v>47</v>
      </c>
      <c r="L837" s="762"/>
    </row>
    <row r="838" spans="1:12" s="763" customFormat="1" ht="11.25">
      <c r="A838" s="1001" t="s">
        <v>5657</v>
      </c>
      <c r="B838" s="690">
        <v>46140</v>
      </c>
      <c r="C838" s="747" t="s">
        <v>21</v>
      </c>
      <c r="D838" s="747" t="s">
        <v>14</v>
      </c>
      <c r="E838" s="749" t="s">
        <v>1787</v>
      </c>
      <c r="F838" s="751" t="s">
        <v>5409</v>
      </c>
      <c r="G838" s="674" t="s">
        <v>23</v>
      </c>
      <c r="H838" s="751" t="s">
        <v>5584</v>
      </c>
      <c r="I838" s="749" t="s">
        <v>120</v>
      </c>
      <c r="J838" s="684">
        <v>1</v>
      </c>
      <c r="K838" s="645" t="s">
        <v>50</v>
      </c>
      <c r="L838" s="762"/>
    </row>
    <row r="839" spans="1:12" s="763" customFormat="1" ht="11.25">
      <c r="A839" s="1002"/>
      <c r="B839" s="690">
        <v>46148</v>
      </c>
      <c r="C839" s="645" t="s">
        <v>21</v>
      </c>
      <c r="D839" s="645" t="s">
        <v>14</v>
      </c>
      <c r="E839" s="748" t="s">
        <v>107</v>
      </c>
      <c r="F839" s="684" t="s">
        <v>2959</v>
      </c>
      <c r="G839" s="647" t="s">
        <v>143</v>
      </c>
      <c r="H839" s="748" t="s">
        <v>5570</v>
      </c>
      <c r="I839" s="684" t="s">
        <v>126</v>
      </c>
      <c r="J839" s="684">
        <v>1</v>
      </c>
      <c r="K839" s="645" t="s">
        <v>50</v>
      </c>
      <c r="L839" s="762"/>
    </row>
    <row r="840" spans="1:12" s="763" customFormat="1" ht="11.25">
      <c r="A840" s="1003"/>
      <c r="B840" s="690">
        <v>46149</v>
      </c>
      <c r="C840" s="645" t="s">
        <v>21</v>
      </c>
      <c r="D840" s="645" t="s">
        <v>14</v>
      </c>
      <c r="E840" s="748" t="s">
        <v>107</v>
      </c>
      <c r="F840" s="684" t="s">
        <v>2959</v>
      </c>
      <c r="G840" s="647" t="s">
        <v>143</v>
      </c>
      <c r="H840" s="748" t="s">
        <v>5570</v>
      </c>
      <c r="I840" s="684" t="s">
        <v>126</v>
      </c>
      <c r="J840" s="684">
        <v>1</v>
      </c>
      <c r="K840" s="645" t="s">
        <v>50</v>
      </c>
      <c r="L840" s="762"/>
    </row>
    <row r="841" spans="1:12" s="763" customFormat="1" ht="11.25">
      <c r="A841" s="998" t="s">
        <v>1646</v>
      </c>
      <c r="B841" s="998"/>
      <c r="C841" s="998"/>
      <c r="D841" s="998"/>
      <c r="E841" s="998"/>
      <c r="F841" s="998"/>
      <c r="G841" s="998"/>
      <c r="H841" s="998"/>
      <c r="I841" s="998"/>
      <c r="J841" s="645">
        <f>SUM(J838:J840)</f>
        <v>3</v>
      </c>
      <c r="K841" s="686"/>
      <c r="L841" s="762"/>
    </row>
  </sheetData>
  <autoFilter ref="A349:L357"/>
  <mergeCells count="331"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4">
        <f>C6+D6</f>
        <v>491000</v>
      </c>
      <c r="J8" s="374">
        <f>(C5*2)+60000</f>
        <v>380000</v>
      </c>
      <c r="K8" s="374"/>
      <c r="L8" s="374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4">
        <f>70000*2</f>
        <v>140000</v>
      </c>
      <c r="J9" s="374"/>
      <c r="K9" s="374"/>
      <c r="L9" s="374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67">
        <f>250000*6</f>
        <v>1500000</v>
      </c>
      <c r="J10" s="567"/>
      <c r="K10" s="567">
        <f t="shared" ref="K10" si="0">46875*13</f>
        <v>609375</v>
      </c>
      <c r="L10" s="374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4">
        <v>550000</v>
      </c>
      <c r="J11" s="55"/>
      <c r="K11" s="567"/>
      <c r="L11" s="374">
        <f>SUM(I11:J11)</f>
        <v>550000</v>
      </c>
      <c r="M11" s="55" t="s">
        <v>5375</v>
      </c>
    </row>
    <row r="12" spans="2:13">
      <c r="C12" s="109"/>
      <c r="D12" s="109"/>
      <c r="H12" s="805" t="s">
        <v>5385</v>
      </c>
      <c r="I12" s="805"/>
      <c r="J12" s="805"/>
      <c r="K12" s="805"/>
      <c r="L12" s="56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4">
        <f>(C6*2)+D6</f>
        <v>610000</v>
      </c>
      <c r="J16" s="374">
        <f>C5</f>
        <v>160000</v>
      </c>
      <c r="K16" s="374"/>
      <c r="L16" s="374">
        <f>SUM(I16:J16)</f>
        <v>770000</v>
      </c>
      <c r="M16" s="55" t="s">
        <v>5378</v>
      </c>
    </row>
    <row r="17" spans="1:13">
      <c r="H17" s="55" t="s">
        <v>5381</v>
      </c>
      <c r="I17" s="374">
        <f>70000*2</f>
        <v>140000</v>
      </c>
      <c r="J17" s="374"/>
      <c r="K17" s="374"/>
      <c r="L17" s="374">
        <f>SUM(I17:J17)</f>
        <v>140000</v>
      </c>
      <c r="M17" s="55" t="s">
        <v>5390</v>
      </c>
    </row>
    <row r="18" spans="1:13">
      <c r="H18" s="55" t="s">
        <v>5373</v>
      </c>
      <c r="I18" s="567">
        <f>250000*8</f>
        <v>2000000</v>
      </c>
      <c r="J18" s="567"/>
      <c r="K18" s="567">
        <f>46875*4</f>
        <v>187500</v>
      </c>
      <c r="L18" s="374">
        <f>SUM(I18:K18)</f>
        <v>2187500</v>
      </c>
      <c r="M18" s="55" t="s">
        <v>5382</v>
      </c>
    </row>
    <row r="19" spans="1:13">
      <c r="H19" s="55" t="s">
        <v>5374</v>
      </c>
      <c r="I19" s="374">
        <v>550000</v>
      </c>
      <c r="J19" s="55"/>
      <c r="K19" s="55"/>
      <c r="L19" s="374">
        <f>SUM(I19:J19)</f>
        <v>550000</v>
      </c>
      <c r="M19" s="55" t="s">
        <v>5375</v>
      </c>
    </row>
    <row r="20" spans="1:13">
      <c r="H20" s="805" t="s">
        <v>5386</v>
      </c>
      <c r="I20" s="805"/>
      <c r="J20" s="805"/>
      <c r="K20" s="805"/>
      <c r="L20" s="568">
        <f>SUM(L16:L19)</f>
        <v>3647500</v>
      </c>
    </row>
    <row r="22" spans="1:13">
      <c r="H22" s="569" t="s">
        <v>5389</v>
      </c>
      <c r="I22" s="568">
        <f>L12-L20</f>
        <v>22875</v>
      </c>
    </row>
    <row r="23" spans="1:13">
      <c r="A23" s="786" t="s">
        <v>2</v>
      </c>
      <c r="B23" s="786" t="s">
        <v>6129</v>
      </c>
      <c r="C23" s="786" t="s">
        <v>6130</v>
      </c>
    </row>
    <row r="24" spans="1:13">
      <c r="A24" s="786" t="s">
        <v>6131</v>
      </c>
      <c r="B24" s="785">
        <v>10500000</v>
      </c>
      <c r="C24" s="786" t="s">
        <v>6132</v>
      </c>
    </row>
    <row r="25" spans="1:13">
      <c r="A25" s="786" t="s">
        <v>6133</v>
      </c>
      <c r="B25" s="785">
        <v>4500000</v>
      </c>
      <c r="C25" s="786" t="s">
        <v>6134</v>
      </c>
    </row>
    <row r="26" spans="1:13">
      <c r="A26" s="786" t="s">
        <v>6135</v>
      </c>
      <c r="B26" s="785">
        <v>15000000</v>
      </c>
      <c r="C26" s="786" t="s">
        <v>6136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1076" t="s">
        <v>6158</v>
      </c>
      <c r="E4" s="1072" t="s">
        <v>6159</v>
      </c>
      <c r="F4" s="1072" t="s">
        <v>6</v>
      </c>
      <c r="G4" s="1072" t="s">
        <v>6160</v>
      </c>
      <c r="H4" s="1072" t="s">
        <v>6161</v>
      </c>
      <c r="I4" s="1072" t="s">
        <v>6162</v>
      </c>
    </row>
    <row r="5" spans="4:9" ht="66">
      <c r="D5" s="1077">
        <v>5</v>
      </c>
      <c r="E5" s="1074">
        <v>45701</v>
      </c>
      <c r="F5" s="1075" t="s">
        <v>6163</v>
      </c>
      <c r="G5" s="1075" t="s">
        <v>6164</v>
      </c>
      <c r="H5" s="1075" t="s">
        <v>6165</v>
      </c>
      <c r="I5" s="1075" t="s">
        <v>6166</v>
      </c>
    </row>
    <row r="6" spans="4:9" ht="82.5">
      <c r="D6" s="1077">
        <v>51</v>
      </c>
      <c r="E6" s="1074">
        <v>45746</v>
      </c>
      <c r="F6" s="1075" t="s">
        <v>6167</v>
      </c>
      <c r="G6" s="1075" t="s">
        <v>6168</v>
      </c>
      <c r="H6" s="1075" t="s">
        <v>6169</v>
      </c>
      <c r="I6" s="1075" t="s">
        <v>6170</v>
      </c>
    </row>
    <row r="7" spans="4:9" ht="49.5">
      <c r="D7" s="1077">
        <v>61</v>
      </c>
      <c r="E7" s="1074">
        <v>45783</v>
      </c>
      <c r="F7" s="1075" t="s">
        <v>6171</v>
      </c>
      <c r="G7" s="1075" t="s">
        <v>6172</v>
      </c>
      <c r="H7" s="1075" t="s">
        <v>6173</v>
      </c>
      <c r="I7" s="1075" t="s">
        <v>6174</v>
      </c>
    </row>
    <row r="8" spans="4:9" ht="66">
      <c r="D8" s="1077">
        <v>87</v>
      </c>
      <c r="E8" s="1074">
        <v>45859</v>
      </c>
      <c r="F8" s="1075" t="s">
        <v>6175</v>
      </c>
      <c r="G8" s="1075" t="s">
        <v>6176</v>
      </c>
      <c r="H8" s="1075" t="s">
        <v>6177</v>
      </c>
      <c r="I8" s="1075" t="s">
        <v>6178</v>
      </c>
    </row>
    <row r="9" spans="4:9" ht="49.5">
      <c r="D9" s="1077">
        <v>88</v>
      </c>
      <c r="E9" s="1074">
        <v>45859</v>
      </c>
      <c r="F9" s="1075" t="s">
        <v>6179</v>
      </c>
      <c r="G9" s="1075" t="s">
        <v>6180</v>
      </c>
      <c r="H9" s="1075" t="s">
        <v>6181</v>
      </c>
      <c r="I9" s="1075" t="s">
        <v>6182</v>
      </c>
    </row>
    <row r="10" spans="4:9" ht="33">
      <c r="D10" s="1077">
        <v>96</v>
      </c>
      <c r="E10" s="1074">
        <v>45872</v>
      </c>
      <c r="F10" s="1075" t="s">
        <v>6183</v>
      </c>
      <c r="G10" s="1075" t="s">
        <v>6184</v>
      </c>
      <c r="H10" s="1075" t="s">
        <v>6185</v>
      </c>
      <c r="I10" s="1075" t="s">
        <v>6186</v>
      </c>
    </row>
    <row r="11" spans="4:9" ht="49.5">
      <c r="D11" s="1077">
        <v>114</v>
      </c>
      <c r="E11" s="1074">
        <v>45899</v>
      </c>
      <c r="F11" s="1075" t="s">
        <v>6183</v>
      </c>
      <c r="G11" s="1075" t="s">
        <v>6187</v>
      </c>
      <c r="H11" s="1075" t="s">
        <v>6188</v>
      </c>
      <c r="I11" s="1075" t="s">
        <v>6189</v>
      </c>
    </row>
    <row r="12" spans="4:9" ht="49.5">
      <c r="D12" s="1077">
        <v>130</v>
      </c>
      <c r="E12" s="1073" t="s">
        <v>6190</v>
      </c>
      <c r="F12" s="1075" t="s">
        <v>6191</v>
      </c>
      <c r="G12" s="1075" t="s">
        <v>6192</v>
      </c>
      <c r="H12" s="1075" t="s">
        <v>6193</v>
      </c>
      <c r="I12" s="1075" t="s">
        <v>6194</v>
      </c>
    </row>
    <row r="13" spans="4:9" ht="33">
      <c r="D13" s="1077">
        <v>150</v>
      </c>
      <c r="E13" s="1073" t="s">
        <v>6190</v>
      </c>
      <c r="F13" s="1075" t="s">
        <v>6195</v>
      </c>
      <c r="G13" s="1075" t="s">
        <v>6196</v>
      </c>
      <c r="H13" s="1075" t="s">
        <v>6197</v>
      </c>
      <c r="I13" s="1075" t="s">
        <v>6198</v>
      </c>
    </row>
    <row r="14" spans="4:9" ht="33">
      <c r="D14" s="1077">
        <v>158</v>
      </c>
      <c r="E14" s="1073" t="s">
        <v>6190</v>
      </c>
      <c r="F14" s="1075" t="s">
        <v>6199</v>
      </c>
      <c r="G14" s="1075" t="s">
        <v>6200</v>
      </c>
      <c r="H14" s="1075" t="s">
        <v>6201</v>
      </c>
      <c r="I14" s="1075" t="s">
        <v>6202</v>
      </c>
    </row>
    <row r="15" spans="4:9" ht="66">
      <c r="D15" s="1077">
        <v>166</v>
      </c>
      <c r="E15" s="1074">
        <v>46051</v>
      </c>
      <c r="F15" s="1075" t="s">
        <v>6203</v>
      </c>
      <c r="G15" s="1075" t="s">
        <v>6204</v>
      </c>
      <c r="H15" s="1075" t="s">
        <v>6205</v>
      </c>
      <c r="I15" s="1075" t="s">
        <v>6206</v>
      </c>
    </row>
    <row r="16" spans="4:9" ht="49.5">
      <c r="D16" s="1077">
        <v>168</v>
      </c>
      <c r="E16" s="1073" t="s">
        <v>6190</v>
      </c>
      <c r="F16" s="1075" t="s">
        <v>6207</v>
      </c>
      <c r="G16" s="1075" t="s">
        <v>6208</v>
      </c>
      <c r="H16" s="1075" t="s">
        <v>6209</v>
      </c>
      <c r="I16" s="1075" t="s">
        <v>6210</v>
      </c>
    </row>
    <row r="17" spans="4:9" ht="33">
      <c r="D17" s="1077">
        <v>176</v>
      </c>
      <c r="E17" s="1073" t="s">
        <v>6190</v>
      </c>
      <c r="F17" s="1075" t="s">
        <v>6211</v>
      </c>
      <c r="G17" s="1075" t="s">
        <v>6212</v>
      </c>
      <c r="H17" s="1075" t="s">
        <v>6213</v>
      </c>
      <c r="I17" s="1075" t="s">
        <v>6214</v>
      </c>
    </row>
    <row r="18" spans="4:9" ht="49.5">
      <c r="D18" s="1077">
        <v>177</v>
      </c>
      <c r="E18" s="1073" t="s">
        <v>6190</v>
      </c>
      <c r="F18" s="1075" t="s">
        <v>6215</v>
      </c>
      <c r="G18" s="1075" t="s">
        <v>6216</v>
      </c>
      <c r="H18" s="1075" t="s">
        <v>6217</v>
      </c>
      <c r="I18" s="1075" t="s">
        <v>6218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2026-05-29T05:07:55Z</cp:lastPrinted>
  <dcterms:created xsi:type="dcterms:W3CDTF">2022-12-21T07:00:17Z</dcterms:created>
  <dcterms:modified xsi:type="dcterms:W3CDTF">2026-06-18T06:07:58Z</dcterms:modified>
</cp:coreProperties>
</file>