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0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<sst xmlns="http://schemas.openxmlformats.org/spreadsheetml/2006/main" count="19728" uniqueCount="5452">
  <si>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</si>
  <si>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</si>
  <si>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</si>
  <si>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</si>
  <si>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</si>
  <si>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</si>
  <si>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</si>
  <si>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</si>
  <si>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</si>
  <si>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</si>
  <si>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</si>
  <si>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</si>
  <si>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</si>
  <si>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</si>
  <si>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</si>
  <si>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</si>
  <si>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</si>
  <si>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</si>
  <si>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</si>
  <si>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</si>
  <si>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</si>
  <si>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</si>
  <si>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</si>
  <si>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</si>
  <si>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</si>
  <si>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</si>
  <si>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</si>
  <si>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</si>
  <si>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</si>
  <si>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</si>
  <si>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</si>
  <si>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</si>
  <si>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</si>
  <si>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</si>
  <si>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</si>
  <si>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</si>
  <si>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</si>
  <si>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</si>
  <si>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</si>
  <si>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</si>
  <si>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</si>
  <si>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</si>
  <si>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</si>
  <si>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</si>
  <si>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</si>
  <si>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</si>
  <si>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</si>
  <si>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</si>
  <si>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</si>
  <si>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</si>
  <si>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</si>
  <si>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</si>
  <si>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</si>
  <si>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</si>
  <si>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</si>
  <si>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</si>
  <si>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</si>
  <si>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</si>
  <si>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</si>
  <si>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</si>
  <si>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</si>
  <si>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</si>
  <si>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</si>
  <si>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</si>
  <si>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</si>
  <si>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</si>
  <si>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</si>
  <si>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</si>
  <si>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</si>
  <si>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</si>
  <si>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</si>
  <si>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</si>
  <si>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</si>
  <si>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</si>
  <si>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</si>
  <si>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</si>
  <si>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</si>
  <si>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</si>
  <si>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</si>
  <si>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</si>
  <si>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</si>
  <si>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</si>
  <si>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</si>
  <si>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</si>
  <si>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</si>
  <si>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</si>
  <si>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</si>
  <si>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</si>
  <si>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</si>
  <si>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</si>
  <si>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</si>
  <si>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</si>
  <si>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</si>
  <si>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</si>
  <si>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</si>
  <si>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</si>
  <si>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</si>
  <si>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</si>
  <si>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</si>
  <si>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</si>
  <si>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</si>
  <si>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</si>
  <si>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</si>
  <si>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</si>
  <si>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</si>
  <si>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</si>
  <si>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</si>
  <si>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</si>
  <si>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</si>
  <si>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</si>
  <si>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</si>
  <si>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</si>
  <si>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</si>
  <si>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</si>
  <si>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</si>
  <si>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</si>
  <si>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</si>
  <si>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</si>
  <si>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</si>
  <si>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</si>
  <si>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</si>
  <si>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</si>
  <si>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</si>
  <si>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</si>
  <si>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</si>
  <si>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</si>
  <si>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</si>
  <si>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</si>
  <si>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</si>
  <si>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</si>
  <si>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</si>
  <si>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</si>
  <si>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</si>
  <si>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</si>
  <si>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</si>
  <si>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</si>
  <si>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</si>
  <si>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</si>
  <si>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</si>
  <si>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</si>
  <si>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</si>
  <si>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</si>
  <si>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</si>
  <si>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</si>
  <si>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</si>
  <si>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</si>
  <si>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</si>
  <si>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</si>
  <si>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</si>
  <si>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</si>
  <si>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</si>
  <si>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</si>
  <si>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</si>
  <si>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</si>
  <si>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</si>
  <si>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</si>
  <si>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</si>
  <si>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</si>
  <si>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</si>
  <si>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</si>
  <si>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</si>
  <si>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</si>
  <si>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</si>
  <si>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</si>
  <si>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</si>
  <si>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</si>
  <si>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</si>
  <si>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</si>
  <si>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</si>
  <si>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</si>
  <si>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</si>
  <si>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</si>
  <si>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</si>
  <si>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</si>
  <si>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</si>
  <si>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</si>
  <si>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</si>
  <si>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</si>
  <si>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</si>
  <si>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</si>
  <si>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</si>
  <si>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</si>
  <si>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</si>
  <si>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</si>
  <si>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</si>
  <si>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</si>
  <si>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</si>
  <si>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</si>
  <si>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</si>
  <si>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</si>
  <si>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</si>
  <si>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</si>
  <si>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</si>
  <si>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</si>
  <si>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</si>
  <si>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</si>
  <si>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</si>
  <si>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</si>
  <si>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</si>
  <si>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</si>
  <si>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</si>
  <si>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</si>
  <si>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</si>
  <si>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</si>
  <si>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</si>
  <si>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</si>
  <si>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</si>
  <si>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</si>
  <si>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</si>
  <si>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</si>
  <si>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</si>
  <si>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</si>
  <si>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</si>
  <si>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</si>
  <si>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</si>
  <si>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</si>
  <si>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</si>
  <si>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</si>
  <si>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</si>
  <si>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</si>
  <si>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</si>
  <si>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</si>
  <si>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</si>
  <si>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</si>
  <si>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</si>
  <si>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</si>
  <si>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</si>
  <si>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</si>
  <si>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</si>
  <si>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</si>
  <si>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</si>
  <si>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</si>
  <si>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</si>
  <si>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</si>
  <si>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</si>
  <si>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</si>
  <si>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</si>
  <si>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</si>
  <si>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</si>
  <si>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</si>
  <si>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</si>
  <si>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</si>
  <si>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</si>
  <si>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</si>
  <si>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</si>
  <si>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</si>
  <si>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</si>
  <si>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</si>
  <si>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</si>
  <si>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</si>
  <si>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</si>
  <si>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</si>
  <si>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</si>
  <si>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</si>
  <si>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</si>
  <si>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</si>
  <si>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</si>
  <si>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</si>
  <si>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</si>
  <si>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</si>
  <si>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</si>
  <si>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</si>
  <si>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</si>
  <si>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</si>
  <si>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</si>
  <si>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</si>
  <si>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</si>
  <si>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</si>
  <si>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</si>
  <si>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</si>
  <si>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</si>
  <si>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</si>
  <si>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</si>
  <si>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</si>
  <si>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</si>
  <si>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</si>
  <si>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</si>
  <si>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</si>
  <si>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</si>
  <si>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</si>
  <si>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</si>
  <si>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</si>
  <si>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</si>
  <si>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</si>
  <si>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</si>
  <si>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</si>
  <si>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</si>
  <si>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</si>
  <si>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</si>
  <si>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</si>
  <si>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</si>
  <si>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</si>
  <si>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</si>
  <si>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</si>
  <si>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</si>
  <si>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</si>
  <si>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</si>
  <si>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</si>
  <si>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</si>
  <si>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</si>
  <si>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</si>
  <si>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</si>
  <si>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</si>
  <si>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</si>
  <si>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</si>
  <si>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</si>
  <si>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</si>
  <si>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</si>
  <si>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</si>
  <si>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</si>
  <si>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</si>
  <si>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</si>
  <si>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</si>
  <si>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</si>
  <si>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</si>
  <si>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</si>
  <si>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</si>
  <si>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</si>
  <si>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</si>
  <si>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</si>
  <si>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</si>
  <si>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</si>
  <si>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</si>
  <si>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</si>
  <si>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</si>
  <si>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</si>
  <si>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</si>
  <si>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</si>
  <si>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</si>
  <si>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</si>
  <si>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</si>
  <si>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</si>
  <si>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</si>
  <si>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</si>
  <si>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</si>
  <si>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</si>
  <si>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</si>
  <si>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</si>
  <si>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</si>
  <si>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</si>
  <si>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</si>
  <si>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</si>
  <si>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</si>
  <si>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</si>
  <si>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</si>
  <si>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</si>
  <si>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</si>
  <si>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</si>
  <si>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</si>
  <si>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</si>
  <si>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</si>
  <si>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</si>
  <si>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</si>
  <si>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</si>
  <si>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</si>
  <si>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</si>
  <si>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</si>
  <si>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</si>
  <si>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</si>
  <si>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</si>
  <si>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</si>
  <si>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</si>
  <si>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</si>
  <si>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</si>
  <si>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</si>
  <si>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</si>
  <si>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</si>
  <si>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</si>
  <si>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</si>
  <si>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</si>
  <si>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</si>
  <si>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</si>
  <si>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</si>
  <si>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</si>
  <si>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</si>
  <si>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</si>
  <si>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</si>
  <si>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</si>
  <si>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</si>
  <si>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</si>
  <si>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</si>
  <si>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</si>
  <si>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</si>
  <si>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</si>
  <si>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</si>
  <si>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</si>
  <si>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</si>
  <si>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</si>
  <si>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</si>
  <si>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</si>
  <si>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</si>
  <si>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</si>
  <si>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</si>
  <si>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</si>
  <si>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</si>
  <si>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</si>
  <si>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</si>
  <si>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</si>
  <si>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</si>
  <si>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</si>
  <si>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</si>
  <si>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</si>
  <si>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</si>
  <si>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</si>
  <si>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</si>
  <si>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</si>
  <si>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</si>
  <si>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</si>
  <si>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</si>
  <si>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</si>
  <si>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</si>
  <si>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</si>
  <si>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</si>
  <si>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</si>
  <si>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</si>
  <si>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</si>
  <si>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</si>
  <si>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</si>
  <si>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</si>
  <si>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</si>
  <si>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</si>
  <si>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</si>
  <si>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</si>
  <si>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</si>
  <si>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</si>
  <si>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</si>
  <si>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</si>
  <si>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</si>
  <si>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</si>
  <si>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</si>
  <si>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</si>
  <si>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</si>
  <si>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</si>
  <si>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</si>
  <si>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</si>
  <si>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</si>
  <si>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</si>
  <si>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</si>
  <si>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</si>
  <si>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</si>
  <si>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</si>
  <si>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</si>
  <si>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</si>
  <si>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</si>
  <si>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</si>
  <si>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</si>
  <si>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</si>
  <si>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</si>
  <si>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</si>
  <si>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</si>
  <si>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</si>
  <si>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</si>
  <si>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</si>
  <si>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</si>
  <si>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</si>
  <si>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</si>
  <si>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</si>
  <si>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</si>
  <si>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</si>
  <si>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</si>
  <si>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</si>
  <si>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</si>
  <si>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</si>
  <si>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</si>
  <si>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</si>
  <si>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</si>
  <si>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</si>
  <si>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</si>
  <si>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</si>
  <si>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</si>
  <si>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</si>
  <si>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</si>
  <si>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</si>
  <si>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</si>
  <si>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</si>
  <si>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</si>
  <si>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</si>
  <si>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</si>
  <si>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</si>
  <si>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</si>
  <si>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</si>
  <si>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</si>
  <si>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</si>
  <si>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</si>
  <si>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</si>
  <si>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</si>
  <si>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</si>
  <si>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</si>
  <si>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</si>
  <si>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</si>
  <si>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</si>
  <si>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</si>
  <si>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</si>
  <si>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</si>
  <si>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</si>
  <si>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</si>
  <si>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</si>
  <si>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</si>
  <si>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</si>
  <si>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</si>
  <si>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</si>
  <si>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</si>
  <si>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</si>
  <si>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</si>
  <si>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</si>
  <si>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</si>
  <si>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</si>
  <si>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</si>
  <si>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</si>
  <si>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</si>
  <si>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</si>
  <si>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</si>
  <si>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</si>
  <si>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</si>
  <si>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</si>
  <si>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</si>
  <si>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</si>
  <si>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</si>
  <si>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</si>
  <si>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</si>
  <si>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</si>
  <si>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</si>
  <si>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</si>
  <si>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</si>
  <si>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</si>
  <si>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</si>
  <si>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</si>
  <si>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</si>
  <si>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</si>
  <si>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</si>
  <si>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</si>
  <si>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</si>
  <si>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</si>
  <si>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</si>
  <si>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</si>
  <si>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</si>
  <si>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</si>
  <si>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</si>
  <si>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</si>
  <si>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</si>
  <si>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</si>
  <si>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</si>
  <si>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</si>
  <si>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</si>
  <si>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</si>
  <si>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</si>
  <si>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</si>
  <si>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</si>
  <si>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</si>
  <si>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</si>
  <si>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</si>
  <si>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</si>
  <si>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</si>
  <si>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</si>
  <si>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</si>
  <si>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</si>
  <si>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</si>
  <si>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</si>
  <si>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</si>
  <si>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</si>
  <si>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</si>
  <si>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</si>
  <si>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</si>
  <si>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</si>
  <si>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</si>
  <si>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</si>
  <si>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</si>
  <si>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</si>
  <si>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</si>
  <si>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</si>
  <si>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</si>
  <si>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</si>
  <si>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</si>
  <si>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</si>
  <si>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</si>
  <si>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</si>
  <si>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</si>
  <si>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</si>
  <si>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</si>
  <si>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</si>
  <si>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</si>
  <si>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</si>
  <si>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</si>
  <si>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</si>
  <si>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</si>
  <si>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</si>
  <si>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</si>
  <si>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</si>
  <si>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</si>
  <si>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</si>
  <si>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</si>
  <si>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</si>
  <si>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</si>
  <si>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</si>
  <si>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</si>
  <si>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</si>
  <si>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</si>
  <si>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</si>
  <si>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</si>
  <si>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</si>
  <si>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</si>
  <si>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</si>
  <si>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</si>
  <si>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</si>
  <si>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</si>
  <si>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</si>
  <si>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</si>
  <si>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</si>
  <si>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</si>
  <si>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</si>
  <si>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</si>
  <si>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</si>
  <si>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</si>
  <si>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</si>
  <si>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</si>
  <si>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</si>
  <si>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</si>
  <si>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</si>
  <si>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</si>
  <si>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</si>
  <si>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</si>
  <si>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</si>
  <si>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</si>
  <si>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</si>
  <si>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</si>
  <si>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</si>
  <si>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</si>
  <si>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</si>
  <si>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</si>
  <si>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</si>
  <si>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</si>
  <si>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</si>
  <si>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</si>
  <si>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</si>
  <si>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</si>
  <si>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</si>
  <si>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</si>
  <si>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</si>
  <si>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</si>
  <si>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</si>
  <si>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</si>
  <si>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</si>
  <si>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</si>
  <si>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</si>
  <si>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</si>
  <si>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</si>
  <si>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</si>
  <si>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</si>
  <si>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</si>
  <si>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</si>
  <si>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</si>
  <si>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</si>
  <si>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</si>
  <si>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</si>
  <si>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</si>
  <si>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</si>
  <si>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</si>
  <si>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</si>
  <si>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</si>
  <si>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</si>
  <si>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</si>
  <si>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</si>
  <si>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</si>
  <si>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</si>
  <si>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</si>
  <si>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</si>
  <si>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</si>
  <si>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</si>
  <si>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</si>
  <si>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</si>
  <si>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</si>
  <si>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</si>
  <si>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</si>
  <si>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</si>
  <si>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</si>
  <si>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</si>
  <si>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</si>
  <si>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</si>
  <si>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</si>
  <si>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</si>
  <si>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</si>
  <si>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</si>
  <si>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</si>
  <si>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</si>
  <si>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</si>
  <si>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</si>
  <si>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</si>
  <si>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</si>
  <si>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</si>
  <si>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</si>
  <si>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</si>
  <si>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</si>
  <si>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</si>
  <si>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</si>
  <si>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</si>
  <si>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</si>
  <si>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</si>
  <si>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</si>
  <si>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</si>
  <si>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</si>
  <si>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</si>
  <si>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</si>
  <si>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</si>
  <si>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</si>
  <si>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</si>
  <si>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</si>
  <si>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</si>
  <si>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</si>
  <si>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</si>
  <si>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</si>
  <si>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</si>
  <si>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</si>
  <si>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</si>
  <si>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</si>
  <si>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</si>
  <si>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</si>
  <si>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</si>
  <si>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</si>
  <si>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</si>
  <si>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</si>
  <si>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</si>
  <si>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</si>
  <si>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</si>
  <si>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</si>
  <si>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</si>
  <si>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</si>
  <si>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</si>
  <si>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</si>
  <si>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</si>
  <si>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</si>
  <si>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</si>
  <si>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</si>
  <si>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</si>
  <si>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</si>
  <si>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</si>
  <si>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</si>
  <si>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</si>
  <si>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</si>
  <si>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</si>
  <si>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</si>
  <si>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</si>
  <si>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</si>
  <si>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</si>
  <si>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</si>
  <si>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</si>
  <si>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</si>
  <si>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</si>
  <si>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</si>
  <si>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</si>
  <si>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</si>
  <si>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</si>
  <si>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</si>
  <si>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</si>
  <si>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</si>
  <si>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</si>
  <si>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</si>
  <si>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</si>
  <si>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</si>
  <si>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</si>
  <si>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</si>
  <si>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</si>
  <si>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</si>
  <si>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</si>
  <si>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</si>
  <si>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</si>
  <si>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</si>
  <si>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</si>
  <si>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</si>
  <si>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</si>
  <si>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</si>
  <si>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</si>
  <si>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</si>
  <si>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</si>
  <si>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</si>
  <si>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</si>
  <si>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</si>
  <si>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</si>
  <si>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</si>
  <si>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</si>
  <si>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</si>
  <si>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</si>
  <si>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</si>
  <si>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</si>
  <si>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</si>
  <si>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</si>
  <si>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</si>
  <si>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</si>
  <si>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</si>
  <si>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</si>
  <si>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</si>
  <si>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</si>
  <si>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</si>
  <si>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</si>
  <si>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</si>
  <si>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</si>
  <si>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</si>
  <si>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</si>
  <si>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</si>
  <si>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</si>
  <si>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</si>
  <si>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</si>
  <si>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</si>
  <si>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</si>
  <si>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</si>
  <si>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</si>
  <si>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</si>
  <si>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</si>
  <si>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</si>
  <si>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</si>
  <si>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</si>
  <si>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</si>
  <si>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</si>
  <si>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</si>
  <si>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</si>
  <si>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</si>
  <si>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</si>
  <si>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</si>
  <si>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</si>
  <si>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</si>
  <si>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</si>
  <si>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</si>
  <si>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</si>
  <si>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</si>
  <si>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</si>
  <si>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</si>
  <si>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</si>
  <si>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</si>
  <si>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</si>
  <si>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</si>
  <si>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</si>
  <si>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</si>
  <si>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</si>
  <si>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</si>
  <si>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</si>
  <si>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</si>
  <si>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</si>
  <si>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</si>
  <si>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</si>
  <si>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</si>
  <si>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</si>
  <si>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</si>
  <si>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</si>
  <si>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</si>
  <si>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</si>
  <si>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</si>
  <si>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</si>
  <si>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</si>
  <si>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</si>
  <si>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</si>
  <si>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</si>
  <si>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</si>
  <si>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</si>
  <si>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</si>
  <si>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</si>
  <si>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</si>
  <si>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</si>
  <si>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</si>
  <si>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</si>
  <si>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</si>
  <si>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</si>
  <si>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</si>
  <si>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</si>
  <si>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</si>
  <si>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</si>
  <si>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</si>
  <si>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</si>
  <si>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</si>
  <si>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</si>
  <si>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</si>
  <si>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</si>
  <si>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</si>
  <si>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</si>
  <si>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</si>
  <si>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</si>
  <si>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</si>
  <si>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</si>
  <si>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</si>
  <si>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</si>
  <si>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</si>
  <si>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</si>
  <si>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</si>
  <si>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</si>
  <si>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</si>
  <si>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</si>
  <si>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</si>
  <si>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</si>
  <si>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</si>
  <si>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</si>
  <si>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</si>
  <si>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</si>
  <si>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</si>
  <si>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</si>
  <si>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</si>
  <si>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</si>
  <si>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</si>
  <si>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</si>
  <si>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</si>
  <si>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</si>
  <si>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</si>
  <si>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</si>
  <si>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</si>
  <si>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</si>
  <si>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</si>
  <si>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</si>
  <si>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</si>
  <si>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</si>
  <si>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</si>
  <si>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</si>
  <si>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</si>
  <si>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</si>
  <si>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</si>
  <si>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</si>
  <si>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</si>
  <si>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</si>
  <si>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</si>
  <si>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</si>
  <si>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</si>
  <si>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</si>
  <si>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</si>
  <si>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</si>
  <si>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</si>
  <si>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</si>
  <si>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</si>
  <si>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</si>
  <si>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</si>
  <si>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</si>
  <si>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</si>
  <si>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</si>
  <si>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</si>
  <si>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</si>
  <si>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</si>
  <si>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</si>
  <si>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</si>
  <si>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</si>
  <si>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</si>
  <si>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</si>
  <si>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</si>
  <si>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</si>
  <si>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</si>
  <si>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</si>
  <si>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</si>
  <si>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</si>
  <si>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</si>
  <si>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</si>
  <si>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</si>
  <si>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</si>
  <si>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</si>
  <si>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</si>
  <si>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</si>
  <si>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</si>
  <si>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</si>
  <si>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</si>
  <si>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</si>
  <si>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</si>
  <si>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</si>
  <si>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</si>
  <si>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</si>
  <si>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</si>
  <si>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</si>
  <si>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</si>
  <si>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</si>
  <si>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</si>
  <si>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</si>
  <si>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</si>
  <si>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</si>
  <si>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</si>
  <si>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</si>
  <si>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</si>
  <si>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</si>
  <si>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</si>
  <si>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</si>
  <si>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</si>
  <si>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</si>
  <si>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</si>
  <si>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</si>
  <si>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</si>
  <si>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</si>
  <si>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</si>
  <si>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</si>
  <si>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</si>
  <si>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</si>
  <si>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</si>
  <si>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</si>
  <si>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</si>
  <si>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</si>
  <si>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</si>
  <si>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</si>
  <si>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</si>
  <si>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</si>
  <si>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</si>
  <si>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</si>
  <si>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</si>
  <si>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</si>
  <si>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</si>
  <si>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</si>
  <si>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</si>
  <si>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</si>
  <si>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</si>
  <si>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</si>
  <si>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</si>
  <si>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</si>
  <si>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</si>
  <si>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</si>
  <si>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</si>
  <si>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</si>
  <si>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</si>
  <si>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</si>
  <si>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</si>
  <si>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</si>
  <si>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</si>
  <si>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</si>
  <si>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</si>
  <si>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</si>
  <si>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</si>
  <si>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</si>
  <si>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</si>
  <si>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</si>
  <si>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</si>
  <si>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</si>
  <si>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</si>
  <si>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</si>
  <si>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</si>
  <si>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</si>
  <si>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</si>
  <si>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</si>
  <si>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</si>
  <si>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</si>
  <si>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</si>
  <si>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</si>
  <si>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</si>
  <si>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</si>
  <si>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</si>
  <si>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</si>
  <si>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</si>
  <si>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</si>
  <si>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</si>
  <si>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</si>
  <si>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</si>
  <si>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</si>
  <si>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</si>
  <si>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</si>
  <si>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</si>
  <si>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</si>
  <si>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</si>
  <si>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</si>
  <si>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</si>
  <si>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</si>
  <si>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</si>
  <si>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</si>
  <si>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</si>
  <si>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</si>
  <si>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</si>
  <si>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</si>
  <si>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</si>
  <si>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</si>
  <si>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</si>
  <si>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</si>
  <si>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</si>
  <si>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</si>
  <si>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</si>
  <si>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</si>
  <si>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</si>
  <si>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</si>
  <si>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</si>
  <si>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</si>
  <si>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</si>
  <si>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</si>
  <si>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</si>
  <si>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</si>
  <si>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</si>
  <si>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</si>
  <si>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</si>
  <si>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</si>
  <si>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</si>
  <si>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</si>
  <si>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</si>
  <si>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</si>
  <si>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</si>
  <si>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</si>
  <si>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</si>
  <si>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</si>
  <si>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</si>
  <si>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</si>
  <si>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</si>
  <si>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</si>
  <si>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</si>
  <si>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</si>
  <si>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</si>
  <si>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</si>
  <si>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</si>
  <si>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</si>
  <si>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</si>
  <si>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</si>
  <si>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</si>
  <si>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</si>
  <si>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</si>
  <si>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</si>
  <si>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</si>
  <si>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</si>
  <si>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</si>
  <si>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</si>
  <si>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</si>
  <si>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</si>
  <si>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</si>
  <si>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</si>
  <si>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</si>
  <si>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</si>
  <si>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</si>
  <si>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</si>
  <si>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</si>
  <si>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</si>
  <si>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</si>
  <si>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</si>
  <si>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</si>
  <si>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</si>
  <si>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</si>
  <si>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</si>
  <si>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</si>
  <si>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</si>
  <si>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</si>
  <si>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</si>
  <si>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</si>
  <si>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</si>
  <si>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</si>
  <si>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</si>
  <si>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</si>
  <si>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</si>
  <si>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</si>
  <si>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</si>
  <si>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</si>
  <si>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</si>
  <si>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</si>
  <si>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</si>
  <si>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</si>
  <si>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</si>
  <si>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</si>
  <si>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</si>
  <si>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</si>
  <si>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</si>
  <si>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</si>
  <si>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</si>
  <si>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</si>
  <si>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</si>
  <si>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</si>
  <si>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</si>
  <si>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</si>
  <si>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</si>
  <si>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</si>
  <si>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</si>
  <si>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</si>
  <si>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</si>
  <si>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</si>
  <si>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</si>
  <si>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</si>
  <si>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</si>
  <si>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</si>
  <si>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</si>
  <si>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</si>
  <si>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</si>
  <si>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</si>
  <si>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</si>
  <si>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</si>
  <si>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</si>
  <si>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</si>
  <si>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</si>
  <si>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</si>
  <si>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</si>
  <si>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</si>
  <si>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</si>
  <si>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</si>
  <si>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</si>
  <si>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</si>
  <si>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</si>
  <si>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</si>
  <si>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</si>
  <si>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</si>
  <si>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</si>
  <si>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</si>
  <si>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</si>
  <si>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</si>
  <si>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</si>
  <si>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</si>
  <si>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</si>
  <si>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</si>
  <si>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</si>
  <si>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</si>
  <si>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</si>
  <si>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</si>
  <si>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</si>
  <si>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</si>
  <si>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</si>
  <si>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</si>
  <si>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</si>
  <si>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</si>
  <si>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</si>
  <si>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</si>
  <si>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</si>
  <si>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</si>
  <si>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</si>
  <si>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</si>
  <si>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</si>
  <si>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</si>
  <si>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</si>
  <si>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</si>
  <si>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</si>
  <si>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</si>
  <si>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</si>
  <si>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</si>
  <si>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</si>
  <si>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</si>
  <si>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</si>
  <si>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</si>
  <si>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</si>
  <si>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</si>
  <si>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</si>
  <si>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</si>
  <si>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</si>
  <si>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</si>
  <si>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</si>
  <si>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</si>
  <si>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</si>
  <si>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</si>
  <si>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</si>
  <si>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</si>
  <si>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</si>
  <si>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</si>
  <si>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</si>
  <si>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</si>
  <si>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</si>
  <si>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</si>
  <si>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</si>
  <si>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</si>
  <si>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</si>
  <si>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</si>
  <si>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</si>
  <si>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</si>
  <si>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</si>
  <si>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</si>
  <si>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</si>
  <si>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</si>
  <si>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</si>
  <si>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</si>
  <si>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</si>
  <si>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</si>
  <si>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</si>
  <si>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</si>
  <si>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</si>
  <si>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</si>
  <si>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</si>
  <si>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</si>
  <si>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</si>
  <si>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</si>
  <si>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</si>
  <si>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</si>
  <si>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</si>
  <si>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</si>
  <si>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</si>
  <si>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</si>
  <si>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</si>
  <si>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</si>
  <si>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</si>
  <si>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</si>
  <si>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</si>
  <si>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</si>
  <si>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</si>
  <si>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</si>
  <si>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</si>
  <si>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</si>
  <si>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</si>
  <si>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</si>
  <si>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</si>
  <si>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</si>
  <si>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</si>
  <si>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</si>
  <si>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</si>
  <si>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</si>
  <si>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</si>
  <si>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</si>
  <si>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</si>
  <si>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</si>
  <si>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</si>
  <si>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</si>
  <si>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</si>
  <si>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</si>
  <si>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</si>
  <si>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</si>
  <si>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</si>
  <si>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</si>
  <si>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</si>
  <si>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</si>
  <si>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</si>
  <si>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</si>
  <si>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</si>
  <si>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</si>
  <si>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</si>
  <si>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</si>
  <si>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</si>
  <si>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</si>
  <si>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</si>
  <si>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</si>
  <si>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</si>
  <si>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</si>
  <si>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</si>
  <si>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</si>
  <si>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</si>
  <si>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</si>
  <si>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</si>
  <si>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</si>
  <si>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</si>
  <si>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</si>
  <si>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</si>
  <si>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</si>
  <si>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</si>
  <si>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</si>
  <si>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</si>
  <si>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</si>
  <si>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</si>
  <si>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</si>
  <si>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</si>
  <si>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</si>
  <si>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</si>
  <si>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</si>
  <si>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</si>
  <si>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</si>
  <si>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</si>
  <si>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</si>
  <si>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</si>
  <si>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</si>
  <si>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</si>
  <si>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</si>
  <si>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</si>
  <si>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</si>
  <si>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</si>
  <si>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</si>
  <si>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</si>
  <si>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</si>
  <si>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</si>
  <si>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</si>
  <si>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</si>
  <si>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</si>
  <si>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</si>
  <si>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</si>
  <si>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</si>
  <si>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</si>
  <si>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</si>
  <si>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</si>
  <si>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</si>
  <si>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</si>
  <si>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</si>
  <si>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</si>
  <si>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</si>
  <si>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</si>
  <si>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</si>
  <si>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</si>
  <si>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</si>
  <si>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</si>
  <si>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</si>
  <si>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</si>
  <si>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</si>
  <si>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</si>
  <si>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</si>
  <si>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</si>
  <si>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</si>
  <si>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</si>
  <si>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</si>
  <si>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</si>
  <si>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</si>
  <si>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</si>
  <si>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</si>
  <si>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</si>
  <si>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</si>
  <si>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</si>
  <si>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</si>
  <si>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</si>
  <si>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</si>
  <si>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</si>
  <si>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</si>
  <si>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</si>
  <si>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</si>
  <si>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</si>
  <si>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</si>
  <si>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</si>
  <si>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</si>
  <si>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</si>
  <si>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</si>
  <si>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</si>
  <si>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</si>
  <si>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</si>
  <si>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</si>
  <si>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</si>
  <si>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</si>
  <si>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</si>
  <si>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</si>
  <si>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</si>
  <si>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</si>
  <si>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</si>
  <si>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</si>
  <si>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</si>
  <si>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</si>
  <si>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</si>
  <si>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</si>
  <si>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</si>
  <si>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</si>
  <si>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</si>
  <si>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</si>
  <si>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</si>
  <si>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</si>
  <si>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</si>
  <si>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</si>
  <si>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</si>
  <si>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</si>
  <si>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</si>
  <si>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</si>
  <si>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</si>
  <si>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</si>
  <si>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</si>
  <si>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</si>
  <si>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</si>
  <si>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</si>
  <si>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</si>
  <si>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</si>
  <si>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</si>
  <si>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</si>
  <si>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</si>
  <si>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</si>
  <si>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</si>
  <si>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</si>
  <si>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</si>
  <si>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</si>
  <si>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</si>
  <si>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</si>
  <si>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</si>
  <si>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</si>
  <si>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</si>
  <si>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</si>
  <si>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</si>
  <si>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</si>
  <si>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</si>
  <si>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</si>
  <si>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</si>
  <si>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</si>
  <si>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</si>
  <si>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</si>
  <si>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</si>
  <si>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</si>
  <si>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</si>
  <si>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</si>
  <si>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</si>
  <si>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</si>
  <si>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</si>
  <si>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</si>
  <si>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</si>
  <si>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</si>
  <si>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</si>
  <si>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</si>
  <si>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</si>
  <si>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</si>
  <si>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</si>
  <si>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</si>
  <si>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</si>
  <si>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</si>
  <si>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</si>
  <si>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</si>
  <si>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</si>
  <si>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</si>
  <si>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</si>
  <si>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</si>
  <si>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</si>
  <si>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</si>
  <si>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</si>
  <si>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</si>
  <si>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</si>
  <si>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</si>
  <si>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</si>
  <si>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</si>
  <si>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</si>
  <si>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</si>
  <si>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</si>
  <si>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</si>
  <si>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</si>
  <si>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</si>
  <si>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</si>
  <si>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</si>
  <si>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</si>
  <si>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</si>
  <si>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</si>
  <si>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</si>
  <si>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</si>
  <si>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</si>
  <si>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</si>
  <si>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</si>
  <si>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</si>
  <si>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</si>
  <si>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</si>
  <si>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</si>
  <si>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</si>
  <si>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</si>
  <si>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</si>
  <si>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</si>
  <si>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</si>
  <si>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</si>
  <si>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</si>
  <si>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</si>
  <si>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</si>
  <si>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</si>
  <si>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</si>
  <si>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</si>
  <si>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</si>
  <si>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</si>
  <si>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</si>
  <si>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</si>
  <si>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</si>
  <si>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</si>
  <si>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</si>
  <si>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</si>
  <si>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</si>
  <si>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</si>
  <si>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</si>
  <si>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</si>
  <si>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</si>
  <si>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</si>
  <si>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</si>
  <si>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</si>
  <si>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</si>
  <si>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</si>
  <si>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</si>
  <si>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</si>
  <si>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</si>
  <si>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</si>
  <si>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</si>
  <si>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</si>
  <si>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</si>
  <si>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</si>
  <si>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</si>
  <si>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</si>
  <si>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</si>
  <si>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</si>
  <si>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</si>
  <si>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</si>
  <si>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</si>
  <si>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</si>
  <si>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</si>
  <si>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</si>
  <si>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</si>
  <si>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</si>
  <si>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</si>
  <si>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</si>
  <si>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</si>
  <si>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</si>
  <si>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</si>
  <si>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</si>
  <si>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</si>
  <si>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</si>
  <si>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</si>
  <si>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</si>
  <si>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</si>
  <si>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</si>
  <si>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</si>
  <si>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</si>
  <si>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</si>
  <si>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</si>
  <si>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</si>
  <si>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</si>
  <si>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</si>
  <si>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</si>
  <si>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</si>
  <si>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</si>
  <si>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</si>
  <si>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</si>
  <si>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</si>
  <si>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</si>
  <si>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</si>
  <si>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</si>
  <si>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</si>
  <si>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</si>
  <si>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</si>
  <si>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</si>
  <si>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</si>
  <si>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</si>
  <si>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</si>
  <si>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</si>
  <si>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</si>
  <si>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</si>
  <si>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</si>
  <si>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</si>
  <si>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</si>
  <si>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</si>
  <si>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</si>
  <si>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</si>
  <si>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</si>
  <si>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</si>
  <si>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</si>
  <si>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</si>
  <si>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</si>
  <si>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</si>
  <si>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</si>
  <si>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</si>
  <si>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</si>
  <si>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</si>
  <si>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</si>
  <si>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</si>
  <si>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</si>
  <si>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</si>
  <si>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</si>
  <si>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</si>
  <si>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</si>
  <si>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</si>
  <si>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</si>
  <si>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</si>
  <si>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</si>
  <si>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</si>
  <si>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</si>
  <si>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</si>
  <si>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</si>
  <si>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</si>
  <si>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</si>
  <si>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</si>
  <si>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</si>
  <si>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</si>
  <si>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</si>
  <si>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</si>
  <si>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</si>
  <si>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</si>
  <si>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</si>
  <si>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</si>
  <si>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</si>
  <si>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</si>
  <si>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</si>
  <si>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</si>
  <si>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</si>
  <si>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</si>
  <si>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</si>
  <si>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</si>
  <si>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</si>
  <si>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</si>
  <si>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</si>
  <si>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</si>
  <si>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</si>
  <si>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</si>
  <si>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</si>
  <si>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</si>
  <si>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</si>
  <si>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</si>
  <si>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</si>
  <si>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</si>
  <si>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</si>
  <si>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</si>
  <si>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</si>
  <si>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</si>
  <si>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</si>
  <si>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</si>
  <si>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</si>
  <si>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</si>
  <si>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</si>
  <si>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</si>
  <si>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</si>
  <si>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</si>
  <si>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</si>
  <si>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</si>
  <si>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</si>
  <si>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</si>
  <si>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</si>
  <si>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</si>
  <si>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</si>
  <si>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</si>
  <si>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</si>
  <si>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</si>
  <si>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</si>
  <si>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</si>
  <si>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</si>
  <si>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</si>
  <si>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</si>
  <si>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</si>
  <si>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</si>
  <si>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</si>
  <si>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</si>
  <si>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</si>
  <si>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</si>
  <si>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</si>
  <si>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</si>
  <si>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</si>
  <si>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</si>
  <si>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</si>
  <si>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</si>
  <si>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</si>
  <si>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</si>
  <si>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</si>
  <si>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</si>
  <si>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</si>
  <si>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</si>
  <si>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</si>
  <si>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</si>
  <si>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</si>
  <si>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</si>
  <si>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</si>
  <si>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</si>
  <si>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</si>
  <si>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</si>
  <si>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</si>
  <si>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</si>
  <si>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</si>
  <si>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</si>
  <si>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</si>
  <si>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</si>
  <si>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</si>
  <si>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</si>
  <si>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</si>
  <si>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</si>
  <si>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</si>
  <si>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</si>
  <si>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</si>
  <si>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</si>
  <si>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</si>
  <si>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</si>
  <si>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</si>
  <si>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</si>
  <si>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</si>
  <si>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</si>
  <si>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</si>
  <si>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</si>
  <si>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</si>
  <si>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</si>
  <si>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</si>
  <si>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</si>
  <si>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</si>
  <si>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</si>
  <si>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</si>
  <si>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</si>
  <si>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</si>
  <si>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</si>
  <si>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</si>
  <si>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</si>
  <si>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</si>
  <si>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</si>
  <si>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</si>
  <si>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</si>
  <si>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</si>
  <si>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</si>
  <si>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</si>
  <si>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</si>
  <si>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</si>
  <si>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</si>
  <si>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</si>
  <si>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</si>
  <si>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</si>
  <si>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</si>
  <si>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</si>
  <si>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</si>
  <si>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</si>
  <si>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</si>
  <si>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</si>
  <si>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</si>
  <si>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</si>
  <si>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</si>
  <si>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</si>
  <si>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</si>
  <si>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</si>
  <si>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</si>
  <si>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</si>
  <si>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</si>
  <si>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</si>
  <si>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</si>
  <si>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</si>
  <si>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</si>
  <si>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</si>
  <si>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</si>
  <si>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</si>
  <si>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</si>
  <si>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</si>
  <si>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</si>
  <si>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</si>
  <si>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</si>
  <si>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</si>
  <si>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</si>
  <si>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</si>
  <si>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</si>
  <si>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</si>
  <si>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</si>
  <si>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</si>
  <si>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</si>
  <si>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</si>
  <si>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</si>
  <si>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</si>
  <si>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</si>
  <si>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</si>
  <si>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</si>
  <si>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</si>
  <si>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</si>
  <si>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</si>
  <si>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</si>
  <si>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</si>
  <si>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</si>
  <si>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</si>
  <si>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</si>
  <si>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</si>
  <si>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</si>
  <si>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</si>
  <si>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</si>
  <si>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</si>
  <si>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</si>
  <si>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</si>
  <si>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</si>
  <si>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</si>
  <si>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</si>
  <si>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</si>
  <si>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</si>
  <si>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</si>
  <si>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</si>
  <si>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</si>
  <si>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</si>
  <si>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</si>
  <si>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</si>
  <si>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</si>
  <si>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</si>
  <si>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</si>
  <si>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</si>
  <si>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</si>
  <si>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</si>
  <si>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</si>
  <si>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</si>
  <si>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</si>
  <si>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</si>
  <si>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</si>
  <si>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</si>
  <si>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</si>
  <si>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</si>
  <si>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</si>
  <si>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</si>
  <si>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</si>
  <si>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</si>
  <si>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</si>
  <si>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</si>
  <si>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</si>
  <si>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</si>
  <si>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</si>
  <si>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</si>
  <si>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</si>
  <si>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</si>
  <si>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</si>
  <si>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</si>
  <si>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</si>
  <si>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</si>
  <si>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</si>
  <si>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</si>
  <si>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</si>
  <si>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</si>
  <si>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</si>
  <si>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</si>
  <si>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</si>
  <si>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</si>
  <si>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</si>
  <si>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</si>
  <si>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</si>
  <si>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</si>
  <si>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</si>
  <si>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</si>
  <si>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</si>
  <si>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</si>
  <si>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</si>
  <si>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</si>
  <si>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</si>
  <si>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</si>
  <si>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</si>
  <si>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</si>
  <si>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</si>
  <si>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</si>
  <si>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</si>
  <si>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</si>
  <si>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</si>
  <si>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</si>
  <si>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</si>
  <si>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</si>
  <si>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</si>
  <si>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</si>
  <si>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</si>
  <si>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</si>
  <si>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</si>
  <si>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</si>
  <si>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</si>
  <si>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</si>
  <si>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</si>
  <si>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</si>
  <si>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</si>
  <si>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</si>
  <si>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</si>
  <si>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</si>
  <si>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</si>
  <si>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</si>
  <si>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</si>
  <si>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</si>
  <si>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</si>
  <si>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</si>
  <si>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</si>
  <si>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</si>
  <si>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</si>
  <si>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</si>
  <si>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</si>
  <si>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</si>
  <si>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</si>
  <si>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</si>
  <si>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</si>
  <si>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</si>
  <si>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</si>
  <si>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</si>
  <si>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</si>
  <si>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</si>
  <si>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</si>
  <si>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</si>
  <si>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</si>
  <si>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</si>
  <si>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</si>
  <si>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</si>
  <si>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</si>
  <si>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</si>
  <si>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</si>
  <si>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</si>
  <si>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</si>
  <si>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</si>
  <si>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</si>
  <si>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</si>
  <si>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</si>
  <si>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</si>
  <si>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</si>
  <si>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</si>
  <si>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</si>
  <si>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</si>
  <si>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</si>
  <si>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</si>
  <si>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</si>
  <si>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</si>
  <si>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</si>
  <si>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</si>
  <si>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</si>
  <si>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</si>
  <si>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</si>
  <si>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</si>
  <si>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</si>
  <si>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</si>
  <si>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</si>
  <si>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</si>
  <si>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</si>
  <si>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</si>
  <si>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</si>
  <si>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</si>
  <si>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</si>
  <si>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</si>
  <si>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</si>
  <si>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</si>
  <si>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</si>
  <si>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</si>
  <si>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</si>
  <si>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</si>
  <si>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</si>
  <si>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</si>
  <si>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</si>
  <si>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</si>
  <si>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</si>
  <si>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</si>
  <si>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</si>
  <si>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</si>
  <si>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</si>
  <si>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</si>
  <si>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</si>
  <si>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</si>
  <si>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</si>
  <si>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</si>
  <si>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</si>
  <si>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</si>
  <si>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</si>
  <si>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</si>
  <si>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</si>
  <si>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</si>
  <si>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</si>
  <si>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</si>
  <si>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</si>
  <si>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</si>
  <si>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</si>
  <si>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</si>
  <si>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</si>
  <si>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</si>
  <si>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</si>
  <si>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</si>
  <si>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</si>
  <si>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</si>
  <si>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</si>
  <si>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</si>
  <si>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</si>
  <si>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</si>
  <si>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</si>
  <si>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</si>
  <si>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</si>
  <si>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</si>
  <si>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</si>
  <si>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</si>
  <si>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</si>
  <si>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</si>
  <si>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</si>
  <si>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</si>
  <si>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</si>
  <si>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</si>
  <si>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</si>
  <si>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</si>
  <si>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</si>
  <si>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</si>
  <si>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</si>
  <si>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</si>
  <si>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</si>
  <si>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</si>
  <si>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</si>
  <si>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</si>
  <si>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</si>
  <si>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</si>
  <si>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</si>
  <si>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</si>
  <si>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</si>
  <si>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</si>
  <si>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</si>
  <si>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</si>
  <si>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</si>
  <si>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</si>
  <si>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</si>
  <si>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</si>
  <si>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</si>
  <si>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</si>
  <si>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</si>
  <si>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</si>
  <si>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</si>
  <si>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</si>
  <si>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</si>
  <si>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</si>
  <si>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</si>
  <si>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</si>
  <si>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</si>
  <si>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</si>
  <si>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</si>
  <si>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</si>
  <si>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</si>
  <si>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</si>
  <si>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</si>
  <si>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</si>
  <si>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</si>
  <si>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</si>
  <si>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</si>
  <si>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</si>
  <si>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</si>
  <si>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</si>
  <si>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</si>
  <si>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</si>
  <si>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</si>
  <si>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</si>
  <si>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</si>
  <si>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</si>
  <si>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</si>
  <si>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</si>
  <si>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</si>
  <si>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</si>
  <si>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</si>
  <si>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</si>
  <si>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</si>
  <si>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</si>
  <si>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</si>
  <si>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</si>
  <si>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</si>
  <si>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</si>
  <si>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</si>
  <si>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</si>
  <si>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</si>
  <si>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</si>
  <si>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</si>
  <si>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</si>
  <si>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</si>
  <si>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</si>
  <si>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</si>
  <si>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</si>
  <si>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</si>
  <si>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</si>
  <si>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</si>
  <si>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</si>
  <si>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</si>
  <si>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</si>
  <si>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</si>
  <si>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</si>
  <si>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</si>
  <si>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</si>
  <si>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</si>
  <si>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</si>
  <si>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</si>
  <si>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</si>
  <si>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</si>
  <si>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</si>
  <si>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</si>
  <si>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</si>
  <si>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</si>
  <si>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</si>
  <si>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</si>
  <si>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</si>
  <si>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</si>
  <si>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</si>
  <si>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</si>
  <si>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</si>
  <si>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</si>
  <si>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</si>
  <si>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</si>
  <si>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</si>
  <si>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</si>
  <si>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</si>
  <si>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</si>
  <si>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</si>
  <si>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</si>
  <si>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</si>
  <si>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</si>
  <si>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</si>
  <si>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</si>
  <si>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</si>
  <si>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</si>
  <si>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</si>
  <si>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</si>
  <si>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</si>
  <si>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</si>
  <si>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</si>
  <si>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</si>
  <si>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</si>
  <si>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</si>
  <si>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</si>
  <si>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</si>
  <si>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</si>
  <si>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</si>
  <si>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</si>
  <si>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</si>
  <si>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</si>
  <si>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</si>
  <si>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</si>
  <si>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</si>
  <si>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</si>
  <si>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</si>
  <si>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</si>
  <si>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</si>
  <si>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</si>
  <si>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</si>
  <si>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</si>
  <si>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</si>
  <si>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</si>
  <si>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</si>
  <si>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</si>
  <si>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</si>
  <si>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</si>
  <si>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</si>
  <si>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</si>
  <si>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</si>
  <si>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</si>
  <si>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</si>
  <si>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</si>
  <si>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</si>
  <si>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</si>
  <si>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</si>
  <si>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</si>
  <si>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</si>
  <si>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</si>
  <si>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</si>
  <si>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</si>
  <si>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</si>
  <si>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</si>
  <si>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</si>
  <si>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</si>
  <si>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</si>
  <si>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</si>
  <si>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</si>
  <si>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</si>
  <si>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</si>
  <si>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</si>
  <si>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</si>
  <si>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</si>
  <si>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</si>
  <si>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</si>
  <si>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</si>
  <si>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</si>
  <si>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</si>
  <si>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</si>
  <si>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</si>
  <si>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</si>
  <si>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</si>
  <si>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</si>
  <si>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</si>
  <si>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</si>
  <si>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</si>
  <si>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</si>
  <si>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</si>
  <si>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</si>
  <si>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</si>
  <si>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</si>
  <si>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</si>
  <si>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</si>
  <si>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</si>
  <si>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</si>
  <si>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</si>
  <si>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</si>
  <si>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</si>
  <si>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</si>
  <si>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</si>
  <si>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</si>
  <si>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</si>
  <si>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</si>
  <si>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</si>
  <si>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</si>
  <si>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</si>
  <si>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</si>
  <si>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</si>
  <si>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</si>
  <si>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</si>
  <si>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</si>
  <si>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</si>
  <si>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</si>
  <si>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</si>
  <si>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</si>
  <si>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</si>
  <si>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</si>
  <si>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</si>
  <si>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</si>
  <si>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</si>
  <si>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</si>
  <si>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</si>
  <si>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</si>
  <si>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</si>
  <si>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</si>
  <si>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</si>
  <si>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</si>
  <si>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</si>
  <si>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</si>
  <si>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</si>
  <si>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</si>
  <si>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</si>
  <si>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</si>
  <si>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</si>
  <si>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</si>
  <si>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</si>
  <si>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</si>
  <si>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</si>
  <si>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</si>
  <si>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</si>
  <si>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</si>
  <si>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</si>
  <si>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</si>
  <si>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</si>
  <si>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</si>
  <si>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</si>
  <si>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</si>
  <si>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</si>
  <si>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</si>
  <si>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</si>
  <si>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</si>
  <si>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</si>
  <si>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</si>
  <si>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</si>
  <si>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</si>
  <si>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</si>
  <si>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</si>
  <si>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</si>
  <si>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</si>
  <si>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</si>
  <si>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</si>
  <si>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</si>
  <si>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</si>
  <si>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</si>
  <si>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</si>
  <si>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</si>
  <si>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</si>
  <si>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</si>
  <si>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</si>
  <si>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</si>
  <si>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</si>
  <si>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</si>
  <si>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</si>
  <si>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</si>
  <si>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</si>
  <si>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</si>
  <si>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</si>
  <si>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</si>
  <si>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</si>
  <si>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</si>
  <si>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</si>
  <si>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</si>
  <si>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</si>
  <si>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</si>
  <si>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</si>
  <si>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</si>
  <si>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</si>
  <si>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</si>
  <si>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</si>
  <si>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</si>
  <si>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</si>
  <si>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</si>
  <si>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</si>
  <si>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</si>
  <si>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</si>
  <si>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</si>
  <si>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</si>
  <si>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</si>
  <si>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</si>
  <si>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</si>
  <si>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</si>
  <si>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</si>
  <si>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</si>
  <si>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</si>
  <si>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</si>
  <si>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</si>
  <si>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</si>
  <si>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</si>
  <si>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</si>
  <si>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</si>
  <si>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</si>
  <si>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</si>
  <si>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</si>
  <si>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</si>
  <si>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</si>
  <si>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</si>
  <si>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</si>
  <si>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</si>
  <si>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</si>
  <si>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</si>
  <si>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</si>
  <si>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</si>
  <si>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</si>
  <si>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</si>
  <si>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</si>
  <si>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</si>
  <si>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</si>
  <si>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</si>
  <si>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</si>
  <si>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</si>
  <si>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</si>
  <si>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</si>
  <si>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</si>
  <si>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</si>
  <si>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</si>
  <si>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</si>
  <si>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</si>
  <si>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</si>
  <si>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</si>
  <si>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</si>
  <si>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</si>
  <si>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</si>
  <si>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</si>
  <si>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</si>
  <si>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</si>
  <si>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</si>
  <si>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</si>
  <si>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</si>
  <si>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</si>
  <si>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</si>
  <si>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</si>
  <si>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</si>
  <si>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</si>
  <si>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</si>
  <si>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</si>
  <si>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</si>
  <si>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</si>
  <si>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</si>
  <si>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</si>
  <si>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</si>
  <si>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</si>
  <si>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</si>
  <si>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</si>
  <si>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</si>
  <si>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</si>
  <si>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</si>
  <si>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</si>
  <si>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</si>
  <si>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</si>
  <si>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</si>
  <si>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</si>
  <si>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</si>
  <si>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</si>
  <si>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</si>
  <si>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</si>
  <si>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</si>
  <si>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</si>
  <si>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</si>
  <si>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</si>
  <si>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</si>
  <si>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</si>
  <si>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</si>
  <si>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</si>
  <si>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</si>
  <si>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</si>
  <si>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</si>
  <si>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</si>
  <si>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</si>
  <si>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</si>
  <si>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</si>
  <si>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</si>
  <si>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</si>
  <si>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</si>
  <si>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</si>
  <si>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</si>
  <si>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</si>
  <si>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</si>
  <si>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</si>
  <si>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</si>
  <si>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</si>
  <si>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</si>
  <si>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</si>
  <si>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</si>
  <si>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</si>
  <si>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</si>
  <si>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</si>
  <si>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</si>
  <si>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</si>
  <si>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</si>
  <si>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</si>
  <si>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</si>
  <si>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</si>
  <si>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</si>
  <si>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</si>
  <si>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</si>
  <si>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</si>
  <si>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</si>
  <si>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</si>
  <si>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</si>
  <si>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</si>
  <si>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</si>
  <si>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</si>
  <si>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</si>
  <si>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</si>
  <si>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</si>
  <si>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</si>
  <si>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</si>
  <si>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</si>
  <si>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</si>
  <si>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</si>
  <si>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</si>
  <si>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</si>
  <si>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</si>
  <si>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</si>
  <si>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</si>
  <si>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</si>
  <si>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</si>
  <si>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</si>
  <si>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</si>
  <si>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</si>
  <si>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</si>
  <si>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</si>
  <si>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</si>
  <si>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</si>
  <si>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</si>
  <si>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</si>
  <si>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</si>
  <si>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</si>
  <si>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</si>
  <si>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</si>
  <si>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</si>
  <si>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</si>
  <si>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</si>
  <si>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</si>
  <si>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</si>
  <si>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</si>
  <si>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</si>
  <si>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</si>
  <si>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</si>
  <si>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</si>
  <si>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</si>
  <si>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</si>
  <si>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</si>
  <si>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</si>
  <si>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</si>
  <si>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</si>
  <si>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</si>
  <si>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</si>
  <si>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</si>
  <si>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</si>
  <si>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</si>
  <si>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</si>
  <si>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</si>
  <si>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</si>
  <si>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</si>
  <si>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</si>
  <si>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</si>
  <si>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</si>
  <si>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</si>
  <si>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</si>
  <si>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</si>
  <si>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</si>
  <si>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</si>
  <si>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</si>
  <si>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</si>
  <si>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</si>
  <si>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</si>
  <si>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</si>
  <si>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</si>
  <si>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</si>
  <si>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</si>
  <si>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</si>
  <si>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</si>
  <si>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</si>
  <si>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</si>
  <si>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</si>
  <si>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</si>
  <si>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</si>
  <si>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</si>
  <si>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</si>
  <si>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</si>
  <si>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</si>
  <si>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</si>
  <si>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</si>
  <si>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</si>
  <si>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</si>
  <si>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</si>
  <si>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</si>
  <si>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</si>
  <si>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</si>
  <si>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</si>
  <si>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</si>
  <si>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</si>
  <si>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</si>
  <si>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</si>
  <si>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</si>
  <si>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</si>
  <si>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</si>
  <si>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</si>
  <si>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</si>
  <si>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</si>
  <si>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</si>
  <si>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</si>
  <si>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</si>
  <si>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</si>
  <si>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</si>
  <si>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</si>
  <si>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</si>
  <si>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</si>
  <si>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</si>
  <si>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</si>
  <si>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</si>
  <si>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</si>
  <si>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</si>
  <si>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</si>
  <si>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</si>
  <si>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</si>
  <si>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</si>
  <si>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</si>
  <si>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</si>
  <si>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</si>
  <si>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</si>
  <si>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</si>
  <si>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</si>
  <si>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</si>
  <si>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</si>
  <si>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</si>
  <si>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</si>
  <si>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</si>
  <si>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</si>
  <si>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</si>
  <si>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</si>
  <si>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</si>
  <si>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</si>
  <si>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</si>
  <si>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</si>
  <si>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</si>
  <si>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</si>
  <si>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</si>
  <si>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</si>
  <si>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</si>
  <si>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</si>
  <si>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</si>
  <si>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</si>
  <si>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</si>
  <si>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</si>
  <si>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</si>
  <si>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</si>
  <si>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</si>
  <si>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</si>
  <si>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</si>
  <si>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</si>
  <si>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</si>
  <si>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</si>
  <si>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</si>
  <si>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</si>
  <si>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</si>
  <si>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</si>
  <si>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</si>
  <si>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</si>
  <si>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</si>
  <si>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</si>
  <si>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</si>
  <si>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</si>
  <si>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</si>
  <si>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</si>
  <si>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</si>
  <si>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</si>
  <si>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</si>
  <si>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</si>
  <si>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</si>
  <si>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</si>
  <si>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</si>
  <si>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</si>
  <si>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</si>
  <si>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</si>
  <si>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</si>
  <si>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</si>
  <si>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</si>
  <si>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</si>
  <si>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</si>
  <si>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</si>
  <si>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</si>
  <si>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</si>
  <si>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</si>
  <si>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</si>
  <si>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</si>
  <si>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</si>
  <si>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</si>
  <si>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</si>
  <si>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</si>
  <si>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</si>
  <si>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</si>
  <si>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</si>
  <si>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</si>
  <si>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</si>
  <si>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</si>
  <si>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</si>
  <si>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</si>
  <si>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</si>
  <si>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</si>
  <si>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</si>
  <si>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</si>
  <si>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</si>
  <si>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</si>
  <si>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</si>
  <si>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</si>
  <si>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</si>
  <si>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</si>
  <si>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</si>
  <si>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</si>
  <si>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</si>
  <si>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</si>
  <si>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</si>
  <si>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</si>
  <si>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</si>
  <si>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</si>
  <si>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</si>
  <si>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</si>
  <si>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</si>
  <si>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</si>
  <si>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</si>
  <si>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</si>
  <si>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</si>
  <si>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</si>
  <si>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</si>
  <si>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</si>
  <si>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</si>
  <si>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</si>
  <si>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</si>
  <si>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</si>
  <si>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</si>
  <si>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</si>
  <si>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</si>
  <si>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</si>
  <si>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</si>
  <si>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</si>
  <si>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</si>
  <si>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</si>
  <si>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</si>
  <si>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</si>
  <si>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</si>
  <si>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</si>
  <si>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</si>
  <si>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</si>
  <si>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</si>
  <si>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</si>
  <si>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</si>
  <si>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</si>
  <si>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</si>
  <si>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</si>
  <si>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</si>
  <si>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</si>
  <si>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</si>
  <si>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</si>
  <si>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</si>
  <si>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</si>
  <si>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</si>
  <si>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</si>
  <si>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</si>
  <si>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</si>
  <si>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</si>
  <si>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</si>
  <si>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</si>
  <si>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</si>
  <si>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</si>
  <si>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</si>
  <si>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</si>
  <si>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</si>
  <si>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</si>
  <si>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</si>
  <si>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</si>
  <si>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</si>
  <si>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</si>
  <si>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</si>
  <si>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</si>
  <si>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</si>
  <si>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</si>
  <si>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</si>
  <si>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</si>
  <si>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</si>
  <si>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</si>
  <si>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</si>
  <si>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</si>
  <si>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</si>
  <si>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</si>
  <si>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</si>
  <si>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</si>
  <si>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</si>
  <si>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</si>
  <si>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</si>
  <si>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</si>
  <si>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</si>
  <si>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</si>
  <si>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</si>
  <si>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</si>
  <si>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</si>
  <si>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</si>
  <si>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</si>
  <si>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</si>
  <si>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</si>
  <si>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</si>
  <si>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</si>
  <si>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</si>
  <si>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</si>
  <si>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</si>
  <si>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</si>
  <si>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</si>
  <si>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</si>
  <si>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</si>
  <si>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</si>
  <si>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</si>
  <si>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</si>
  <si>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</si>
  <si>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</si>
  <si>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</si>
  <si>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</si>
  <si>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</si>
  <si>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</si>
  <si>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</si>
  <si>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</si>
  <si>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</si>
  <si>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</si>
  <si>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</si>
  <si>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</si>
  <si>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</si>
  <si>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</si>
  <si>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</si>
  <si>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</si>
  <si>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</si>
  <si>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</si>
  <si>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</si>
  <si>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</si>
  <si>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</si>
  <si>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</si>
  <si>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</si>
  <si>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</si>
  <si>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</si>
  <si>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</si>
  <si>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</si>
  <si>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</si>
  <si>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</si>
  <si>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</si>
  <si>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</si>
  <si>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</si>
  <si>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</si>
  <si>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</si>
  <si>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</si>
  <si>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</si>
  <si>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</si>
  <si>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</si>
  <si>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</si>
  <si>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</si>
  <si>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</si>
  <si>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</si>
  <si>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</si>
  <si>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</si>
  <si>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</si>
  <si>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</si>
  <si>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</si>
  <si>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</si>
  <si>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</si>
  <si>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</si>
  <si>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</si>
  <si>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</si>
  <si>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</si>
  <si>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</si>
  <si>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</si>
  <si>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</si>
  <si>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</si>
  <si>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</si>
  <si>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</si>
  <si>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</si>
  <si>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</si>
  <si>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</si>
  <si>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</si>
  <si>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</si>
  <si>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</si>
  <si>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</si>
  <si>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</si>
  <si>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</si>
  <si>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</si>
  <si>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</si>
  <si>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</si>
  <si>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</si>
  <si>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</si>
  <si>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</si>
  <si>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</si>
  <si>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</si>
  <si>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</si>
  <si>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</si>
  <si>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</si>
  <si>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</si>
  <si>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</si>
  <si>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</si>
  <si>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</si>
  <si>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</si>
  <si>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</si>
  <si>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</si>
  <si>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</si>
  <si>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</si>
  <si>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</si>
  <si>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</si>
  <si>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</si>
  <si>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</si>
  <si>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</si>
  <si>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</si>
  <si>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</si>
  <si>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</si>
  <si>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</si>
  <si>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</si>
  <si>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</si>
  <si>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</si>
  <si>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</si>
  <si>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</si>
  <si>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</si>
  <si>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</si>
  <si>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</si>
  <si>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</si>
  <si>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</si>
  <si>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</si>
  <si>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</si>
  <si>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</si>
  <si>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</si>
  <si>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</si>
  <si>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</si>
  <si>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</si>
  <si>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</si>
  <si>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</si>
  <si>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</si>
  <si>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</si>
  <si>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</si>
  <si>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</si>
  <si>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</si>
  <si>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</si>
  <si>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</si>
  <si>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</si>
  <si>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</si>
  <si>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</si>
  <si>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</si>
  <si>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</si>
  <si>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</si>
  <si>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</si>
  <si>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</si>
  <si>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</si>
  <si>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</si>
  <si>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</si>
  <si>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</si>
  <si>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</si>
  <si>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</si>
  <si>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</si>
  <si>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</si>
  <si>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</si>
  <si>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</si>
  <si>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</si>
  <si>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</si>
  <si>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</si>
  <si>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</si>
  <si>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</si>
  <si>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</si>
  <si>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</si>
  <si>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</si>
  <si>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</si>
  <si>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</si>
  <si>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</si>
  <si>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</si>
  <si>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</si>
  <si>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</si>
  <si>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</si>
  <si>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</si>
  <si>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</si>
  <si>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</si>
  <si>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</si>
  <si>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</si>
  <si>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</si>
  <si>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</si>
  <si>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</si>
  <si>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</si>
  <si>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</si>
  <si>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</si>
  <si>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</si>
  <si>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</si>
  <si>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</si>
  <si>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</si>
  <si>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</si>
  <si>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</si>
  <si>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</si>
  <si>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</si>
  <si>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</si>
  <si>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</si>
  <si>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</si>
  <si>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</si>
  <si>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</si>
  <si>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</si>
  <si>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</si>
  <si>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</si>
  <si>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</si>
  <si>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</si>
  <si>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</si>
  <si>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</si>
  <si>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</si>
  <si>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</si>
  <si>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</si>
  <si>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</si>
  <si>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</si>
  <si>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</si>
  <si>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</si>
  <si>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</si>
  <si>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</si>
  <si>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</si>
  <si>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</si>
  <si>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</si>
  <si>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</si>
  <si>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</si>
  <si>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</si>
  <si>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</si>
  <si>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</si>
  <si>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</si>
  <si>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</si>
  <si>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</si>
  <si>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</si>
  <si>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</si>
  <si>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</si>
  <si>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</si>
  <si>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</si>
  <si>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</si>
  <si>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</si>
  <si>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</si>
  <si>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</si>
  <si>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</si>
  <si>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</si>
  <si>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</si>
  <si>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</si>
  <si>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</si>
  <si>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</si>
  <si>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</si>
  <si>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</si>
  <si>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</si>
  <si>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</si>
  <si>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</si>
  <si>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</si>
  <si>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</si>
  <si>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</si>
  <si>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</si>
  <si>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</si>
  <si>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</si>
  <si>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</si>
  <si>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</si>
  <si>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</si>
  <si>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</si>
  <si>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</si>
  <si>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</si>
  <si>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</si>
  <si>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</si>
  <si>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</si>
  <si>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</si>
  <si>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</si>
  <si>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</si>
  <si>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</si>
  <si>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</si>
  <si>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</si>
  <si>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</si>
  <si>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</si>
  <si>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</si>
  <si>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</si>
  <si>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</si>
  <si>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</si>
  <si>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</si>
  <si>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</si>
  <si>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</si>
  <si>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</si>
  <si>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</si>
  <si>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</si>
  <si>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</si>
  <si>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</si>
  <si>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</si>
  <si>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</si>
  <si>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</si>
  <si>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</si>
  <si>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</si>
  <si>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</si>
  <si>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</si>
  <si>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</si>
  <si>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</si>
  <si>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</si>
  <si>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</si>
  <si>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</si>
  <si>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</si>
  <si>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</si>
  <si>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</si>
  <si>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</si>
  <si>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</si>
  <si>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</si>
  <si>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</si>
  <si>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</si>
  <si>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</si>
  <si>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</si>
  <si>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</si>
  <si>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</si>
  <si>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</si>
  <si>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</si>
  <si>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</si>
  <si>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</si>
  <si>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</si>
  <si>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</si>
  <si>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</si>
  <si>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</si>
  <si>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</si>
  <si>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</si>
  <si>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</si>
  <si>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</si>
  <si>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</si>
  <si>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</si>
  <si>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</si>
  <si>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</si>
  <si>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</si>
  <si>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</si>
  <si>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</si>
  <si>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</si>
  <si>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</si>
  <si>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</si>
  <si>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</si>
  <si>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</si>
  <si>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</si>
  <si>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</si>
  <si>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</si>
  <si>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</si>
  <si>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</si>
  <si>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</si>
  <si>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</si>
  <si>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</si>
  <si>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</si>
  <si>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</si>
  <si>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</si>
  <si>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</si>
  <si>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</si>
  <si>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</si>
  <si>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</si>
  <si>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</si>
  <si>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</si>
  <si>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</si>
  <si>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</si>
  <si>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</si>
  <si>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</si>
  <si>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</si>
  <si>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</si>
  <si>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</si>
  <si>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</si>
  <si>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</si>
  <si>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</si>
  <si>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</si>
  <si>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</si>
  <si>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</si>
  <si>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</si>
  <si>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</si>
  <si>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</si>
  <si>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</si>
  <si>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</si>
  <si>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</si>
  <si>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</si>
  <si>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</si>
  <si>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</si>
  <si>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</si>
  <si>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</si>
  <si>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</si>
  <si>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</si>
  <si>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</si>
  <si>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</si>
  <si>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</si>
  <si>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</si>
  <si>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</si>
  <si>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</si>
  <si>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</si>
  <si>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</si>
  <si>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</si>
  <si>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</si>
  <si>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</si>
  <si>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</si>
  <si>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</si>
  <si>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</si>
  <si>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</si>
  <si>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</si>
  <si>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</si>
  <si>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</si>
  <si>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</si>
  <si>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</si>
  <si>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</si>
  <si>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</si>
  <si>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</si>
  <si>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</si>
  <si>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</si>
  <si>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</si>
  <si>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</si>
  <si>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</si>
  <si>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</si>
  <si>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</si>
  <si>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</si>
  <si>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</si>
  <si>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</si>
  <si>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</si>
  <si>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</si>
  <si>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</si>
  <si>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</si>
  <si>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</si>
  <si>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</si>
  <si>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</si>
  <si>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</si>
  <si>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</si>
  <si>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</si>
  <si>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</si>
  <si>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</si>
  <si>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</si>
  <si>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</si>
  <si>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</si>
  <si>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</si>
  <si>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</si>
  <si>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</si>
  <si>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</si>
  <si>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</si>
  <si>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</si>
  <si>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</si>
  <si>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</si>
  <si>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</si>
  <si>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</si>
  <si>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</si>
  <si>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</si>
  <si>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</si>
  <si>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</si>
  <si>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</si>
  <si>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</si>
  <si>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</si>
  <si>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</si>
  <si>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</si>
  <si>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</si>
  <si>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</si>
  <si>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</si>
  <si>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</si>
  <si>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</si>
  <si>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</si>
  <si>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</si>
  <si>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</si>
  <si>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</si>
  <si>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</si>
  <si>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</si>
  <si>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</si>
  <si>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</si>
  <si>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</si>
  <si>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</si>
  <si>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</si>
  <si>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</si>
  <si>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</si>
  <si>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</si>
  <si>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</si>
  <si>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</si>
  <si>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</si>
  <si>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</si>
  <si>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</si>
  <si>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</si>
  <si>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</si>
  <si>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</si>
  <si>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</si>
  <si>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</si>
  <si>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</si>
  <si>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</si>
  <si>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</si>
  <si>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</si>
  <si>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</si>
  <si>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</si>
  <si>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</si>
  <si>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</si>
  <si>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</si>
  <si>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</si>
  <si>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</si>
  <si>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</si>
  <si>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</si>
  <si>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</si>
  <si>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</si>
  <si>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</si>
  <si>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</si>
  <si>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</si>
  <si>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</si>
  <si>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</si>
  <si>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</si>
  <si>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</si>
  <si>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</si>
  <si>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</si>
  <si>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</si>
  <si>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</si>
  <si>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</si>
  <si>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</si>
  <si>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</si>
  <si>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</si>
  <si>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</si>
  <si>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</si>
  <si>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</si>
  <si>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</si>
  <si>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</si>
  <si>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</si>
  <si>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</si>
  <si>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</si>
  <si>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</si>
  <si>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</si>
  <si>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</si>
  <si>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</si>
  <si>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</si>
  <si>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</si>
  <si>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</si>
  <si>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</si>
  <si>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</si>
  <si>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</si>
  <si>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</si>
  <si>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</si>
  <si>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</si>
  <si>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</si>
  <si>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</si>
  <si>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</si>
  <si>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</si>
  <si>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</si>
  <si>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</si>
  <si>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</si>
  <si>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</si>
  <si>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</si>
  <si>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</si>
  <si>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</si>
  <si>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</si>
  <si>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</si>
  <si>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</si>
  <si>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</si>
  <si>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</si>
  <si>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</si>
  <si>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</si>
  <si>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</si>
  <si>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</si>
  <si>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</si>
  <si>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</si>
  <si>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</si>
  <si>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</si>
  <si>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</si>
  <si>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</si>
  <si>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</si>
  <si>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</si>
  <si>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</si>
  <si>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</si>
  <si>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</si>
  <si>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</si>
  <si>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</si>
  <si>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</si>
  <si>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</si>
  <si>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</si>
  <si>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</si>
  <si>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</si>
  <si>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</si>
  <si>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</si>
  <si>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</si>
  <si>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</si>
  <si>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</si>
  <si>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</si>
  <si>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</si>
  <si>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</si>
  <si>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</si>
  <si>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</si>
  <si>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</si>
  <si>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</si>
  <si>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</si>
  <si>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</si>
  <si>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</si>
  <si>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</si>
  <si>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</si>
  <si>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</si>
  <si>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</si>
  <si>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</si>
  <si>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</si>
  <si>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</si>
  <si>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</si>
  <si>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</si>
  <si>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</si>
  <si>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</si>
  <si>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</si>
  <si>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</si>
  <si>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</si>
  <si>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</si>
  <si>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</si>
  <si>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</si>
  <si>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</si>
  <si>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</si>
  <si>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</si>
  <si>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</si>
  <si>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</si>
  <si>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</si>
  <si>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</si>
  <si>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</si>
  <si>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</si>
  <si>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</si>
  <si>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</si>
  <si>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</si>
  <si>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</si>
  <si>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</si>
  <si>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</si>
  <si>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</si>
  <si>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</si>
  <si>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</si>
  <si>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</si>
  <si>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</si>
  <si>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</si>
  <si>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</si>
  <si>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</si>
  <si>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</si>
  <si>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</si>
  <si>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</si>
  <si>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</si>
  <si>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</si>
  <si>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</si>
  <si>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</si>
  <si>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</si>
  <si>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</si>
  <si>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</si>
  <si>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</si>
  <si>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</si>
  <si>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</si>
  <si>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</si>
  <si>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</si>
  <si>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</si>
  <si>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</si>
  <si>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</si>
  <si>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</si>
  <si>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</si>
  <si>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</si>
  <si>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</si>
  <si>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</si>
  <si>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</si>
  <si>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</si>
  <si>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</si>
  <si>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</si>
  <si>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</si>
  <si>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</si>
  <si>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</si>
  <si>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</si>
  <si>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</si>
  <si>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</si>
  <si>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</si>
  <si>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</si>
  <si>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</si>
  <si>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</si>
  <si>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</si>
  <si>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</si>
  <si>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</si>
  <si>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</si>
  <si>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</si>
  <si>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</si>
  <si>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</si>
  <si>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</si>
  <si>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</si>
  <si>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</si>
  <si>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</si>
  <si>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</si>
  <si>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</si>
  <si>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</si>
  <si>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</si>
  <si>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</si>
  <si>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</si>
  <si>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</si>
  <si>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</si>
  <si>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</si>
  <si>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</si>
  <si>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</si>
  <si>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</si>
  <si>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</si>
  <si>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</si>
  <si>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</si>
  <si>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</si>
  <si>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</si>
  <si>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</si>
  <si>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</si>
  <si>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</si>
  <si>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</si>
  <si>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</si>
  <si>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</si>
  <si>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</si>
  <si>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</si>
  <si>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</si>
  <si>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</si>
  <si>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</si>
  <si>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</si>
  <si>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</si>
  <si>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</si>
  <si>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</si>
  <si>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</si>
  <si>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</si>
  <si>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</si>
  <si>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</si>
  <si>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</si>
  <si>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</si>
  <si>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</si>
  <si>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</si>
  <si>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</si>
  <si>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</si>
  <si>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</si>
  <si>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</si>
  <si>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</si>
  <si>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</si>
  <si>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</si>
  <si>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</si>
  <si>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</si>
  <si>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</si>
  <si>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</si>
  <si>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</si>
  <si>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</si>
  <si>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</si>
  <si>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</si>
  <si>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</si>
  <si>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</si>
  <si>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</si>
  <si>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</si>
  <si>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</si>
  <si>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</si>
  <si>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</si>
  <si>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</si>
  <si>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</si>
  <si>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</si>
  <si>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</si>
  <si>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</si>
  <si>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</si>
  <si>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</si>
  <si>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</si>
  <si>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</si>
  <si>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</si>
  <si>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</si>
  <si>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</si>
  <si>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</si>
  <si>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</si>
  <si>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</si>
  <si>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</si>
  <si>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</si>
  <si>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</si>
  <si>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</si>
  <si>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</si>
  <si>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</si>
  <si>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</si>
  <si>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</si>
  <si>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</si>
  <si>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</si>
  <si>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</si>
  <si>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</si>
  <si>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</si>
  <si>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</si>
  <si>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</si>
  <si>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</si>
  <si>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</si>
  <si>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</si>
  <si>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</si>
  <si>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</si>
  <si>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</si>
  <si>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</si>
  <si>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</si>
  <si>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</si>
  <si>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</si>
  <si>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</si>
  <si>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</si>
  <si>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</si>
  <si>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</si>
  <si>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</si>
  <si>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</si>
  <si>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</si>
  <si>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</si>
  <si>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</si>
  <si>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</si>
  <si>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</si>
  <si>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</si>
  <si>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</si>
  <si>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</si>
  <si>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</si>
  <si>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</si>
  <si>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</si>
  <si>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</si>
  <si>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</si>
  <si>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</si>
  <si>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</si>
  <si>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</si>
  <si>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</si>
  <si>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</si>
  <si>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</si>
  <si>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</si>
  <si>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</si>
  <si>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</si>
  <si>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</si>
  <si>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</si>
  <si>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</si>
  <si>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</si>
  <si>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</si>
  <si>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</si>
  <si>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</si>
  <si>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</si>
  <si>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</si>
  <si>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</si>
  <si>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</si>
  <si>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</si>
  <si>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</si>
  <si>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</si>
  <si>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</si>
  <si>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</si>
  <si>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</si>
  <si>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</si>
  <si>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</si>
  <si>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</si>
  <si>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</si>
  <si>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</si>
  <si>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</si>
  <si>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</si>
  <si>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</si>
  <si>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</si>
  <si>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</si>
  <si>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</si>
  <si>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</si>
  <si>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</si>
  <si>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</si>
  <si>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</si>
  <si>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</si>
  <si>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</si>
  <si>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</si>
  <si>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</si>
  <si>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</si>
  <si>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</si>
  <si>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</si>
  <si>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</si>
  <si>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</si>
  <si>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</si>
  <si>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</si>
  <si>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</si>
  <si>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</si>
  <si>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</si>
  <si>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</si>
  <si>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</si>
  <si>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</si>
  <si>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</si>
  <si>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</si>
  <si>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</si>
  <si>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</si>
  <si>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</si>
  <si>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</si>
  <si>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</si>
  <si>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</si>
  <si>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</si>
  <si>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</si>
  <si>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</si>
  <si>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</si>
  <si>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</si>
  <si>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</si>
  <si>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</si>
  <si>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</si>
  <si>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</si>
  <si>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</si>
  <si>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</si>
  <si>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</si>
  <si>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</si>
  <si>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</si>
  <si>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</si>
  <si>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</si>
  <si>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</si>
  <si>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</si>
  <si>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</si>
  <si>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</si>
  <si>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</si>
  <si>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</si>
  <si>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</si>
  <si>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</si>
  <si>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</si>
  <si>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</si>
  <si>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</si>
  <si>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</si>
  <si>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</si>
  <si>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</si>
  <si>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</si>
  <si>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</si>
  <si>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</si>
  <si>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</si>
  <si>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</si>
  <si>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</si>
  <si>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</si>
  <si>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</si>
  <si>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</si>
  <si>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</si>
  <si>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</si>
  <si>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</si>
  <si>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</si>
  <si>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</si>
  <si>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</si>
  <si>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</si>
  <si>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</si>
  <si>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</si>
  <si>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</si>
  <si>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</si>
  <si>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</si>
  <si>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</si>
  <si>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</si>
  <si>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</si>
  <si>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</si>
  <si>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</si>
  <si>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</si>
  <si>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</si>
  <si>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</si>
  <si>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</si>
  <si>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</si>
  <si>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</si>
  <si>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</si>
  <si>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</si>
  <si>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</si>
  <si>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</si>
  <si>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</si>
  <si>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</si>
  <si>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</si>
  <si>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</si>
  <si>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</si>
  <si>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</si>
  <si>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</si>
  <si>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</si>
  <si>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</si>
  <si>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</si>
  <si>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</si>
  <si>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</si>
  <si>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</si>
  <si>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</si>
  <si>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</si>
  <si>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</si>
  <si>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</si>
  <si>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</si>
  <si>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</si>
  <si>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</si>
  <si>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</si>
  <si>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</si>
  <si>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</si>
  <si>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</si>
  <si>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</si>
  <si>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</si>
  <si>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</si>
  <si>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</si>
  <si>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</si>
  <si>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</si>
  <si>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</si>
  <si>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</si>
  <si>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</si>
  <si>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</si>
  <si>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</si>
  <si>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</si>
  <si>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</si>
  <si>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</si>
  <si>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</si>
  <si>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</si>
  <si>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</si>
  <si>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</si>
  <si>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</si>
  <si>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</si>
  <si>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</si>
  <si>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</si>
  <si>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</si>
  <si>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</si>
  <si>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</si>
  <si>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</si>
  <si>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</si>
  <si>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</si>
  <si>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</si>
  <si>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</si>
  <si>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</si>
  <si>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</si>
  <si>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</si>
  <si>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</si>
  <si>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</si>
  <si>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</si>
  <si>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</si>
  <si>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</si>
  <si>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</si>
  <si>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</si>
  <si>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</si>
  <si>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</si>
  <si>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</si>
  <si>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</si>
  <si>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</si>
  <si>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</si>
  <si>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</si>
  <si>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</si>
  <si>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</si>
  <si>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</si>
  <si>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</si>
  <si>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</si>
  <si>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</si>
  <si>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</si>
  <si>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</si>
  <si>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</si>
  <si>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</si>
  <si>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</si>
  <si>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</si>
  <si>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</si>
  <si>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</si>
  <si>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</si>
  <si>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</si>
  <si>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</si>
  <si>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</si>
  <si>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</si>
  <si>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</si>
  <si>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</si>
  <si>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</si>
  <si>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</si>
  <si>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</si>
  <si>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</si>
  <si>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</si>
  <si>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</si>
  <si>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</si>
  <si>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</si>
  <si>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</si>
  <si>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</si>
  <si>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</si>
  <si>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</si>
  <si>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</si>
  <si>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</si>
  <si>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</si>
  <si>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</si>
  <si>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</si>
  <si>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</si>
  <si>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</si>
  <si>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</si>
  <si>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</si>
  <si>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</si>
  <si>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</si>
  <si>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</si>
  <si>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</si>
  <si>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</si>
  <si>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</si>
  <si>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</si>
  <si>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</si>
  <si>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</si>
  <si>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</si>
  <si>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</si>
  <si>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</si>
  <si>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</si>
  <si>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</si>
  <si>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</si>
  <si>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</si>
  <si>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</si>
  <si>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</si>
  <si>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</si>
  <si>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</si>
  <si>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</si>
  <si>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</si>
  <si>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</si>
  <si>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</si>
  <si>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</si>
  <si>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</si>
  <si>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</si>
  <si>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</si>
  <si>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</si>
  <si>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</si>
  <si>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</si>
  <si>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</si>
  <si>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</si>
  <si>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</si>
  <si>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</si>
  <si>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</si>
  <si>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</si>
  <si>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</si>
  <si>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</si>
  <si>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</si>
  <si>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</si>
  <si>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</si>
  <si>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</si>
  <si>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</si>
  <si>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</si>
  <si>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</si>
  <si>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</si>
  <si>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</si>
  <si>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</si>
  <si>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</si>
  <si>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</si>
  <si>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</si>
  <si>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</si>
  <si>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</si>
  <si>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</si>
  <si>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</si>
  <si>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</si>
  <si>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</si>
  <si>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</si>
  <si>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</si>
  <si>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</si>
  <si>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</si>
  <si>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</si>
  <si>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</si>
  <si>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</si>
  <si>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</si>
  <si>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</si>
  <si>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</si>
  <si>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</si>
  <si>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</si>
  <si>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</si>
  <si>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</si>
  <si>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</si>
  <si>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</si>
  <si>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</si>
  <si>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</si>
  <si>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</si>
  <si>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</si>
  <si>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</si>
  <si>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</si>
  <si>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</si>
  <si>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</si>
  <si>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</si>
  <si>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</si>
  <si>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</si>
  <si>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</si>
  <si>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</si>
  <si>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</si>
  <si>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</si>
  <si>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</si>
  <si>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</si>
  <si>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</si>
  <si>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</si>
  <si>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</si>
  <si>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</si>
  <si>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</si>
  <si>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</si>
  <si>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</si>
  <si>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</si>
  <si>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</si>
  <si>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</si>
  <si>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</si>
  <si>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</si>
  <si>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</si>
  <si>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</si>
  <si>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</si>
  <si>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</si>
  <si>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</si>
  <si>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</si>
  <si>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</si>
  <si>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</si>
  <si>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</si>
  <si>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</si>
  <si>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</si>
  <si>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</si>
  <si>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</si>
  <si>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</si>
  <si>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</si>
  <si>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</si>
  <si>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</si>
  <si>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</si>
  <si>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</si>
  <si>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</si>
  <si>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</si>
  <si>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</si>
  <si>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</si>
  <si>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</si>
  <si>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</si>
  <si>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</si>
  <si>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</si>
  <si>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</si>
  <si>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</si>
  <si>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</si>
  <si>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</si>
  <si>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</si>
  <si>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</si>
  <si>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</si>
  <si>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</si>
  <si>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</si>
  <si>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</si>
  <si>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</si>
  <si>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</si>
  <si>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</si>
  <si>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</si>
  <si>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</si>
  <si>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</si>
  <si>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</si>
  <si>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</si>
  <si>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</si>
  <si>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</si>
  <si>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</si>
  <si>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</si>
  <si>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</si>
  <si>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</si>
  <si>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</si>
  <si>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</si>
  <si>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</si>
  <si>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</si>
  <si>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</si>
  <si>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</si>
  <si>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</si>
  <si>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</si>
  <si>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</si>
  <si>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</si>
  <si>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</si>
  <si>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</si>
  <si>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</si>
  <si>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</si>
  <si>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</si>
  <si>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</si>
  <si>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</si>
  <si>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</si>
  <si>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</si>
  <si>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</si>
  <si>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</si>
  <si>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</si>
  <si>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</si>
  <si>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</si>
  <si>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</si>
  <si>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</si>
  <si>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</si>
  <si>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</si>
  <si>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</si>
  <si>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</si>
  <si>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</si>
  <si>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</si>
  <si>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</si>
  <si>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</si>
  <si>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</si>
  <si>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</si>
  <si>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</si>
  <si>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</si>
  <si>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</si>
  <si>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</si>
  <si>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</si>
  <si>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</si>
  <si>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</si>
  <si>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</si>
  <si>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</si>
  <si>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</si>
  <si>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</si>
  <si>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</si>
  <si>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</si>
  <si>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</si>
  <si>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</si>
  <si>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</si>
  <si>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</si>
  <si>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</si>
  <si>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</si>
  <si>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</si>
  <si>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</si>
  <si>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</si>
  <si>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</si>
  <si>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</si>
  <si>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</si>
  <si>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</si>
  <si>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</si>
  <si>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</si>
  <si>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</si>
  <si>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</si>
  <si>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</si>
  <si>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</si>
  <si>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</si>
  <si>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</si>
  <si>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</si>
  <si>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</si>
  <si>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</si>
  <si>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</si>
  <si>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</si>
  <si>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</si>
  <si>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</si>
  <si>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</si>
  <si>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</si>
  <si>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</si>
  <si>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</si>
  <si>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</si>
  <si>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</si>
  <si>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</si>
  <si>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</si>
  <si>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</si>
  <si>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</si>
  <si>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</si>
  <si>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</si>
  <si>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</si>
  <si>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</si>
  <si>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</si>
  <si>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</si>
  <si>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</si>
  <si>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</si>
  <si>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</si>
  <si>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</si>
  <si>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</si>
  <si>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</si>
  <si>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</si>
  <si>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</si>
  <si>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</si>
  <si>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</si>
  <si>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</si>
  <si>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</si>
  <si>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</si>
  <si>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</si>
  <si>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</si>
  <si>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</si>
  <si>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</si>
  <si>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</si>
  <si>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</si>
  <si>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</si>
  <si>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</si>
  <si>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</si>
  <si>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</si>
  <si>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</si>
  <si>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</si>
  <si>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</si>
  <si>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</si>
  <si>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</si>
  <si>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</si>
  <si>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</si>
  <si>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</si>
  <si>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</si>
  <si>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</si>
  <si>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</si>
  <si>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</si>
  <si>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</si>
  <si>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</si>
  <si>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</si>
  <si>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</si>
  <si>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</si>
  <si>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</si>
  <si>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</si>
  <si>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</si>
  <si>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</si>
  <si>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</si>
  <si>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</si>
  <si>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</si>
  <si>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</si>
  <si>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</si>
  <si>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</si>
  <si>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</si>
  <si>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</si>
  <si>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</si>
  <si>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</si>
  <si>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</si>
  <si>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</si>
  <si>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</si>
  <si>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</si>
  <si>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</si>
  <si>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</si>
  <si>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</si>
  <si>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</si>
  <si>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</si>
  <si>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</si>
  <si>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</si>
  <si>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</si>
  <si>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</si>
  <si>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</si>
  <si>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</si>
  <si>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</si>
  <si>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</si>
  <si>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</si>
  <si>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</si>
  <si>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</si>
  <si>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</si>
  <si>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</si>
  <si>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</si>
  <si>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</si>
  <si>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</si>
  <si>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</si>
  <si>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</si>
  <si>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</si>
  <si>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</si>
  <si>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</si>
  <si>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</si>
  <si>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</si>
  <si>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</si>
  <si>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</si>
  <si>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</si>
  <si>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</si>
  <si>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</si>
  <si>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</si>
  <si>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</si>
  <si>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</si>
  <si>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</si>
  <si>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</si>
  <si>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</si>
  <si>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</si>
  <si>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</si>
  <si>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</si>
  <si>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</si>
  <si>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</si>
  <si>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</si>
  <si>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</si>
  <si>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</si>
  <si>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</si>
  <si>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</si>
  <si>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</si>
  <si>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</si>
  <si>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</si>
  <si>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</si>
  <si>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</si>
  <si>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</si>
  <si>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</si>
  <si>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</si>
  <si>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</si>
  <si>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</si>
  <si>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</si>
  <si>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</si>
  <si>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</si>
  <si>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</si>
  <si>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</si>
  <si>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</si>
  <si>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</si>
  <si>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</si>
  <si>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</si>
  <si>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</si>
  <si>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</si>
  <si>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</si>
  <si>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</si>
  <si>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</si>
  <si>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</si>
  <si>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</si>
  <si>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</si>
  <si>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</si>
  <si>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</si>
  <si>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</si>
  <si>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</si>
  <si>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</si>
  <si>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</si>
  <si>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</si>
  <si>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</si>
  <si>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</si>
  <si>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</si>
  <si>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</si>
  <si>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</si>
  <si>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</si>
  <si>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</si>
  <si>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</si>
  <si>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</si>
  <si>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</si>
  <si>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</si>
  <si>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</si>
  <si>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</si>
  <si>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</si>
  <si>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</si>
  <si>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</si>
  <si>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</si>
  <si>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</si>
  <si>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</si>
  <si>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</si>
  <si>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</si>
  <si>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</si>
  <si>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</si>
  <si>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</si>
  <si>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</si>
  <si>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</si>
  <si>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</si>
  <si>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</si>
  <si>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</si>
  <si>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</si>
  <si>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</si>
  <si>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</si>
  <si>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</si>
  <si>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</si>
  <si>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</si>
  <si>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</si>
  <si>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</si>
  <si>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</si>
  <si>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</si>
  <si>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</si>
  <si>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</si>
  <si>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</si>
  <si>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</si>
  <si>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</si>
  <si>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</si>
  <si>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</si>
  <si>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</si>
  <si>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</si>
  <si>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</si>
  <si>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</si>
  <si>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</si>
  <si>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</si>
  <si>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</si>
  <si>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</si>
  <si>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</si>
  <si>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</si>
  <si>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</si>
  <si>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</si>
  <si>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</si>
  <si>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</si>
  <si>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</si>
  <si>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</si>
  <si>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</si>
  <si>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</si>
  <si>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</si>
  <si>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</si>
  <si>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</si>
  <si>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</si>
  <si>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</si>
  <si>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</si>
  <si>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</si>
  <si>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</si>
  <si>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</si>
  <si>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</si>
  <si>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</si>
  <si>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</si>
  <si>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</si>
  <si>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</si>
  <si>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</si>
  <si>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</si>
  <si>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</si>
  <si>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</si>
  <si>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</si>
  <si>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</si>
  <si>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</si>
  <si>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</si>
  <si>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</si>
  <si>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</si>
  <si>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</si>
  <si>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</si>
  <si>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</si>
  <si>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</si>
  <si>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</si>
  <si>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</si>
  <si>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</si>
  <si>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</si>
  <si>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</si>
  <si>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</si>
  <si>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</si>
  <si>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</si>
  <si>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</si>
  <si>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</si>
  <si>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</si>
  <si>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</si>
  <si>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</si>
  <si>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</si>
  <si>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</si>
  <si>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</si>
  <si>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</si>
  <si>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</si>
  <si>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</si>
  <si>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</si>
  <si>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</si>
  <si>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</si>
  <si>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</si>
  <si>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</si>
  <si>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</si>
  <si>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</si>
  <si>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</si>
  <si>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</si>
  <si>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</si>
  <si>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</si>
  <si>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</si>
  <si>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</si>
  <si>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</si>
  <si>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</si>
  <si>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</si>
  <si>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</si>
  <si>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</si>
  <si>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</si>
  <si>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</si>
  <si>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</si>
  <si>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</si>
  <si>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</si>
  <si>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</si>
  <si>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</si>
  <si>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</si>
  <si>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</si>
  <si>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</si>
  <si>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</si>
  <si>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</si>
  <si>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</si>
  <si>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</si>
  <si>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</si>
  <si>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</si>
  <si>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</si>
  <si>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</si>
  <si>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</si>
  <si>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</si>
  <si>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</si>
  <si>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</si>
  <si>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</si>
  <si>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</si>
  <si>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</si>
  <si>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</si>
  <si>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</si>
  <si>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</si>
  <si>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</si>
  <si>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</si>
  <si>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</si>
  <si>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</si>
  <si>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</si>
  <si>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</si>
  <si>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</si>
  <si>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</si>
  <si>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</si>
  <si>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</si>
  <si>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</si>
  <si>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</si>
  <si>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</si>
  <si>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</si>
  <si>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</si>
  <si>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</si>
  <si>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</si>
  <si>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</si>
  <si>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</si>
  <si>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</si>
  <si>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</si>
  <si>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</si>
  <si>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</si>
  <si>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</si>
  <si>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</si>
  <si>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</si>
  <si>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</si>
  <si>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</si>
  <si>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</si>
  <si>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</si>
  <si>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</si>
  <si>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</si>
  <si>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</si>
  <si>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</si>
  <si>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</si>
  <si>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</si>
  <si>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</si>
  <si>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</si>
  <si>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</si>
  <si>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</si>
  <si>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</si>
  <si>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</si>
  <si>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</si>
  <si>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</si>
  <si>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</si>
  <si>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</si>
  <si>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</si>
  <si>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</si>
  <si>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</si>
  <si>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</si>
  <si>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</si>
  <si>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</si>
  <si>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</si>
  <si>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</si>
  <si>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</si>
  <si>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</si>
  <si>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</si>
  <si>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</si>
  <si>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</si>
  <si>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</si>
  <si>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</si>
  <si>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</si>
  <si>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</si>
  <si>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</si>
  <si>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</si>
  <si>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</si>
  <si>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</si>
  <si>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</si>
  <si>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</si>
  <si>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</si>
  <si>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</si>
  <si>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</si>
  <si>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</si>
  <si>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</si>
  <si>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</si>
  <si>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</si>
  <si>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</si>
  <si>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</si>
  <si>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</si>
  <si>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</si>
  <si>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</si>
  <si>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</si>
  <si>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</si>
  <si>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</si>
  <si>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</si>
  <si>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</si>
  <si>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</si>
  <si>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</si>
  <si>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</si>
  <si>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</si>
  <si>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</si>
  <si>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</si>
  <si>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</si>
  <si>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</si>
  <si>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</si>
  <si>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</si>
  <si>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</si>
  <si>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</si>
  <si>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</si>
  <si>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</si>
  <si>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</si>
  <si>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</si>
  <si>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</si>
  <si>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</si>
  <si>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</si>
  <si>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</si>
  <si>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</si>
  <si>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</si>
  <si>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</si>
  <si>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</si>
  <si>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</si>
  <si>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</si>
  <si>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</si>
  <si>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</si>
  <si>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</si>
  <si>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</si>
  <si>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</si>
  <si>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</si>
  <si>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</si>
  <si>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</si>
  <si>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</si>
  <si>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</si>
  <si>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</si>
  <si>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</si>
  <si>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</si>
  <si>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</si>
  <si>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</si>
  <si>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</si>
  <si>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</si>
  <si>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</si>
  <si>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</si>
  <si>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</si>
  <si>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</si>
  <si>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</si>
  <si>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</si>
  <si>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</si>
  <si>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</si>
  <si>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</si>
  <si>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</si>
  <si>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</si>
  <si>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</si>
  <si>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</si>
  <si>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</si>
  <si>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</si>
  <si>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</si>
  <si>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</si>
  <si>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</si>
  <si>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</si>
  <si>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</si>
  <si>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</si>
  <si>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</si>
  <si>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</si>
  <si>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</si>
  <si>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</si>
  <si>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</si>
  <si>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</si>
  <si>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</si>
  <si>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</si>
  <si>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</si>
  <si>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</si>
  <si>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</si>
  <si>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</si>
  <si>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</si>
  <si>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</si>
  <si>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</si>
  <si>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</si>
  <si>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</si>
  <si>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</si>
  <si>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</si>
  <si>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</si>
  <si>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</si>
  <si>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</si>
  <si>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</si>
  <si>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</si>
  <si>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</si>
  <si>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</si>
  <si>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</si>
  <si>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</si>
  <si>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</si>
  <si>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</si>
  <si>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</si>
  <si>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</si>
  <si>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</si>
  <si>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</si>
  <si>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</si>
  <si>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</si>
  <si>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</si>
  <si>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</si>
  <si>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</si>
  <si>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</si>
  <si>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</si>
  <si>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</si>
  <si>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</si>
  <si>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</si>
  <si>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</si>
  <si>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</si>
  <si>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</si>
  <si>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</si>
  <si>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</si>
  <si>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</si>
  <si>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</si>
  <si>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</si>
  <si>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</si>
  <si>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</si>
  <si>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</si>
  <si>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</si>
  <si>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</si>
  <si>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</si>
  <si>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</si>
  <si>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</si>
  <si>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</si>
  <si>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</si>
  <si>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</si>
  <si>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</si>
  <si>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</si>
  <si>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</si>
  <si>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</si>
  <si>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</si>
  <si>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</si>
  <si>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</si>
  <si>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</si>
  <si>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</si>
  <si>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</si>
  <si>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</si>
  <si>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</si>
  <si>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</si>
  <si>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</si>
  <si>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</si>
  <si>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</si>
  <si>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</si>
  <si>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</si>
  <si>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</si>
  <si>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</si>
  <si>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</si>
  <si>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</si>
  <si>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</si>
  <si>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</si>
  <si>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</si>
  <si>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</si>
  <si>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</si>
  <si>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</si>
  <si>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</si>
  <si>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</si>
  <si>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</si>
  <si>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</si>
  <si>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</si>
  <si>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</si>
  <si>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</si>
  <si>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</si>
  <si>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</si>
  <si>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</si>
  <si>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</si>
  <si>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</si>
  <si>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</si>
  <si>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</si>
  <si>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</si>
  <si>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</si>
  <si>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</si>
  <si>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</si>
  <si>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</si>
  <si>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</si>
  <si>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</si>
  <si>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</si>
  <si>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</si>
  <si>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</si>
  <si>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</si>
  <si>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</si>
  <si>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</si>
  <si>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</si>
  <si>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</si>
  <si>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</si>
  <si>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</si>
  <si>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</si>
  <si>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</si>
  <si>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</si>
  <si>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</si>
  <si>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</si>
  <si>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</si>
  <si>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</si>
  <si>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</si>
  <si>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</si>
  <si>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</si>
  <si>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</si>
  <si>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</si>
  <si>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</si>
  <si>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</si>
  <si>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</si>
  <si>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</si>
  <si>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</si>
  <si>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</si>
  <si>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</si>
  <si>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</si>
  <si>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</si>
  <si>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</si>
  <si>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</si>
  <si>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</si>
  <si>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</si>
  <si>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</si>
  <si>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</si>
  <si>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</si>
  <si>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</si>
  <si>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</si>
  <si>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</si>
  <si>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</si>
  <si>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</si>
  <si>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</si>
  <si>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</si>
  <si>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</si>
  <si>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</si>
  <si>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</si>
  <si>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</si>
  <si>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</si>
  <si>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</si>
  <si>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</si>
  <si>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</si>
  <si>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</si>
  <si>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</si>
  <si>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</si>
  <si>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</si>
  <si>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</si>
  <si>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</si>
  <si>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</si>
  <si>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</si>
  <si>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</si>
  <si>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</si>
  <si>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</si>
  <si>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</si>
  <si>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</si>
  <si>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</si>
  <si>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</si>
  <si>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</si>
  <si>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</si>
  <si>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</si>
  <si>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</si>
  <si>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</si>
  <si>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</si>
  <si>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</si>
  <si>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</si>
  <si>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</si>
  <si>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</si>
  <si>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</si>
  <si>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</si>
  <si>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</si>
  <si>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</si>
  <si>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</si>
  <si>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</si>
  <si>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</si>
  <si>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</si>
  <si>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</si>
  <si>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</si>
  <si>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</si>
  <si>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</si>
  <si>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</si>
  <si>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</si>
  <si>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</si>
  <si>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</si>
  <si>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</si>
  <si>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</si>
  <si>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</si>
  <si>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</si>
  <si>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</si>
  <si>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</si>
  <si>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</si>
  <si>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</si>
  <si>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</si>
  <si>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</si>
  <si>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</si>
  <si>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</si>
  <si>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</si>
  <si>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</si>
  <si>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</si>
  <si>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</si>
  <si>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</si>
  <si>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</si>
  <si>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</si>
  <si>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</si>
  <si>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</si>
  <si>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</si>
  <si>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</si>
  <si>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</si>
  <si>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</si>
  <si>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</si>
  <si>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</si>
  <si>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</si>
  <si>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</si>
  <si>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</si>
  <si>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</si>
  <si>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</si>
  <si>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</si>
  <si>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</si>
  <si>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</si>
  <si>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</si>
  <si>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</si>
  <si>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</si>
  <si>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</si>
  <si>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</si>
  <si>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</si>
  <si>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</si>
  <si>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</si>
  <si>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</si>
  <si>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</si>
  <si>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</si>
  <si>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</si>
  <si>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</si>
  <si>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</si>
  <si>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</si>
  <si>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</si>
  <si>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</si>
  <si>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</si>
  <si>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</si>
  <si>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</si>
  <si>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</si>
  <si>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</si>
  <si>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</si>
  <si>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</si>
  <si>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</si>
  <si>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</si>
  <si>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</si>
  <si>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</si>
  <si>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</si>
  <si>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</si>
  <si>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</si>
  <si>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</si>
  <si>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</si>
  <si>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</si>
  <si>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</si>
  <si>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</si>
  <si>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</si>
  <si>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</si>
  <si>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</si>
  <si>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</si>
  <si>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</si>
  <si>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</si>
  <si>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</si>
  <si>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</si>
  <si>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</si>
  <si>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</si>
  <si>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</si>
  <si>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</si>
  <si>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</si>
  <si>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</si>
  <si>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</si>
  <si>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</si>
  <si>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</si>
  <si>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</si>
  <si>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</si>
  <si>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</si>
  <si>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</si>
  <si>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</si>
  <si>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</si>
  <si>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</si>
  <si>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</si>
  <si>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</si>
  <si>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</si>
  <si>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</si>
  <si>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</si>
  <si>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</si>
  <si>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</si>
  <si>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</si>
  <si>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</si>
  <si>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</si>
  <si>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</si>
  <si>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</si>
  <si>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</si>
  <si>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</si>
  <si>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</si>
  <si>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</si>
  <si>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</si>
  <si>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</si>
  <si>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</si>
  <si>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</si>
  <si>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</si>
  <si>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</si>
  <si>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</si>
  <si>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</si>
  <si>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</si>
  <si>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</si>
  <si>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</si>
  <si>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</si>
  <si>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</si>
  <si>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</si>
  <si>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</si>
  <si>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</si>
  <si>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</si>
  <si>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</si>
  <si>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</si>
  <si>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</si>
  <si>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</si>
  <si>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</si>
  <si>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</si>
  <si>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</si>
  <si>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</si>
  <si>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</si>
  <si>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</si>
  <si>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</si>
  <si>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</si>
  <si>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</si>
  <si>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</si>
  <si>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</si>
  <si>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</si>
  <si>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</si>
  <si>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</si>
  <si>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</si>
  <si>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</si>
  <si>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</si>
  <si>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</si>
  <si>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</si>
  <si>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</si>
  <si>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</si>
  <si>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</si>
  <si>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</si>
  <si>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</si>
  <si>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</si>
  <si>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</si>
  <si>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</si>
  <si>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</si>
  <si>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</si>
  <si>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</si>
  <si>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</si>
  <si>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</si>
  <si>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</si>
  <si>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</si>
  <si>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</si>
  <si>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</si>
  <si>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</si>
  <si>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</si>
  <si>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</si>
  <si>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</si>
  <si>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</si>
  <si>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</si>
  <si>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</si>
  <si>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</si>
  <si>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</si>
  <si>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</si>
  <si>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</si>
  <si>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</si>
  <si>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</si>
  <si>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</si>
  <si>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</si>
  <si>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</si>
  <si>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</si>
  <si>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</si>
  <si>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</si>
  <si>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</si>
  <si>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</si>
  <si>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</si>
  <si>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</si>
  <si>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</si>
  <si>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</si>
  <si>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</si>
  <si>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</si>
  <si>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</si>
  <si>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</si>
  <si>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</si>
  <si>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</si>
  <si>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</si>
  <si>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</si>
  <si>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</si>
  <si>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</si>
  <si>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</si>
  <si>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</si>
  <si>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</si>
  <si>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</si>
  <si>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</si>
  <si>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</si>
  <si>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</si>
  <si>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</si>
  <si>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</si>
  <si>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</si>
  <si>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</si>
  <si>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</si>
  <si>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</si>
  <si>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</si>
  <si>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</si>
  <si>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</si>
  <si>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</si>
  <si>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</si>
  <si>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</si>
  <si>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</si>
  <si>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</si>
  <si>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</si>
  <si>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</si>
  <si>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</si>
  <si>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</si>
  <si>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</si>
  <si>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</si>
  <si>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</si>
  <si>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</si>
  <si>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</si>
  <si>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</si>
  <si>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</si>
  <si>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</si>
  <si>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</si>
  <si>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</si>
  <si>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</si>
  <si>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</si>
  <si>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</si>
  <si>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</si>
  <si>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</si>
  <si>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</si>
  <si>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</si>
  <si>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</si>
  <si>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</si>
  <si>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</si>
  <si>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</si>
  <si>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</si>
  <si>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</si>
  <si>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</si>
  <si>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</si>
  <si>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</si>
  <si>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</si>
  <si>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</si>
  <si>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</si>
  <si>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</si>
  <si>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</si>
  <si>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</si>
  <si>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</si>
  <si>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</si>
  <si>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</si>
  <si>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</si>
  <si>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</si>
  <si>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</si>
  <si>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</si>
  <si>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</si>
  <si>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</si>
  <si>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</si>
  <si>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</si>
  <si>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</si>
  <si>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</si>
  <si>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</si>
  <si>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</si>
  <si>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</si>
  <si>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</si>
  <si>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</si>
  <si>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</si>
  <si>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</si>
  <si>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</si>
  <si>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</si>
  <si>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</si>
  <si>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</si>
  <si>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</si>
  <si>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</si>
  <si>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</si>
  <si>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</si>
  <si>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</si>
  <si>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</si>
  <si>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</si>
  <si>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</si>
  <si>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</si>
  <si>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</si>
  <si>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</si>
  <si>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</si>
  <si>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</si>
  <si>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</si>
  <si>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</si>
  <si>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</si>
  <si>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</si>
  <si>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</si>
  <si>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</si>
  <si>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</si>
  <si>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</si>
  <si>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</si>
  <si>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</si>
  <si>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</si>
  <si>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</si>
  <si>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</si>
  <si>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</si>
  <si>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</si>
  <si>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</si>
  <si>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</si>
  <si>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</si>
  <si>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</si>
  <si>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</si>
  <si>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</si>
  <si>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</si>
  <si>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</si>
  <si>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</si>
  <si>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</si>
  <si>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</si>
  <si>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</si>
  <si>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</si>
  <si>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</si>
  <si>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</si>
  <si>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</si>
  <si>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</si>
  <si>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</si>
  <si>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</si>
  <si>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</si>
  <si>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</si>
  <si>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</si>
  <si>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</si>
  <si>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</si>
  <si>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</si>
  <si>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</si>
  <si>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</si>
  <si>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</si>
  <si>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</si>
  <si>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</si>
  <si>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</si>
  <si>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</si>
  <si>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</si>
  <si>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</si>
  <si>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</si>
  <si>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</si>
  <si>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</si>
  <si>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</si>
  <si>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</si>
  <si>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</si>
  <si>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</si>
  <si>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</si>
  <si>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</si>
  <si>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</si>
  <si>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</si>
  <si>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</si>
  <si>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</si>
  <si>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</si>
  <si>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</si>
  <si>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</si>
  <si>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</si>
  <si>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</si>
  <si>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</si>
  <si>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</si>
  <si>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</si>
  <si>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</si>
  <si>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</si>
  <si>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</si>
  <si>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</si>
  <si>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</si>
  <si>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</si>
  <si>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</si>
  <si>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</si>
  <si>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</si>
  <si>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</si>
  <si>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</si>
  <si>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</si>
  <si>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</si>
  <si>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</si>
  <si>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</si>
  <si>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</si>
  <si>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</si>
  <si>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</si>
  <si>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</si>
  <si>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</si>
  <si>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</si>
  <si>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</si>
  <si>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</si>
  <si>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</si>
  <si>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</si>
  <si>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</si>
  <si>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</si>
  <si>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</si>
  <si>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</si>
  <si>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</si>
  <si>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</si>
  <si>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</si>
  <si>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</si>
  <si>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</si>
  <si>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</si>
  <si>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</si>
  <si>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</si>
  <si>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</si>
  <si>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</si>
  <si>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</si>
  <si>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</si>
  <si>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</si>
  <si>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</si>
  <si>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</si>
  <si>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</si>
  <si>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</si>
  <si>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</si>
  <si>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</si>
  <si>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</si>
  <si>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</si>
  <si>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</si>
  <si>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</si>
  <si>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</si>
  <si>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</si>
  <si>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</si>
  <si>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</si>
  <si>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</si>
  <si>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</si>
  <si>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</si>
  <si>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</si>
  <si>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</si>
  <si>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</si>
  <si>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</si>
  <si>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</si>
  <si>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</si>
  <si>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</si>
  <si>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</si>
  <si>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</si>
  <si>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</si>
  <si>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</si>
  <si>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</si>
  <si>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</si>
  <si>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</si>
  <si>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</si>
  <si>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</si>
  <si>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</si>
  <si>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</si>
  <si>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</si>
  <si>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</si>
  <si>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</si>
  <si>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</si>
  <si>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</si>
  <si>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</si>
  <si>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</si>
  <si>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</si>
  <si>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</si>
  <si>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</si>
  <si>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</si>
  <si>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</si>
  <si>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</si>
  <si>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</si>
  <si>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</si>
  <si>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</si>
  <si>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</si>
  <si>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</si>
  <si>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</si>
  <si>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</si>
  <si>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</si>
  <si>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</si>
  <si>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</si>
  <si>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</si>
  <si>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</si>
  <si>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</si>
  <si>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</si>
  <si>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</si>
  <si>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</si>
  <si>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</si>
  <si>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</si>
  <si>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</si>
  <si>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</si>
  <si>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</si>
  <si>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</si>
  <si>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</si>
  <si>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</si>
  <si>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</si>
  <si>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</si>
  <si>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</si>
  <si>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</si>
  <si>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</si>
  <si>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</si>
  <si>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</si>
  <si>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</si>
  <si>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</si>
  <si>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</si>
  <si>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</si>
  <si>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</si>
  <si>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</si>
  <si>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</si>
  <si>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</si>
  <si>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</si>
  <si>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</si>
  <si>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</si>
  <si>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</si>
  <si>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</si>
  <si>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</si>
  <si>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</si>
  <si>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</si>
  <si>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</si>
  <si>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</si>
  <si>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</si>
  <si>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</si>
  <si>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</si>
  <si>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</si>
  <si>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</si>
  <si>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</si>
  <si>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</si>
  <si>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</si>
  <si>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</si>
  <si>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</si>
  <si>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</si>
  <si>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</si>
  <si>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</si>
  <si>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</si>
  <si>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</si>
  <si>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</si>
  <si>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</si>
  <si>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</si>
  <si>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</si>
  <si>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</si>
  <si>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</si>
  <si>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</si>
  <si>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</si>
  <si>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</si>
  <si>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</si>
  <si>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</si>
  <si>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</si>
  <si>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</si>
  <si>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</si>
  <si>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</si>
  <si>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</si>
  <si>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</si>
  <si>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</si>
  <si>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</si>
  <si>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</si>
  <si>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</si>
  <si>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</si>
  <si>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</si>
  <si>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</si>
  <si>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</si>
  <si>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</si>
  <si>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</si>
  <si>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</si>
  <si>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</si>
  <si>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</si>
  <si>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</si>
  <si>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</si>
  <si>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</si>
  <si>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</si>
  <si>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</si>
  <si>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</si>
  <si>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</si>
  <si>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</si>
  <si>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</si>
  <si>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</si>
  <si>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</si>
  <si>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</si>
  <si>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</si>
  <si>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</si>
  <si>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</si>
  <si>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</si>
  <si>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</si>
  <si>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</si>
  <si>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</si>
  <si>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</si>
  <si>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</si>
  <si>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</si>
  <si>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</si>
  <si>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</si>
  <si>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</si>
  <si>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</si>
  <si>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</si>
  <si>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</si>
  <si>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</si>
  <si>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</si>
  <si>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</si>
  <si>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</si>
  <si>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</si>
  <si>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</si>
  <si>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</si>
  <si>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</si>
  <si>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</si>
  <si>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</si>
  <si>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</si>
  <si>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</si>
  <si>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</si>
  <si>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</si>
  <si>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</si>
  <si>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</si>
  <si>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</si>
  <si>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</si>
  <si>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</si>
  <si>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</si>
  <si>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</si>
  <si>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</si>
  <si>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</si>
  <si>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</si>
  <si>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</si>
  <si>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</si>
  <si>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</si>
  <si>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</si>
  <si>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</si>
  <si>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</si>
  <si>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</si>
  <si>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</si>
  <si>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</si>
  <si>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</si>
  <si>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</si>
  <si>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</si>
  <si>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</si>
  <si>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</si>
  <si>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</si>
  <si>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</si>
  <si>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</si>
  <si>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</si>
  <si>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</si>
  <si>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</si>
  <si>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</si>
  <si>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</si>
  <si>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</si>
  <si>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</si>
  <si>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</si>
  <si>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</si>
  <si>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</si>
  <si>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</si>
  <si>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</si>
  <si>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</si>
  <si>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</si>
  <si>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</si>
  <si>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</si>
  <si>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</si>
  <si>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</si>
  <si>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</si>
  <si>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</si>
  <si>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</si>
  <si>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</si>
  <si>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</si>
  <si>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</si>
  <si>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</si>
  <si>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</si>
  <si>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</si>
  <si>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</si>
  <si>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</si>
  <si>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</si>
  <si>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</si>
  <si>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</si>
  <si>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</si>
  <si>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</si>
  <si>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</si>
  <si>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</si>
  <si>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</si>
  <si>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</si>
  <si>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</si>
  <si>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</si>
  <si>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</si>
  <si>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</si>
  <si>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</si>
  <si>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</si>
  <si>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</si>
  <si>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</si>
  <si>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</si>
  <si>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</si>
  <si>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</si>
  <si>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</si>
  <si>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</si>
  <si>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</si>
  <si>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</si>
  <si>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</si>
  <si>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</si>
  <si>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</si>
  <si>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</si>
  <si>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</si>
  <si>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</si>
  <si>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</si>
  <si>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</si>
  <si>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</si>
  <si>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</si>
  <si>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</si>
  <si>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</si>
  <si>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</si>
  <si>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</si>
  <si>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</si>
  <si>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</si>
  <si>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</si>
  <si>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</si>
  <si>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</si>
  <si>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</si>
  <si>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</si>
  <si>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</si>
  <si>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</si>
  <si>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</si>
  <si>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</si>
  <si>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</si>
  <si>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</si>
  <si>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</si>
  <si>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</si>
  <si>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</si>
  <si>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</si>
  <si>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</si>
  <si>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</si>
  <si>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</si>
  <si>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</si>
  <si>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</si>
  <si>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</si>
  <si>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</si>
  <si>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</si>
  <si>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</si>
  <si>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</si>
  <si>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</si>
  <si>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</si>
  <si>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</si>
  <si>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</si>
  <si>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</si>
  <si>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</si>
  <si>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</si>
  <si>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</si>
  <si>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</si>
  <si>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</si>
  <si>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</si>
  <si>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</si>
  <si>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</si>
  <si>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</si>
  <si>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</si>
  <si>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</si>
  <si>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</si>
  <si>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</si>
  <si>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</si>
  <si>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</si>
  <si>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</si>
  <si>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</si>
  <si>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</si>
  <si>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</si>
  <si>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</si>
  <si>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</si>
  <si>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</si>
  <si>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</si>
  <si>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</si>
  <si>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</si>
  <si>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</si>
  <si>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</si>
  <si>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</si>
  <si>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</si>
  <si>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</si>
  <si>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</si>
  <si>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</si>
  <si>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</si>
  <si>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</si>
  <si>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</si>
  <si>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</si>
  <si>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</si>
  <si>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</si>
  <si>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</si>
  <si>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</si>
  <si>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</si>
  <si>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</si>
  <si>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</si>
  <si>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</si>
  <si>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</si>
  <si>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</si>
  <si>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</si>
  <si>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S.T.W / HATCH 쇼바 작업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</si>
  <si>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</si>
  <si>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</si>
  <si>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</si>
  <si>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</si>
  <si>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</si>
  <si>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 xml:space="preserve">인입식 해상수급장치 빌지센서 작업 / 
LEVEL SENSOR SEAT 설치 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</si>
  <si>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</si>
  <si>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</si>
  <si>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</si>
  <si>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</si>
  <si>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</si>
  <si>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</si>
  <si>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</si>
  <si>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</si>
  <si>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</si>
  <si>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</si>
  <si>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</si>
  <si>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</si>
  <si>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</si>
  <si>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</si>
  <si>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</si>
  <si>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</si>
  <si>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</si>
  <si>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</si>
  <si>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시간  확정 나면 정수용 차장님께 전달</t>
    <phoneticPr fontId="2" type="noConversion"/>
  </si>
  <si>
    <t>장신후 중사 010-5067-9827
03/09~13일 중 요청옴/출입신청완료</t>
    <phoneticPr fontId="2" type="noConversion"/>
  </si>
  <si>
    <t>자재입고확인중../입고일 확인 후 일정 조율 필요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</si>
  <si>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</si>
  <si>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</si>
  <si>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</si>
  <si>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</si>
  <si>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가셨는지 확인하기</t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</si>
  <si>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</si>
  <si>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</si>
  <si>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</si>
  <si>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</si>
  <si>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</si>
  <si>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010-9664-9042
자재 확인하기 / 별도 출입신청은 없음</t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</si>
  <si>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</si>
  <si>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3/13일 묵호항 별도 출입신청 없는지 확인해보기</t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</si>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</sst>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270" zoomScaleNormal="100" workbookViewId="0">
      <selection activeCell="H276" sqref="H27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83" t="s">
        <v>3348</v>
      </c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4" t="s">
        <v>13</v>
      </c>
      <c r="O2" s="345" t="s">
        <v>63</v>
      </c>
    </row>
    <row r="3" spans="1:17" s="18" customFormat="1" ht="33" customHeight="1">
      <c r="A3" s="565" t="s">
        <v>3434</v>
      </c>
      <c r="B3" s="566">
        <v>46020</v>
      </c>
      <c r="C3" s="492" t="s">
        <v>3435</v>
      </c>
      <c r="D3" s="492" t="s">
        <v>14</v>
      </c>
      <c r="E3" s="493" t="s">
        <v>3436</v>
      </c>
      <c r="F3" s="493" t="s">
        <v>3437</v>
      </c>
      <c r="G3" s="494" t="s">
        <v>3438</v>
      </c>
      <c r="H3" s="488" t="s">
        <v>3439</v>
      </c>
      <c r="I3" s="493" t="s">
        <v>90</v>
      </c>
      <c r="J3" s="488" t="s">
        <v>3440</v>
      </c>
      <c r="K3" s="495" t="s">
        <v>15</v>
      </c>
      <c r="L3" s="494"/>
      <c r="M3" s="496">
        <v>3</v>
      </c>
      <c r="N3" s="493" t="s">
        <v>3441</v>
      </c>
      <c r="O3" s="554" t="s">
        <v>3442</v>
      </c>
    </row>
    <row r="4" spans="1:17" s="18" customFormat="1" ht="33" customHeight="1">
      <c r="A4" s="567"/>
      <c r="B4" s="566">
        <v>46020</v>
      </c>
      <c r="C4" s="492" t="s">
        <v>21</v>
      </c>
      <c r="D4" s="492" t="s">
        <v>3443</v>
      </c>
      <c r="E4" s="493" t="s">
        <v>212</v>
      </c>
      <c r="F4" s="493" t="s">
        <v>3444</v>
      </c>
      <c r="G4" s="494" t="s">
        <v>3377</v>
      </c>
      <c r="H4" s="488" t="s">
        <v>3445</v>
      </c>
      <c r="I4" s="493" t="s">
        <v>1958</v>
      </c>
      <c r="J4" s="488" t="s">
        <v>2851</v>
      </c>
      <c r="K4" s="495" t="s">
        <v>15</v>
      </c>
      <c r="L4" s="494">
        <v>9080</v>
      </c>
      <c r="M4" s="496">
        <v>2</v>
      </c>
      <c r="N4" s="488"/>
      <c r="O4" s="552" t="s">
        <v>4903</v>
      </c>
    </row>
    <row r="5" spans="1:17" s="18" customFormat="1" ht="33" customHeight="1">
      <c r="A5" s="567"/>
      <c r="B5" s="566">
        <v>46021</v>
      </c>
      <c r="C5" s="492" t="s">
        <v>21</v>
      </c>
      <c r="D5" s="492" t="s">
        <v>3427</v>
      </c>
      <c r="E5" s="493" t="s">
        <v>141</v>
      </c>
      <c r="F5" s="494" t="s">
        <v>3446</v>
      </c>
      <c r="G5" s="494" t="s">
        <v>3428</v>
      </c>
      <c r="H5" s="488" t="s">
        <v>3447</v>
      </c>
      <c r="I5" s="493"/>
      <c r="J5" s="488" t="s">
        <v>3448</v>
      </c>
      <c r="K5" s="495" t="s">
        <v>15</v>
      </c>
      <c r="L5" s="494"/>
      <c r="M5" s="496">
        <v>5</v>
      </c>
      <c r="N5" s="501"/>
      <c r="O5" s="552" t="s">
        <v>3449</v>
      </c>
      <c r="P5" s="443" t="s">
        <v>3450</v>
      </c>
      <c r="Q5"/>
    </row>
    <row r="6" spans="1:17" s="18" customFormat="1" ht="33" customHeight="1">
      <c r="A6" s="567"/>
      <c r="B6" s="566">
        <v>46021</v>
      </c>
      <c r="C6" s="492" t="s">
        <v>21</v>
      </c>
      <c r="D6" s="492" t="s">
        <v>3427</v>
      </c>
      <c r="E6" s="493" t="s">
        <v>1902</v>
      </c>
      <c r="F6" s="493" t="s">
        <v>3437</v>
      </c>
      <c r="G6" s="494" t="s">
        <v>3451</v>
      </c>
      <c r="H6" s="488" t="s">
        <v>3452</v>
      </c>
      <c r="I6" s="493" t="s">
        <v>3453</v>
      </c>
      <c r="J6" s="493" t="s">
        <v>3454</v>
      </c>
      <c r="K6" s="495" t="s">
        <v>15</v>
      </c>
      <c r="L6" s="494"/>
      <c r="M6" s="496">
        <v>2</v>
      </c>
      <c r="N6" s="493"/>
      <c r="O6" s="554" t="s">
        <v>3455</v>
      </c>
      <c r="Q6"/>
    </row>
    <row r="7" spans="1:17" s="18" customFormat="1" ht="33" customHeight="1">
      <c r="A7" s="567"/>
      <c r="B7" s="566">
        <v>46021</v>
      </c>
      <c r="C7" s="492" t="s">
        <v>3419</v>
      </c>
      <c r="D7" s="492" t="s">
        <v>14</v>
      </c>
      <c r="E7" s="493" t="s">
        <v>3456</v>
      </c>
      <c r="F7" s="493" t="s">
        <v>3375</v>
      </c>
      <c r="G7" s="494" t="s">
        <v>3457</v>
      </c>
      <c r="H7" s="488" t="s">
        <v>3445</v>
      </c>
      <c r="I7" s="493" t="s">
        <v>3458</v>
      </c>
      <c r="J7" s="488" t="s">
        <v>2851</v>
      </c>
      <c r="K7" s="495" t="s">
        <v>15</v>
      </c>
      <c r="L7" s="494"/>
      <c r="M7" s="496">
        <v>3</v>
      </c>
      <c r="N7" s="493"/>
      <c r="O7" s="552" t="s">
        <v>3459</v>
      </c>
      <c r="Q7"/>
    </row>
    <row r="8" spans="1:17" s="18" customFormat="1" ht="33" customHeight="1">
      <c r="A8" s="567"/>
      <c r="B8" s="566">
        <v>46022</v>
      </c>
      <c r="C8" s="568" t="s">
        <v>21</v>
      </c>
      <c r="D8" s="568" t="s">
        <v>17</v>
      </c>
      <c r="E8" s="569" t="s">
        <v>78</v>
      </c>
      <c r="F8" s="569" t="s">
        <v>1654</v>
      </c>
      <c r="G8" s="570" t="s">
        <v>23</v>
      </c>
      <c r="H8" s="571" t="s">
        <v>3460</v>
      </c>
      <c r="I8" s="569" t="s">
        <v>90</v>
      </c>
      <c r="J8" s="569" t="s">
        <v>3461</v>
      </c>
      <c r="K8" s="572" t="s">
        <v>15</v>
      </c>
      <c r="L8" s="570"/>
      <c r="M8" s="573">
        <v>3</v>
      </c>
      <c r="N8" s="569"/>
      <c r="O8" s="574" t="s">
        <v>3462</v>
      </c>
      <c r="Q8" s="457"/>
    </row>
    <row r="9" spans="1:17" s="18" customFormat="1" ht="33" customHeight="1">
      <c r="A9" s="567"/>
      <c r="B9" s="566">
        <v>46022</v>
      </c>
      <c r="C9" s="492" t="s">
        <v>21</v>
      </c>
      <c r="D9" s="492" t="s">
        <v>3369</v>
      </c>
      <c r="E9" s="493" t="s">
        <v>1796</v>
      </c>
      <c r="F9" s="493" t="s">
        <v>2145</v>
      </c>
      <c r="G9" s="494" t="s">
        <v>4553</v>
      </c>
      <c r="H9" s="488" t="s">
        <v>4554</v>
      </c>
      <c r="I9" s="493"/>
      <c r="J9" s="488" t="s">
        <v>3463</v>
      </c>
      <c r="K9" s="495" t="s">
        <v>15</v>
      </c>
      <c r="L9" s="494"/>
      <c r="M9" s="496">
        <v>2</v>
      </c>
      <c r="N9" s="493" t="s">
        <v>173</v>
      </c>
      <c r="O9" s="552" t="s">
        <v>3464</v>
      </c>
      <c r="P9" s="458" t="s">
        <v>3465</v>
      </c>
      <c r="Q9" s="457"/>
    </row>
    <row r="10" spans="1:17" s="18" customFormat="1" ht="33" customHeight="1">
      <c r="A10" s="567"/>
      <c r="B10" s="566">
        <v>46022</v>
      </c>
      <c r="C10" s="492" t="s">
        <v>21</v>
      </c>
      <c r="D10" s="492" t="s">
        <v>3427</v>
      </c>
      <c r="E10" s="493" t="s">
        <v>159</v>
      </c>
      <c r="F10" s="493">
        <v>222003</v>
      </c>
      <c r="G10" s="494" t="s">
        <v>103</v>
      </c>
      <c r="H10" s="488" t="s">
        <v>3466</v>
      </c>
      <c r="I10" s="493"/>
      <c r="J10" s="488" t="s">
        <v>688</v>
      </c>
      <c r="K10" s="495" t="s">
        <v>3467</v>
      </c>
      <c r="L10" s="494"/>
      <c r="M10" s="496">
        <v>1</v>
      </c>
      <c r="N10" s="493"/>
      <c r="O10" s="556" t="s">
        <v>5370</v>
      </c>
      <c r="Q10" s="457"/>
    </row>
    <row r="11" spans="1:17" s="18" customFormat="1" ht="33" customHeight="1">
      <c r="A11" s="567"/>
      <c r="B11" s="566">
        <v>46022</v>
      </c>
      <c r="C11" s="492" t="s">
        <v>3419</v>
      </c>
      <c r="D11" s="492" t="s">
        <v>3468</v>
      </c>
      <c r="E11" s="493" t="s">
        <v>1902</v>
      </c>
      <c r="F11" s="493" t="s">
        <v>3469</v>
      </c>
      <c r="G11" s="494" t="s">
        <v>3410</v>
      </c>
      <c r="H11" s="488" t="s">
        <v>3470</v>
      </c>
      <c r="I11" s="493"/>
      <c r="J11" s="488" t="s">
        <v>3358</v>
      </c>
      <c r="K11" s="495" t="s">
        <v>3422</v>
      </c>
      <c r="L11" s="494"/>
      <c r="M11" s="496">
        <v>1</v>
      </c>
      <c r="N11" s="493"/>
      <c r="O11" s="556" t="s">
        <v>3603</v>
      </c>
      <c r="Q11" s="457"/>
    </row>
    <row r="12" spans="1:17" s="18" customFormat="1" ht="33" customHeight="1">
      <c r="A12" s="567"/>
      <c r="B12" s="566">
        <v>46022</v>
      </c>
      <c r="C12" s="492" t="s">
        <v>3435</v>
      </c>
      <c r="D12" s="492" t="s">
        <v>14</v>
      </c>
      <c r="E12" s="493" t="s">
        <v>3436</v>
      </c>
      <c r="F12" s="493" t="s">
        <v>2728</v>
      </c>
      <c r="G12" s="494" t="s">
        <v>23</v>
      </c>
      <c r="H12" s="488" t="s">
        <v>3472</v>
      </c>
      <c r="I12" s="493" t="s">
        <v>90</v>
      </c>
      <c r="J12" s="488" t="s">
        <v>688</v>
      </c>
      <c r="K12" s="495" t="s">
        <v>15</v>
      </c>
      <c r="L12" s="494"/>
      <c r="M12" s="496">
        <v>2</v>
      </c>
      <c r="N12" s="493"/>
      <c r="O12" s="556" t="s">
        <v>3471</v>
      </c>
      <c r="Q12" s="457"/>
    </row>
    <row r="13" spans="1:17" s="18" customFormat="1" ht="33" customHeight="1">
      <c r="A13" s="567"/>
      <c r="B13" s="566">
        <v>46022</v>
      </c>
      <c r="C13" s="492" t="s">
        <v>3419</v>
      </c>
      <c r="D13" s="492" t="s">
        <v>14</v>
      </c>
      <c r="E13" s="493" t="s">
        <v>3474</v>
      </c>
      <c r="F13" s="488">
        <v>7064</v>
      </c>
      <c r="G13" s="494" t="s">
        <v>83</v>
      </c>
      <c r="H13" s="521" t="s">
        <v>3475</v>
      </c>
      <c r="I13" s="488"/>
      <c r="J13" s="488" t="s">
        <v>3585</v>
      </c>
      <c r="K13" s="495" t="s">
        <v>15</v>
      </c>
      <c r="L13" s="494"/>
      <c r="M13" s="496">
        <v>3</v>
      </c>
      <c r="N13" s="493"/>
      <c r="O13" s="556" t="s">
        <v>3477</v>
      </c>
      <c r="Q13" s="457"/>
    </row>
    <row r="14" spans="1:17" s="18" customFormat="1" ht="33" customHeight="1">
      <c r="A14" s="567"/>
      <c r="B14" s="566">
        <v>46023</v>
      </c>
      <c r="C14" s="492"/>
      <c r="D14" s="492"/>
      <c r="E14" s="493"/>
      <c r="F14" s="493"/>
      <c r="G14" s="494"/>
      <c r="H14" s="575" t="s">
        <v>3478</v>
      </c>
      <c r="I14" s="493"/>
      <c r="J14" s="488"/>
      <c r="K14" s="495"/>
      <c r="L14" s="494"/>
      <c r="M14" s="496"/>
      <c r="N14" s="493"/>
      <c r="O14" s="576"/>
    </row>
    <row r="15" spans="1:17" s="18" customFormat="1" ht="33" customHeight="1">
      <c r="A15" s="567"/>
      <c r="B15" s="566">
        <v>46023</v>
      </c>
      <c r="C15" s="492"/>
      <c r="D15" s="492"/>
      <c r="E15" s="493"/>
      <c r="F15" s="493"/>
      <c r="G15" s="494"/>
      <c r="H15" s="488"/>
      <c r="I15" s="493"/>
      <c r="J15" s="493"/>
      <c r="K15" s="495"/>
      <c r="L15" s="494"/>
      <c r="M15" s="496"/>
      <c r="N15" s="493"/>
      <c r="O15" s="554"/>
    </row>
    <row r="16" spans="1:17" s="18" customFormat="1" ht="32.25" customHeight="1">
      <c r="A16" s="567"/>
      <c r="B16" s="566">
        <v>46024</v>
      </c>
      <c r="C16" s="492" t="s">
        <v>3479</v>
      </c>
      <c r="D16" s="492" t="s">
        <v>14</v>
      </c>
      <c r="E16" s="493" t="s">
        <v>3480</v>
      </c>
      <c r="F16" s="488">
        <v>222003</v>
      </c>
      <c r="G16" s="494" t="s">
        <v>23</v>
      </c>
      <c r="H16" s="488" t="s">
        <v>3481</v>
      </c>
      <c r="I16" s="493"/>
      <c r="J16" s="488" t="s">
        <v>41</v>
      </c>
      <c r="K16" s="495" t="s">
        <v>15</v>
      </c>
      <c r="L16" s="494"/>
      <c r="M16" s="496">
        <v>1</v>
      </c>
      <c r="N16" s="502" t="s">
        <v>3600</v>
      </c>
      <c r="O16" s="556" t="s">
        <v>3482</v>
      </c>
      <c r="Q16" s="340"/>
    </row>
    <row r="17" spans="1:19" s="18" customFormat="1" ht="32.25" customHeight="1">
      <c r="A17" s="567"/>
      <c r="B17" s="566">
        <v>46024</v>
      </c>
      <c r="C17" s="492" t="s">
        <v>3435</v>
      </c>
      <c r="D17" s="492" t="s">
        <v>17</v>
      </c>
      <c r="E17" s="521" t="s">
        <v>78</v>
      </c>
      <c r="F17" s="493" t="s">
        <v>3395</v>
      </c>
      <c r="G17" s="494" t="s">
        <v>3397</v>
      </c>
      <c r="H17" s="488" t="s">
        <v>3483</v>
      </c>
      <c r="I17" s="493" t="s">
        <v>2828</v>
      </c>
      <c r="J17" s="488"/>
      <c r="K17" s="495" t="s">
        <v>3422</v>
      </c>
      <c r="L17" s="494" t="s">
        <v>33</v>
      </c>
      <c r="M17" s="496">
        <v>1</v>
      </c>
      <c r="N17" s="493"/>
      <c r="O17" s="553" t="s">
        <v>3484</v>
      </c>
      <c r="Q17" s="340"/>
    </row>
    <row r="18" spans="1:19" s="18" customFormat="1" ht="32.25" customHeight="1">
      <c r="A18" s="567"/>
      <c r="B18" s="566">
        <v>46024</v>
      </c>
      <c r="C18" s="492" t="s">
        <v>3479</v>
      </c>
      <c r="D18" s="492" t="s">
        <v>14</v>
      </c>
      <c r="E18" s="493" t="s">
        <v>3473</v>
      </c>
      <c r="F18" s="488">
        <v>7064</v>
      </c>
      <c r="G18" s="494" t="s">
        <v>3935</v>
      </c>
      <c r="H18" s="502" t="s">
        <v>5013</v>
      </c>
      <c r="I18" s="488"/>
      <c r="J18" s="488" t="s">
        <v>3476</v>
      </c>
      <c r="K18" s="495" t="s">
        <v>3422</v>
      </c>
      <c r="L18" s="494">
        <v>9080</v>
      </c>
      <c r="M18" s="496">
        <v>3</v>
      </c>
      <c r="N18" s="493"/>
      <c r="O18" s="556" t="s">
        <v>4548</v>
      </c>
      <c r="Q18" s="340"/>
    </row>
    <row r="19" spans="1:19" s="18" customFormat="1" ht="33" customHeight="1">
      <c r="A19" s="567"/>
      <c r="B19" s="566">
        <v>46025</v>
      </c>
      <c r="C19" s="492"/>
      <c r="D19" s="492"/>
      <c r="E19" s="493"/>
      <c r="F19" s="493"/>
      <c r="G19" s="494"/>
      <c r="H19" s="488"/>
      <c r="I19" s="488"/>
      <c r="J19" s="488"/>
      <c r="K19" s="495"/>
      <c r="L19" s="494"/>
      <c r="M19" s="496"/>
      <c r="N19" s="493"/>
      <c r="O19" s="577"/>
    </row>
    <row r="20" spans="1:19" s="18" customFormat="1" ht="33" customHeight="1">
      <c r="A20" s="578"/>
      <c r="B20" s="566">
        <v>46025</v>
      </c>
      <c r="C20" s="492"/>
      <c r="D20" s="492"/>
      <c r="E20" s="493"/>
      <c r="F20" s="493"/>
      <c r="G20" s="494"/>
      <c r="H20" s="488"/>
      <c r="I20" s="488"/>
      <c r="J20" s="488"/>
      <c r="K20" s="495"/>
      <c r="L20" s="494"/>
      <c r="M20" s="496"/>
      <c r="N20" s="493"/>
      <c r="O20" s="577"/>
    </row>
    <row r="21" spans="1:19" s="18" customFormat="1" ht="27" customHeight="1">
      <c r="A21" s="53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8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4594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544" t="s">
        <v>3366</v>
      </c>
      <c r="P22" s="586"/>
      <c r="Q22" s="587"/>
      <c r="R22" s="587"/>
      <c r="S22" s="587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4551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540" t="s">
        <v>4851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4550</v>
      </c>
      <c r="F24" s="525" t="s">
        <v>3376</v>
      </c>
      <c r="G24" s="17" t="s">
        <v>3378</v>
      </c>
      <c r="H24" s="529" t="s">
        <v>4552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545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4689</v>
      </c>
      <c r="H25" s="529" t="s">
        <v>4690</v>
      </c>
      <c r="I25" s="525"/>
      <c r="J25" s="525" t="s">
        <v>4580</v>
      </c>
      <c r="K25" s="133" t="s">
        <v>84</v>
      </c>
      <c r="L25" s="17"/>
      <c r="M25" s="8">
        <v>2</v>
      </c>
      <c r="N25" s="525" t="s">
        <v>4592</v>
      </c>
      <c r="O25" s="539" t="s">
        <v>4715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5014</v>
      </c>
      <c r="I26" s="525" t="s">
        <v>3363</v>
      </c>
      <c r="J26" s="525" t="s">
        <v>4560</v>
      </c>
      <c r="K26" s="133" t="s">
        <v>84</v>
      </c>
      <c r="L26" s="17"/>
      <c r="M26" s="8">
        <v>3</v>
      </c>
      <c r="N26" s="525"/>
      <c r="O26" s="539" t="s">
        <v>3637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4550</v>
      </c>
      <c r="F27" s="525" t="s">
        <v>2942</v>
      </c>
      <c r="G27" s="17" t="s">
        <v>2943</v>
      </c>
      <c r="H27" s="529" t="s">
        <v>4558</v>
      </c>
      <c r="I27" s="525"/>
      <c r="J27" s="529" t="s">
        <v>4559</v>
      </c>
      <c r="K27" s="133" t="s">
        <v>66</v>
      </c>
      <c r="L27" s="17"/>
      <c r="M27" s="8">
        <v>5</v>
      </c>
      <c r="N27" s="525"/>
      <c r="O27" s="545" t="s">
        <v>4582</v>
      </c>
      <c r="P27" s="586"/>
      <c r="Q27" s="587"/>
      <c r="R27" s="587"/>
      <c r="S27" s="587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4592</v>
      </c>
      <c r="O28" s="546" t="s">
        <v>3638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4586</v>
      </c>
      <c r="G29" s="17" t="s">
        <v>3589</v>
      </c>
      <c r="H29" s="529" t="s">
        <v>3608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542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4562</v>
      </c>
      <c r="F30" s="525">
        <v>1017</v>
      </c>
      <c r="G30" s="17" t="s">
        <v>107</v>
      </c>
      <c r="H30" s="529" t="s">
        <v>4579</v>
      </c>
      <c r="I30" s="525" t="s">
        <v>90</v>
      </c>
      <c r="J30" s="525" t="s">
        <v>4563</v>
      </c>
      <c r="K30" s="133" t="s">
        <v>66</v>
      </c>
      <c r="L30" s="17"/>
      <c r="M30" s="8">
        <v>2</v>
      </c>
      <c r="N30" s="525"/>
      <c r="O30" s="539" t="s">
        <v>4565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7" t="s">
        <v>4583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4555</v>
      </c>
      <c r="H32" s="529" t="s">
        <v>4593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4592</v>
      </c>
      <c r="O32" s="541" t="s">
        <v>4587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4628</v>
      </c>
      <c r="H33" s="529" t="s">
        <v>4604</v>
      </c>
      <c r="I33" s="525"/>
      <c r="J33" s="525" t="s">
        <v>3602</v>
      </c>
      <c r="K33" s="133" t="s">
        <v>3400</v>
      </c>
      <c r="L33" s="17"/>
      <c r="M33" s="8">
        <v>1</v>
      </c>
      <c r="N33" s="525"/>
      <c r="O33" s="539" t="s">
        <v>4588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3473</v>
      </c>
      <c r="F34" s="529">
        <v>7064</v>
      </c>
      <c r="G34" s="17" t="s">
        <v>208</v>
      </c>
      <c r="H34" s="529" t="s">
        <v>4631</v>
      </c>
      <c r="I34" s="525"/>
      <c r="J34" s="525" t="s">
        <v>4566</v>
      </c>
      <c r="K34" s="133" t="s">
        <v>3400</v>
      </c>
      <c r="L34" s="17">
        <v>9080</v>
      </c>
      <c r="M34" s="8">
        <v>2</v>
      </c>
      <c r="N34" s="525"/>
      <c r="O34" s="539" t="s">
        <v>4596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4598</v>
      </c>
      <c r="E35" s="525" t="s">
        <v>4599</v>
      </c>
      <c r="F35" s="529" t="s">
        <v>4600</v>
      </c>
      <c r="G35" s="17" t="s">
        <v>4601</v>
      </c>
      <c r="H35" s="529" t="s">
        <v>4602</v>
      </c>
      <c r="I35" s="525"/>
      <c r="J35" s="525" t="s">
        <v>4603</v>
      </c>
      <c r="K35" s="133" t="s">
        <v>15</v>
      </c>
      <c r="L35" s="17"/>
      <c r="M35" s="8">
        <v>2</v>
      </c>
      <c r="N35" s="525"/>
      <c r="O35" s="539" t="s">
        <v>4620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3645</v>
      </c>
      <c r="I36" s="525" t="s">
        <v>4564</v>
      </c>
      <c r="J36" s="525" t="s">
        <v>934</v>
      </c>
      <c r="K36" s="133" t="s">
        <v>3409</v>
      </c>
      <c r="L36" s="17"/>
      <c r="M36" s="8">
        <v>2</v>
      </c>
      <c r="N36" s="525" t="s">
        <v>4625</v>
      </c>
      <c r="O36" s="540" t="s">
        <v>5028</v>
      </c>
      <c r="P36" s="586"/>
      <c r="Q36" s="587"/>
      <c r="R36" s="587"/>
      <c r="S36" s="587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4694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8" t="s">
        <v>4621</v>
      </c>
      <c r="P37" s="586"/>
      <c r="Q37" s="587"/>
      <c r="R37" s="587"/>
      <c r="S37" s="587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4634</v>
      </c>
      <c r="E38" s="525" t="s">
        <v>1796</v>
      </c>
      <c r="F38" s="525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9" t="s">
        <v>4588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539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539"/>
      <c r="P40" s="586"/>
      <c r="Q40" s="587"/>
      <c r="R40" s="587"/>
      <c r="S40" s="587"/>
    </row>
    <row r="41" spans="1:19" s="18" customFormat="1" ht="27" customHeight="1">
      <c r="A41" s="53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8" t="s">
        <v>3417</v>
      </c>
      <c r="P41" s="586"/>
      <c r="Q41" s="587"/>
      <c r="R41" s="587"/>
      <c r="S41" s="587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4627</v>
      </c>
      <c r="F42" s="525" t="s">
        <v>4645</v>
      </c>
      <c r="G42" s="17" t="s">
        <v>4643</v>
      </c>
      <c r="H42" s="529" t="s">
        <v>4626</v>
      </c>
      <c r="I42" s="525" t="s">
        <v>4623</v>
      </c>
      <c r="J42" s="525" t="s">
        <v>4624</v>
      </c>
      <c r="K42" s="133" t="s">
        <v>15</v>
      </c>
      <c r="L42" s="17">
        <v>8585</v>
      </c>
      <c r="M42" s="8">
        <v>3</v>
      </c>
      <c r="N42" s="525"/>
      <c r="O42" s="539" t="s">
        <v>4644</v>
      </c>
      <c r="P42" s="443" t="s">
        <v>4549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542"/>
      <c r="P43" s="586" t="s">
        <v>4688</v>
      </c>
      <c r="Q43" s="587"/>
      <c r="R43" s="587"/>
      <c r="S43" s="587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4693</v>
      </c>
      <c r="O44" s="546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4569</v>
      </c>
      <c r="E45" s="310" t="s">
        <v>4709</v>
      </c>
      <c r="F45" s="525" t="s">
        <v>4570</v>
      </c>
      <c r="G45" s="17" t="s">
        <v>4571</v>
      </c>
      <c r="H45" s="529" t="s">
        <v>4577</v>
      </c>
      <c r="I45" s="525"/>
      <c r="J45" s="525" t="s">
        <v>4573</v>
      </c>
      <c r="K45" s="133" t="s">
        <v>4574</v>
      </c>
      <c r="L45" s="17">
        <v>9080</v>
      </c>
      <c r="M45" s="8">
        <v>2</v>
      </c>
      <c r="N45" s="525"/>
      <c r="O45" s="539" t="s">
        <v>4695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5006</v>
      </c>
      <c r="F46" s="525" t="s">
        <v>4595</v>
      </c>
      <c r="G46" s="17" t="s">
        <v>5007</v>
      </c>
      <c r="H46" s="529" t="s">
        <v>5015</v>
      </c>
      <c r="I46" s="525"/>
      <c r="J46" s="525" t="s">
        <v>4630</v>
      </c>
      <c r="K46" s="133" t="s">
        <v>15</v>
      </c>
      <c r="L46" s="477" t="s">
        <v>4632</v>
      </c>
      <c r="M46" s="8">
        <v>2</v>
      </c>
      <c r="N46" s="525"/>
      <c r="O46" s="540" t="s">
        <v>5202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9" t="s">
        <v>4719</v>
      </c>
      <c r="I47" s="529" t="s">
        <v>4710</v>
      </c>
      <c r="J47" s="529" t="s">
        <v>4718</v>
      </c>
      <c r="K47" s="133" t="s">
        <v>15</v>
      </c>
      <c r="L47" s="17">
        <v>8585</v>
      </c>
      <c r="M47" s="8">
        <v>2</v>
      </c>
      <c r="N47" s="526"/>
      <c r="O47" s="541" t="s">
        <v>4720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4716</v>
      </c>
      <c r="I48" s="525" t="s">
        <v>4746</v>
      </c>
      <c r="J48" s="529" t="s">
        <v>4723</v>
      </c>
      <c r="K48" s="133" t="s">
        <v>3365</v>
      </c>
      <c r="L48" s="17"/>
      <c r="M48" s="8">
        <v>2</v>
      </c>
      <c r="N48" s="526"/>
      <c r="O48" s="541" t="s">
        <v>4696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4738</v>
      </c>
      <c r="G49" s="17" t="s">
        <v>4721</v>
      </c>
      <c r="H49" s="529" t="s">
        <v>4722</v>
      </c>
      <c r="I49" s="525"/>
      <c r="J49" s="529" t="s">
        <v>4724</v>
      </c>
      <c r="K49" s="133" t="s">
        <v>4701</v>
      </c>
      <c r="L49" s="17"/>
      <c r="M49" s="8">
        <v>2</v>
      </c>
      <c r="N49" s="526"/>
      <c r="O49" s="541" t="s">
        <v>4741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4576</v>
      </c>
      <c r="F50" s="525" t="s">
        <v>4570</v>
      </c>
      <c r="G50" s="17" t="s">
        <v>4571</v>
      </c>
      <c r="H50" s="529" t="s">
        <v>4572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543" t="s">
        <v>4575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4753</v>
      </c>
      <c r="E51" s="528" t="s">
        <v>4748</v>
      </c>
      <c r="F51" s="525" t="s">
        <v>4747</v>
      </c>
      <c r="G51" s="17" t="s">
        <v>4752</v>
      </c>
      <c r="H51" s="529" t="s">
        <v>4749</v>
      </c>
      <c r="I51" s="525" t="s">
        <v>4750</v>
      </c>
      <c r="J51" s="525" t="s">
        <v>4751</v>
      </c>
      <c r="K51" s="133" t="s">
        <v>15</v>
      </c>
      <c r="L51" s="17">
        <v>8585</v>
      </c>
      <c r="M51" s="8">
        <v>2</v>
      </c>
      <c r="N51" s="525"/>
      <c r="O51" s="539" t="s">
        <v>4754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6" t="s">
        <v>4591</v>
      </c>
      <c r="P52" s="450"/>
    </row>
    <row r="53" spans="1:19" s="18" customFormat="1" ht="33" customHeight="1">
      <c r="A53" s="532"/>
      <c r="B53" s="439">
        <v>46037</v>
      </c>
      <c r="C53" s="4" t="s">
        <v>4636</v>
      </c>
      <c r="D53" s="4" t="s">
        <v>4637</v>
      </c>
      <c r="E53" s="525" t="s">
        <v>1796</v>
      </c>
      <c r="F53" s="525" t="s">
        <v>4638</v>
      </c>
      <c r="G53" s="17" t="s">
        <v>23</v>
      </c>
      <c r="H53" s="529" t="s">
        <v>4639</v>
      </c>
      <c r="I53" s="133" t="s">
        <v>4717</v>
      </c>
      <c r="J53" s="529"/>
      <c r="K53" s="133" t="s">
        <v>15</v>
      </c>
      <c r="L53" s="17"/>
      <c r="M53" s="8">
        <v>3</v>
      </c>
      <c r="N53" s="526"/>
      <c r="O53" s="541" t="s">
        <v>4708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4847</v>
      </c>
      <c r="G54" s="17" t="s">
        <v>4707</v>
      </c>
      <c r="H54" s="529" t="s">
        <v>4659</v>
      </c>
      <c r="I54" s="529"/>
      <c r="J54" s="529" t="s">
        <v>4660</v>
      </c>
      <c r="K54" s="133" t="s">
        <v>15</v>
      </c>
      <c r="L54" s="17">
        <v>9080</v>
      </c>
      <c r="M54" s="8">
        <v>2</v>
      </c>
      <c r="N54" s="526"/>
      <c r="O54" s="540" t="s">
        <v>5399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9" t="s">
        <v>4744</v>
      </c>
      <c r="I55" s="529"/>
      <c r="J55" s="529" t="s">
        <v>4759</v>
      </c>
      <c r="K55" s="133" t="s">
        <v>15</v>
      </c>
      <c r="L55" s="17">
        <v>8585</v>
      </c>
      <c r="M55" s="8">
        <v>2</v>
      </c>
      <c r="N55" s="526"/>
      <c r="O55" s="541" t="s">
        <v>4565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4988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540" t="s">
        <v>4968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9" t="s">
        <v>4744</v>
      </c>
      <c r="I57" s="529"/>
      <c r="J57" s="529" t="s">
        <v>4759</v>
      </c>
      <c r="K57" s="133" t="s">
        <v>15</v>
      </c>
      <c r="L57" s="17">
        <v>8585</v>
      </c>
      <c r="M57" s="8">
        <v>2</v>
      </c>
      <c r="N57" s="526"/>
      <c r="O57" s="541" t="s">
        <v>4565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541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543"/>
    </row>
    <row r="60" spans="1:19" s="18" customFormat="1" ht="33" customHeight="1">
      <c r="A60" s="53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8" t="s">
        <v>63</v>
      </c>
    </row>
    <row r="61" spans="1:19" s="18" customFormat="1" ht="33" customHeight="1">
      <c r="A61" s="531" t="s">
        <v>4779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4745</v>
      </c>
      <c r="I61" s="525"/>
      <c r="J61" s="529" t="s">
        <v>4214</v>
      </c>
      <c r="K61" s="133" t="s">
        <v>4616</v>
      </c>
      <c r="L61" s="17"/>
      <c r="M61" s="8">
        <v>2</v>
      </c>
      <c r="N61" s="526"/>
      <c r="O61" s="541" t="s">
        <v>5437</v>
      </c>
      <c r="P61" s="586"/>
      <c r="Q61" s="587"/>
      <c r="R61" s="587"/>
      <c r="S61" s="587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4615</v>
      </c>
      <c r="G62" s="17" t="s">
        <v>4619</v>
      </c>
      <c r="H62" s="529" t="s">
        <v>4705</v>
      </c>
      <c r="I62" s="525" t="s">
        <v>4770</v>
      </c>
      <c r="J62" s="525"/>
      <c r="K62" s="133" t="s">
        <v>4616</v>
      </c>
      <c r="L62" s="17"/>
      <c r="M62" s="8">
        <v>2</v>
      </c>
      <c r="N62" s="525"/>
      <c r="O62" s="542" t="s">
        <v>4706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4073</v>
      </c>
      <c r="G63" s="17" t="s">
        <v>1387</v>
      </c>
      <c r="H63" s="529" t="s">
        <v>4775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539" t="s">
        <v>4776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4756</v>
      </c>
      <c r="E64" s="529" t="s">
        <v>4762</v>
      </c>
      <c r="F64" s="529" t="s">
        <v>4761</v>
      </c>
      <c r="G64" s="17" t="s">
        <v>23</v>
      </c>
      <c r="H64" s="529" t="s">
        <v>4774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542" t="s">
        <v>4760</v>
      </c>
      <c r="P64" s="586"/>
      <c r="Q64" s="587"/>
      <c r="R64" s="587"/>
      <c r="S64" s="587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4839</v>
      </c>
      <c r="G65" s="17" t="s">
        <v>1396</v>
      </c>
      <c r="H65" s="529" t="s">
        <v>4860</v>
      </c>
      <c r="I65" s="529"/>
      <c r="J65" s="529" t="s">
        <v>4842</v>
      </c>
      <c r="K65" s="133" t="s">
        <v>4617</v>
      </c>
      <c r="L65" s="17"/>
      <c r="M65" s="8">
        <v>1</v>
      </c>
      <c r="N65" s="525"/>
      <c r="O65" s="540" t="s">
        <v>4873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4840</v>
      </c>
      <c r="G66" s="17" t="s">
        <v>4827</v>
      </c>
      <c r="H66" s="528" t="s">
        <v>4989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540" t="s">
        <v>4841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5261</v>
      </c>
      <c r="H67" s="528" t="s">
        <v>4846</v>
      </c>
      <c r="I67" s="525" t="s">
        <v>90</v>
      </c>
      <c r="J67" s="525" t="s">
        <v>4597</v>
      </c>
      <c r="K67" s="133" t="s">
        <v>15</v>
      </c>
      <c r="L67" s="17"/>
      <c r="M67" s="8">
        <v>3</v>
      </c>
      <c r="N67" s="525"/>
      <c r="O67" s="539" t="s">
        <v>5103</v>
      </c>
      <c r="P67" s="586"/>
      <c r="Q67" s="587"/>
      <c r="R67" s="587"/>
      <c r="S67" s="587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543"/>
    </row>
    <row r="69" spans="1:19" s="18" customFormat="1" ht="33" customHeight="1">
      <c r="A69" s="532"/>
      <c r="B69" s="439">
        <v>46044</v>
      </c>
      <c r="C69" s="4" t="s">
        <v>4836</v>
      </c>
      <c r="D69" s="4" t="s">
        <v>4698</v>
      </c>
      <c r="E69" s="529" t="s">
        <v>624</v>
      </c>
      <c r="F69" s="525" t="s">
        <v>2857</v>
      </c>
      <c r="G69" s="17" t="s">
        <v>4699</v>
      </c>
      <c r="H69" s="529" t="s">
        <v>4879</v>
      </c>
      <c r="I69" s="525" t="s">
        <v>4700</v>
      </c>
      <c r="J69" s="525"/>
      <c r="K69" s="133" t="s">
        <v>4701</v>
      </c>
      <c r="L69" s="17"/>
      <c r="M69" s="8">
        <v>2</v>
      </c>
      <c r="N69" s="525"/>
      <c r="O69" s="542" t="s">
        <v>4704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5017</v>
      </c>
      <c r="H70" s="529" t="s">
        <v>4869</v>
      </c>
      <c r="I70" s="525"/>
      <c r="J70" s="525" t="s">
        <v>4867</v>
      </c>
      <c r="K70" s="133" t="s">
        <v>15</v>
      </c>
      <c r="L70" s="17"/>
      <c r="M70" s="8">
        <v>3</v>
      </c>
      <c r="N70" s="525"/>
      <c r="O70" s="539" t="s">
        <v>4864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5016</v>
      </c>
      <c r="H71" s="529" t="s">
        <v>4874</v>
      </c>
      <c r="I71" s="525"/>
      <c r="J71" s="525" t="s">
        <v>4865</v>
      </c>
      <c r="K71" s="133" t="s">
        <v>15</v>
      </c>
      <c r="L71" s="17"/>
      <c r="M71" s="8">
        <v>1</v>
      </c>
      <c r="N71" s="525"/>
      <c r="O71" s="542" t="s">
        <v>4866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4843</v>
      </c>
      <c r="F72" s="6" t="s">
        <v>4969</v>
      </c>
      <c r="G72" s="296" t="s">
        <v>4970</v>
      </c>
      <c r="H72" s="133" t="s">
        <v>4971</v>
      </c>
      <c r="I72" s="6"/>
      <c r="J72" s="6" t="s">
        <v>4877</v>
      </c>
      <c r="K72" s="133" t="s">
        <v>15</v>
      </c>
      <c r="L72" s="296">
        <v>9080</v>
      </c>
      <c r="M72" s="476">
        <v>3</v>
      </c>
      <c r="N72" s="6"/>
      <c r="O72" s="548" t="s">
        <v>4878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549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549"/>
      <c r="P74" s="586"/>
      <c r="Q74" s="587"/>
      <c r="R74" s="587"/>
      <c r="S74" s="587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543"/>
    </row>
    <row r="76" spans="1:19" s="18" customFormat="1" ht="33" customHeight="1">
      <c r="A76" s="53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8" t="s">
        <v>63</v>
      </c>
    </row>
    <row r="77" spans="1:19" s="18" customFormat="1" ht="33" customHeight="1">
      <c r="A77" s="531" t="s">
        <v>4780</v>
      </c>
      <c r="B77" s="439">
        <v>46048</v>
      </c>
      <c r="C77" s="4" t="s">
        <v>3640</v>
      </c>
      <c r="D77" s="4" t="s">
        <v>3641</v>
      </c>
      <c r="E77" s="525" t="s">
        <v>3639</v>
      </c>
      <c r="F77" s="529">
        <v>3006</v>
      </c>
      <c r="G77" s="17" t="s">
        <v>3642</v>
      </c>
      <c r="H77" s="528" t="s">
        <v>4975</v>
      </c>
      <c r="I77" s="525"/>
      <c r="J77" s="525" t="s">
        <v>3643</v>
      </c>
      <c r="K77" s="133" t="s">
        <v>4703</v>
      </c>
      <c r="L77" s="17"/>
      <c r="M77" s="8">
        <v>2</v>
      </c>
      <c r="N77" s="525"/>
      <c r="O77" s="542" t="s">
        <v>4768</v>
      </c>
      <c r="P77" s="474" t="s">
        <v>4578</v>
      </c>
    </row>
    <row r="78" spans="1:19" s="18" customFormat="1" ht="33" customHeight="1">
      <c r="A78" s="532"/>
      <c r="B78" s="439">
        <v>46048</v>
      </c>
      <c r="C78" s="4" t="s">
        <v>4837</v>
      </c>
      <c r="D78" s="4" t="s">
        <v>4833</v>
      </c>
      <c r="E78" s="529" t="s">
        <v>4980</v>
      </c>
      <c r="F78" s="525" t="s">
        <v>4834</v>
      </c>
      <c r="G78" s="17" t="s">
        <v>4838</v>
      </c>
      <c r="H78" s="529" t="s">
        <v>4978</v>
      </c>
      <c r="I78" s="525" t="s">
        <v>4835</v>
      </c>
      <c r="J78" s="525"/>
      <c r="K78" s="133" t="s">
        <v>15</v>
      </c>
      <c r="L78" s="17" t="s">
        <v>4972</v>
      </c>
      <c r="M78" s="8">
        <v>2</v>
      </c>
      <c r="N78" s="525"/>
      <c r="O78" s="542" t="s">
        <v>4979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4861</v>
      </c>
      <c r="I79" s="330" t="s">
        <v>4855</v>
      </c>
      <c r="J79" s="330" t="s">
        <v>4862</v>
      </c>
      <c r="K79" s="328" t="s">
        <v>15</v>
      </c>
      <c r="L79" s="211"/>
      <c r="M79" s="196">
        <v>4</v>
      </c>
      <c r="N79" s="330"/>
      <c r="O79" s="550" t="s">
        <v>4856</v>
      </c>
    </row>
    <row r="80" spans="1:19" s="18" customFormat="1" ht="33" customHeight="1">
      <c r="A80" s="532"/>
      <c r="B80" s="439">
        <v>46049</v>
      </c>
      <c r="C80" s="4" t="s">
        <v>3640</v>
      </c>
      <c r="D80" s="4" t="s">
        <v>3641</v>
      </c>
      <c r="E80" s="525" t="s">
        <v>3639</v>
      </c>
      <c r="F80" s="529">
        <v>3006</v>
      </c>
      <c r="G80" s="17" t="s">
        <v>3642</v>
      </c>
      <c r="H80" s="528" t="s">
        <v>4767</v>
      </c>
      <c r="I80" s="525"/>
      <c r="J80" s="525" t="s">
        <v>3643</v>
      </c>
      <c r="K80" s="133" t="s">
        <v>4702</v>
      </c>
      <c r="L80" s="17"/>
      <c r="M80" s="8">
        <v>2</v>
      </c>
      <c r="N80" s="529" t="s">
        <v>4983</v>
      </c>
      <c r="O80" s="542" t="s">
        <v>4768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5151</v>
      </c>
      <c r="E81" s="529" t="s">
        <v>4766</v>
      </c>
      <c r="F81" s="525">
        <v>222003</v>
      </c>
      <c r="G81" s="17" t="s">
        <v>4858</v>
      </c>
      <c r="H81" s="528" t="s">
        <v>5418</v>
      </c>
      <c r="I81" s="525" t="s">
        <v>4700</v>
      </c>
      <c r="J81" s="525" t="s">
        <v>4857</v>
      </c>
      <c r="K81" s="133" t="s">
        <v>15</v>
      </c>
      <c r="L81" s="17">
        <v>8585</v>
      </c>
      <c r="M81" s="8">
        <v>4</v>
      </c>
      <c r="N81" s="525"/>
      <c r="O81" s="542" t="s">
        <v>4977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4966</v>
      </c>
      <c r="F82" s="525" t="s">
        <v>109</v>
      </c>
      <c r="G82" s="17" t="s">
        <v>4965</v>
      </c>
      <c r="H82" s="528" t="s">
        <v>5417</v>
      </c>
      <c r="I82" s="525" t="s">
        <v>4967</v>
      </c>
      <c r="J82" s="525" t="s">
        <v>4973</v>
      </c>
      <c r="K82" s="133" t="s">
        <v>15</v>
      </c>
      <c r="L82" s="17">
        <v>9080</v>
      </c>
      <c r="M82" s="8">
        <v>2</v>
      </c>
      <c r="N82" s="525"/>
      <c r="O82" s="542" t="s">
        <v>4974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4769</v>
      </c>
      <c r="I83" s="330" t="s">
        <v>4984</v>
      </c>
      <c r="J83" s="329"/>
      <c r="K83" s="328" t="s">
        <v>3353</v>
      </c>
      <c r="L83" s="211"/>
      <c r="M83" s="196">
        <v>2</v>
      </c>
      <c r="N83" s="526" t="s">
        <v>4852</v>
      </c>
      <c r="O83" s="551" t="s">
        <v>4985</v>
      </c>
      <c r="P83" s="586"/>
      <c r="Q83" s="587"/>
      <c r="R83" s="587"/>
      <c r="S83" s="587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5419</v>
      </c>
      <c r="I84" s="525" t="s">
        <v>4902</v>
      </c>
      <c r="J84" s="525" t="s">
        <v>4901</v>
      </c>
      <c r="K84" s="133" t="s">
        <v>15</v>
      </c>
      <c r="L84" s="17">
        <v>8585</v>
      </c>
      <c r="M84" s="8">
        <v>2</v>
      </c>
      <c r="N84" s="525"/>
      <c r="O84" s="539" t="s">
        <v>4993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4992</v>
      </c>
      <c r="F85" s="310" t="s">
        <v>4697</v>
      </c>
      <c r="G85" s="17" t="s">
        <v>23</v>
      </c>
      <c r="H85" s="529" t="s">
        <v>4994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540" t="s">
        <v>4986</v>
      </c>
      <c r="P85" s="586"/>
      <c r="Q85" s="587"/>
      <c r="R85" s="587"/>
      <c r="S85" s="587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3480</v>
      </c>
      <c r="F86" s="525">
        <v>222003</v>
      </c>
      <c r="G86" s="17" t="s">
        <v>4875</v>
      </c>
      <c r="H86" s="529" t="s">
        <v>5012</v>
      </c>
      <c r="I86" s="525" t="s">
        <v>4876</v>
      </c>
      <c r="J86" s="525"/>
      <c r="K86" s="133" t="s">
        <v>15</v>
      </c>
      <c r="L86" s="17" t="s">
        <v>5008</v>
      </c>
      <c r="M86" s="8">
        <v>1</v>
      </c>
      <c r="N86" s="526" t="s">
        <v>4773</v>
      </c>
      <c r="O86" s="539" t="s">
        <v>4976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4910</v>
      </c>
      <c r="E87" s="525" t="s">
        <v>1902</v>
      </c>
      <c r="F87" s="525" t="s">
        <v>4912</v>
      </c>
      <c r="G87" s="17"/>
      <c r="H87" s="529" t="s">
        <v>5429</v>
      </c>
      <c r="I87" s="525"/>
      <c r="J87" s="525" t="s">
        <v>4982</v>
      </c>
      <c r="K87" s="133" t="s">
        <v>4909</v>
      </c>
      <c r="L87" s="17">
        <v>9080</v>
      </c>
      <c r="M87" s="8">
        <v>2</v>
      </c>
      <c r="N87" s="525"/>
      <c r="O87" s="539" t="s">
        <v>4987</v>
      </c>
      <c r="P87" s="18" t="s">
        <v>5430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5005</v>
      </c>
      <c r="F88" s="525" t="s">
        <v>4847</v>
      </c>
      <c r="G88" s="17" t="s">
        <v>4854</v>
      </c>
      <c r="H88" s="310" t="s">
        <v>5105</v>
      </c>
      <c r="I88" s="525" t="s">
        <v>4848</v>
      </c>
      <c r="J88" s="525" t="s">
        <v>4849</v>
      </c>
      <c r="K88" s="133" t="s">
        <v>4850</v>
      </c>
      <c r="L88" s="17"/>
      <c r="M88" s="8">
        <v>2</v>
      </c>
      <c r="N88" s="525" t="s">
        <v>4853</v>
      </c>
      <c r="O88" s="539" t="s">
        <v>4990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4910</v>
      </c>
      <c r="E89" s="525" t="s">
        <v>4911</v>
      </c>
      <c r="F89" s="525" t="s">
        <v>4912</v>
      </c>
      <c r="G89" s="17"/>
      <c r="H89" s="529" t="s">
        <v>5029</v>
      </c>
      <c r="I89" s="525"/>
      <c r="J89" s="525" t="s">
        <v>4982</v>
      </c>
      <c r="K89" s="133" t="s">
        <v>4909</v>
      </c>
      <c r="L89" s="17">
        <v>9080</v>
      </c>
      <c r="M89" s="8">
        <v>2</v>
      </c>
      <c r="N89" s="525"/>
      <c r="O89" s="539" t="s">
        <v>5019</v>
      </c>
      <c r="P89" s="18" t="s">
        <v>5430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4773</v>
      </c>
      <c r="O90" s="549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543"/>
    </row>
    <row r="92" spans="1:19" s="18" customFormat="1" ht="33" customHeight="1">
      <c r="A92" s="53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8" t="s">
        <v>63</v>
      </c>
    </row>
    <row r="93" spans="1:19" s="18" customFormat="1" ht="33" customHeight="1">
      <c r="A93" s="531" t="s">
        <v>4781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9" t="s">
        <v>5420</v>
      </c>
      <c r="I93" s="529"/>
      <c r="J93" s="529" t="s">
        <v>5030</v>
      </c>
      <c r="K93" s="133" t="s">
        <v>15</v>
      </c>
      <c r="L93" s="17">
        <v>8585</v>
      </c>
      <c r="M93" s="8">
        <v>1</v>
      </c>
      <c r="N93" s="525" t="s">
        <v>4916</v>
      </c>
      <c r="O93" s="541" t="s">
        <v>4565</v>
      </c>
      <c r="P93" s="586" t="s">
        <v>4688</v>
      </c>
      <c r="Q93" s="587"/>
      <c r="R93" s="587"/>
      <c r="S93" s="587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5023</v>
      </c>
      <c r="F94" s="529" t="s">
        <v>5010</v>
      </c>
      <c r="G94" s="17" t="s">
        <v>5011</v>
      </c>
      <c r="H94" s="529" t="s">
        <v>5111</v>
      </c>
      <c r="I94" s="525" t="s">
        <v>5009</v>
      </c>
      <c r="J94" s="525"/>
      <c r="K94" s="133" t="s">
        <v>15</v>
      </c>
      <c r="L94" s="17"/>
      <c r="M94" s="8">
        <v>1</v>
      </c>
      <c r="N94" s="525" t="s">
        <v>5089</v>
      </c>
      <c r="O94" s="542" t="s">
        <v>5022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9" t="s">
        <v>5421</v>
      </c>
      <c r="I95" s="529"/>
      <c r="J95" s="529" t="s">
        <v>5030</v>
      </c>
      <c r="K95" s="133" t="s">
        <v>15</v>
      </c>
      <c r="L95" s="17">
        <v>8585</v>
      </c>
      <c r="M95" s="8">
        <v>1</v>
      </c>
      <c r="N95" s="525" t="s">
        <v>5125</v>
      </c>
      <c r="O95" s="541" t="s">
        <v>5021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3829</v>
      </c>
      <c r="G96" s="17"/>
      <c r="H96" s="529" t="s">
        <v>5129</v>
      </c>
      <c r="I96" s="529" t="s">
        <v>5018</v>
      </c>
      <c r="J96" s="529"/>
      <c r="K96" s="133" t="s">
        <v>15</v>
      </c>
      <c r="L96" s="17">
        <v>9080</v>
      </c>
      <c r="M96" s="8">
        <v>1</v>
      </c>
      <c r="N96" s="526"/>
      <c r="O96" s="541" t="s">
        <v>5020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5025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545" t="s">
        <v>4985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3639</v>
      </c>
      <c r="F98" s="529">
        <v>3006</v>
      </c>
      <c r="G98" s="17" t="s">
        <v>23</v>
      </c>
      <c r="H98" s="528" t="s">
        <v>5130</v>
      </c>
      <c r="I98" s="529"/>
      <c r="J98" s="525" t="s">
        <v>5126</v>
      </c>
      <c r="K98" s="133" t="s">
        <v>15</v>
      </c>
      <c r="L98" s="17"/>
      <c r="M98" s="8">
        <v>2</v>
      </c>
      <c r="N98" s="525"/>
      <c r="O98" s="542" t="s">
        <v>5113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5116</v>
      </c>
      <c r="G99" s="17" t="s">
        <v>5109</v>
      </c>
      <c r="H99" s="528" t="s">
        <v>5132</v>
      </c>
      <c r="I99" s="529" t="s">
        <v>90</v>
      </c>
      <c r="J99" s="525" t="s">
        <v>5128</v>
      </c>
      <c r="K99" s="133" t="s">
        <v>15</v>
      </c>
      <c r="L99" s="17"/>
      <c r="M99" s="8">
        <v>2</v>
      </c>
      <c r="N99" s="525"/>
      <c r="O99" s="542" t="s">
        <v>5117</v>
      </c>
      <c r="P99" s="458" t="s">
        <v>5110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5124</v>
      </c>
      <c r="F100" s="529" t="s">
        <v>5127</v>
      </c>
      <c r="G100" s="17" t="s">
        <v>151</v>
      </c>
      <c r="H100" s="528" t="s">
        <v>5131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542" t="s">
        <v>5115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5123</v>
      </c>
      <c r="F101" s="525" t="s">
        <v>2840</v>
      </c>
      <c r="G101" s="17" t="s">
        <v>5121</v>
      </c>
      <c r="H101" s="529" t="s">
        <v>5140</v>
      </c>
      <c r="I101" s="525" t="s">
        <v>5138</v>
      </c>
      <c r="J101" s="525" t="s">
        <v>3161</v>
      </c>
      <c r="K101" s="133" t="s">
        <v>182</v>
      </c>
      <c r="L101" s="17"/>
      <c r="M101" s="8">
        <v>1</v>
      </c>
      <c r="N101" s="525"/>
      <c r="O101" s="541" t="s">
        <v>5024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3639</v>
      </c>
      <c r="F102" s="529">
        <v>3006</v>
      </c>
      <c r="G102" s="17" t="s">
        <v>23</v>
      </c>
      <c r="H102" s="528" t="s">
        <v>5051</v>
      </c>
      <c r="I102" s="525"/>
      <c r="J102" s="525" t="s">
        <v>5053</v>
      </c>
      <c r="K102" s="133" t="s">
        <v>15</v>
      </c>
      <c r="L102" s="17"/>
      <c r="M102" s="8">
        <v>2</v>
      </c>
      <c r="N102" s="525"/>
      <c r="O102" s="542" t="s">
        <v>5069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5141</v>
      </c>
      <c r="F103" s="529">
        <v>222003</v>
      </c>
      <c r="G103" s="17" t="s">
        <v>5142</v>
      </c>
      <c r="H103" s="528" t="s">
        <v>5422</v>
      </c>
      <c r="I103" s="525"/>
      <c r="J103" s="525" t="s">
        <v>5143</v>
      </c>
      <c r="K103" s="133" t="s">
        <v>15</v>
      </c>
      <c r="L103" s="17"/>
      <c r="M103" s="8">
        <v>1</v>
      </c>
      <c r="N103" s="525"/>
      <c r="O103" s="542" t="s">
        <v>5147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5005</v>
      </c>
      <c r="F104" s="525" t="s">
        <v>2840</v>
      </c>
      <c r="G104" s="17" t="s">
        <v>5120</v>
      </c>
      <c r="H104" s="528" t="s">
        <v>5153</v>
      </c>
      <c r="I104" s="525"/>
      <c r="J104" s="525" t="s">
        <v>4991</v>
      </c>
      <c r="K104" s="133" t="s">
        <v>32</v>
      </c>
      <c r="L104" s="17"/>
      <c r="M104" s="8">
        <v>2</v>
      </c>
      <c r="N104" s="525" t="s">
        <v>5156</v>
      </c>
      <c r="O104" s="541" t="s">
        <v>5114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5005</v>
      </c>
      <c r="F105" s="525" t="s">
        <v>2840</v>
      </c>
      <c r="G105" s="17" t="s">
        <v>5120</v>
      </c>
      <c r="H105" s="529" t="s">
        <v>5154</v>
      </c>
      <c r="I105" s="525"/>
      <c r="J105" s="525" t="s">
        <v>5149</v>
      </c>
      <c r="K105" s="133" t="s">
        <v>32</v>
      </c>
      <c r="L105" s="17">
        <v>9080</v>
      </c>
      <c r="M105" s="8">
        <v>2</v>
      </c>
      <c r="N105" s="525"/>
      <c r="O105" s="540" t="s">
        <v>5150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5137</v>
      </c>
      <c r="F106" s="529" t="s">
        <v>3079</v>
      </c>
      <c r="G106" s="17" t="s">
        <v>1387</v>
      </c>
      <c r="H106" s="528" t="s">
        <v>4749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542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5005</v>
      </c>
      <c r="F107" s="525" t="s">
        <v>2840</v>
      </c>
      <c r="G107" s="17" t="s">
        <v>1395</v>
      </c>
      <c r="H107" s="528" t="s">
        <v>5163</v>
      </c>
      <c r="I107" s="525"/>
      <c r="J107" s="525" t="s">
        <v>5160</v>
      </c>
      <c r="K107" s="133" t="s">
        <v>32</v>
      </c>
      <c r="L107" s="17"/>
      <c r="M107" s="8">
        <v>1</v>
      </c>
      <c r="N107" s="529" t="s">
        <v>5164</v>
      </c>
      <c r="O107" s="541" t="s">
        <v>5162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539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5107</v>
      </c>
      <c r="G109" s="17" t="s">
        <v>5119</v>
      </c>
      <c r="H109" s="529" t="s">
        <v>5118</v>
      </c>
      <c r="I109" s="525"/>
      <c r="J109" s="525" t="s">
        <v>5106</v>
      </c>
      <c r="K109" s="133" t="s">
        <v>15</v>
      </c>
      <c r="L109" s="17"/>
      <c r="M109" s="8">
        <v>3</v>
      </c>
      <c r="N109" s="525"/>
      <c r="O109" s="542" t="s">
        <v>5104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543"/>
    </row>
    <row r="111" spans="1:16" s="18" customFormat="1" ht="33" customHeight="1">
      <c r="A111" s="53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8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5065</v>
      </c>
      <c r="G112" s="17" t="s">
        <v>5068</v>
      </c>
      <c r="H112" s="529" t="s">
        <v>5066</v>
      </c>
      <c r="I112" s="525" t="s">
        <v>5102</v>
      </c>
      <c r="J112" s="529" t="s">
        <v>5207</v>
      </c>
      <c r="K112" s="133" t="s">
        <v>5152</v>
      </c>
      <c r="L112" s="17">
        <v>9080</v>
      </c>
      <c r="M112" s="8">
        <v>6</v>
      </c>
      <c r="N112" s="525"/>
      <c r="O112" s="542" t="s">
        <v>5104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543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5423</v>
      </c>
      <c r="I114" s="525" t="s">
        <v>5158</v>
      </c>
      <c r="J114" s="525" t="s">
        <v>3636</v>
      </c>
      <c r="K114" s="133" t="s">
        <v>66</v>
      </c>
      <c r="L114" s="17"/>
      <c r="M114" s="8">
        <v>3</v>
      </c>
      <c r="N114" s="525" t="s">
        <v>90</v>
      </c>
      <c r="O114" s="539" t="s">
        <v>5157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5213</v>
      </c>
      <c r="E115" s="487" t="s">
        <v>5212</v>
      </c>
      <c r="F115" s="329">
        <v>222003</v>
      </c>
      <c r="G115" s="211" t="s">
        <v>5211</v>
      </c>
      <c r="H115" s="329" t="s">
        <v>5210</v>
      </c>
      <c r="I115" s="330"/>
      <c r="J115" s="330" t="s">
        <v>5214</v>
      </c>
      <c r="K115" s="328" t="s">
        <v>66</v>
      </c>
      <c r="L115" s="211"/>
      <c r="M115" s="196">
        <v>1</v>
      </c>
      <c r="N115" s="525" t="s">
        <v>5217</v>
      </c>
      <c r="O115" s="547" t="s">
        <v>5215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5220</v>
      </c>
      <c r="G116" s="17" t="s">
        <v>5219</v>
      </c>
      <c r="H116" s="529" t="s">
        <v>5225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542" t="s">
        <v>5104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5063</v>
      </c>
      <c r="I117" s="525" t="s">
        <v>203</v>
      </c>
      <c r="J117" s="529" t="s">
        <v>5064</v>
      </c>
      <c r="K117" s="133" t="s">
        <v>182</v>
      </c>
      <c r="L117" s="17">
        <v>9080</v>
      </c>
      <c r="M117" s="8">
        <v>6</v>
      </c>
      <c r="N117" s="525"/>
      <c r="O117" s="542" t="s">
        <v>5209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5159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552" t="s">
        <v>5218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5063</v>
      </c>
      <c r="I119" s="525" t="s">
        <v>203</v>
      </c>
      <c r="J119" s="529" t="s">
        <v>5064</v>
      </c>
      <c r="K119" s="133" t="s">
        <v>182</v>
      </c>
      <c r="L119" s="17">
        <v>9080</v>
      </c>
      <c r="M119" s="8">
        <v>6</v>
      </c>
      <c r="N119" s="525" t="s">
        <v>5205</v>
      </c>
      <c r="O119" s="542" t="s">
        <v>5209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543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4738</v>
      </c>
      <c r="G121" s="17" t="s">
        <v>4721</v>
      </c>
      <c r="H121" s="529" t="s">
        <v>5254</v>
      </c>
      <c r="I121" s="525" t="s">
        <v>203</v>
      </c>
      <c r="J121" s="529" t="s">
        <v>5064</v>
      </c>
      <c r="K121" s="133" t="s">
        <v>182</v>
      </c>
      <c r="L121" s="17">
        <v>9080</v>
      </c>
      <c r="M121" s="8">
        <v>6</v>
      </c>
      <c r="N121" s="525" t="s">
        <v>5139</v>
      </c>
      <c r="O121" s="553" t="s">
        <v>5104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5196</v>
      </c>
      <c r="F122" s="525" t="s">
        <v>5428</v>
      </c>
      <c r="G122" s="17" t="s">
        <v>1387</v>
      </c>
      <c r="H122" s="581" t="s">
        <v>5199</v>
      </c>
      <c r="I122" s="525" t="s">
        <v>5221</v>
      </c>
      <c r="J122" s="525" t="s">
        <v>2851</v>
      </c>
      <c r="K122" s="133" t="s">
        <v>32</v>
      </c>
      <c r="L122" s="486" t="s">
        <v>5201</v>
      </c>
      <c r="M122" s="8">
        <v>2</v>
      </c>
      <c r="N122" s="525"/>
      <c r="O122" s="554" t="s">
        <v>5204</v>
      </c>
      <c r="P122" s="500" t="s">
        <v>5233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5122</v>
      </c>
      <c r="O123" s="543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555"/>
    </row>
    <row r="125" spans="1:16" s="18" customFormat="1" ht="33" customHeight="1">
      <c r="A125" s="53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8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5086</v>
      </c>
      <c r="I126" s="525"/>
      <c r="J126" s="525"/>
      <c r="K126" s="133"/>
      <c r="L126" s="17"/>
      <c r="M126" s="8"/>
      <c r="N126" s="525"/>
      <c r="O126" s="542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542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5087</v>
      </c>
      <c r="I128" s="525"/>
      <c r="J128" s="529"/>
      <c r="K128" s="133"/>
      <c r="L128" s="17"/>
      <c r="M128" s="8"/>
      <c r="N128" s="526"/>
      <c r="O128" s="541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541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5088</v>
      </c>
      <c r="I130" s="525"/>
      <c r="J130" s="529"/>
      <c r="K130" s="133"/>
      <c r="L130" s="17"/>
      <c r="M130" s="8"/>
      <c r="N130" s="526"/>
      <c r="O130" s="541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543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5229</v>
      </c>
      <c r="F132" s="525">
        <v>3307</v>
      </c>
      <c r="G132" s="17" t="s">
        <v>813</v>
      </c>
      <c r="H132" s="488" t="s">
        <v>5404</v>
      </c>
      <c r="I132" s="525" t="s">
        <v>5289</v>
      </c>
      <c r="J132" s="525" t="s">
        <v>5231</v>
      </c>
      <c r="K132" s="133"/>
      <c r="L132" s="17"/>
      <c r="M132" s="8">
        <v>2</v>
      </c>
      <c r="N132" s="310" t="s">
        <v>5292</v>
      </c>
      <c r="O132" s="543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5290</v>
      </c>
      <c r="O133" s="543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5424</v>
      </c>
      <c r="I134" s="493" t="s">
        <v>5245</v>
      </c>
      <c r="J134" s="488" t="s">
        <v>5244</v>
      </c>
      <c r="K134" s="495" t="s">
        <v>15</v>
      </c>
      <c r="L134" s="494"/>
      <c r="M134" s="496">
        <v>4</v>
      </c>
      <c r="N134" s="501" t="s">
        <v>5302</v>
      </c>
      <c r="O134" s="556" t="s">
        <v>5351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5243</v>
      </c>
      <c r="G135" s="494" t="s">
        <v>23</v>
      </c>
      <c r="H135" s="488" t="s">
        <v>5425</v>
      </c>
      <c r="I135" s="495" t="s">
        <v>5249</v>
      </c>
      <c r="J135" s="488" t="s">
        <v>643</v>
      </c>
      <c r="K135" s="495" t="s">
        <v>15</v>
      </c>
      <c r="L135" s="494"/>
      <c r="M135" s="496">
        <v>3</v>
      </c>
      <c r="N135" s="497" t="s">
        <v>5303</v>
      </c>
      <c r="O135" s="556" t="s">
        <v>5237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5246</v>
      </c>
      <c r="G136" s="494" t="s">
        <v>5240</v>
      </c>
      <c r="H136" s="488" t="s">
        <v>5358</v>
      </c>
      <c r="I136" s="493"/>
      <c r="J136" s="529" t="s">
        <v>5312</v>
      </c>
      <c r="K136" s="495" t="s">
        <v>15</v>
      </c>
      <c r="L136" s="494">
        <v>9080</v>
      </c>
      <c r="M136" s="496">
        <v>3</v>
      </c>
      <c r="N136" s="501"/>
      <c r="O136" s="556" t="s">
        <v>5248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5342</v>
      </c>
      <c r="G137" s="494" t="s">
        <v>5341</v>
      </c>
      <c r="H137" s="488" t="s">
        <v>5343</v>
      </c>
      <c r="I137" s="493"/>
      <c r="J137" s="488" t="s">
        <v>5312</v>
      </c>
      <c r="K137" s="495" t="s">
        <v>5344</v>
      </c>
      <c r="L137" s="494"/>
      <c r="M137" s="496">
        <v>3</v>
      </c>
      <c r="N137" s="501"/>
      <c r="O137" s="556" t="s">
        <v>5352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5275</v>
      </c>
      <c r="E138" s="493" t="s">
        <v>5277</v>
      </c>
      <c r="F138" s="493">
        <v>222003</v>
      </c>
      <c r="G138" s="494" t="s">
        <v>5278</v>
      </c>
      <c r="H138" s="488" t="s">
        <v>5281</v>
      </c>
      <c r="I138" s="488"/>
      <c r="J138" s="488" t="s">
        <v>5293</v>
      </c>
      <c r="K138" s="495" t="s">
        <v>5345</v>
      </c>
      <c r="L138" s="494"/>
      <c r="M138" s="496">
        <v>1</v>
      </c>
      <c r="N138" s="493"/>
      <c r="O138" s="554" t="s">
        <v>5280</v>
      </c>
    </row>
    <row r="139" spans="1:16" s="18" customFormat="1" ht="33" customHeight="1">
      <c r="A139" s="53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8" t="s">
        <v>63</v>
      </c>
    </row>
    <row r="140" spans="1:16" s="18" customFormat="1" ht="33" customHeight="1">
      <c r="A140" s="531" t="s">
        <v>4782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5203</v>
      </c>
      <c r="H140" s="529" t="s">
        <v>214</v>
      </c>
      <c r="I140" s="493" t="s">
        <v>5251</v>
      </c>
      <c r="J140" s="529"/>
      <c r="K140" s="133" t="s">
        <v>3353</v>
      </c>
      <c r="L140" s="17"/>
      <c r="M140" s="8">
        <v>1</v>
      </c>
      <c r="N140" s="525" t="s">
        <v>5374</v>
      </c>
      <c r="O140" s="542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5357</v>
      </c>
      <c r="I141" s="525"/>
      <c r="J141" s="529" t="s">
        <v>3636</v>
      </c>
      <c r="K141" s="133" t="s">
        <v>15</v>
      </c>
      <c r="L141" s="17"/>
      <c r="M141" s="8">
        <v>2</v>
      </c>
      <c r="N141" s="526"/>
      <c r="O141" s="556" t="s">
        <v>5287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5253</v>
      </c>
      <c r="I142" s="493" t="s">
        <v>5251</v>
      </c>
      <c r="J142" s="529"/>
      <c r="K142" s="133" t="s">
        <v>3353</v>
      </c>
      <c r="L142" s="17"/>
      <c r="M142" s="8">
        <v>1</v>
      </c>
      <c r="N142" s="529" t="s">
        <v>5392</v>
      </c>
      <c r="O142" s="542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5306</v>
      </c>
      <c r="F143" s="525" t="s">
        <v>2840</v>
      </c>
      <c r="G143" s="17" t="s">
        <v>206</v>
      </c>
      <c r="H143" s="529" t="s">
        <v>4716</v>
      </c>
      <c r="I143" s="525"/>
      <c r="J143" s="529" t="s">
        <v>5227</v>
      </c>
      <c r="K143" s="133" t="s">
        <v>32</v>
      </c>
      <c r="L143" s="17"/>
      <c r="M143" s="8">
        <v>1</v>
      </c>
      <c r="N143" s="526"/>
      <c r="O143" s="557" t="s">
        <v>5307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5242</v>
      </c>
      <c r="G144" s="503" t="s">
        <v>5026</v>
      </c>
      <c r="H144" s="488" t="s">
        <v>5166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552" t="s">
        <v>5398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5252</v>
      </c>
      <c r="I145" s="493" t="s">
        <v>5251</v>
      </c>
      <c r="J145" s="488"/>
      <c r="K145" s="495" t="s">
        <v>3353</v>
      </c>
      <c r="L145" s="494"/>
      <c r="M145" s="496">
        <v>1</v>
      </c>
      <c r="N145" s="488" t="s">
        <v>5393</v>
      </c>
      <c r="O145" s="553" t="s">
        <v>3354</v>
      </c>
    </row>
    <row r="146" spans="1:19" s="18" customFormat="1" ht="33" customHeight="1">
      <c r="A146" s="532"/>
      <c r="B146" s="439">
        <v>46078</v>
      </c>
      <c r="C146" s="492" t="s">
        <v>5295</v>
      </c>
      <c r="D146" s="492" t="s">
        <v>5296</v>
      </c>
      <c r="E146" s="521" t="s">
        <v>5297</v>
      </c>
      <c r="F146" s="493" t="s">
        <v>5298</v>
      </c>
      <c r="G146" s="494" t="s">
        <v>5299</v>
      </c>
      <c r="H146" s="488" t="s">
        <v>5426</v>
      </c>
      <c r="I146" s="493"/>
      <c r="J146" s="493" t="s">
        <v>5300</v>
      </c>
      <c r="K146" s="495" t="s">
        <v>5301</v>
      </c>
      <c r="L146" s="494"/>
      <c r="M146" s="496">
        <v>1</v>
      </c>
      <c r="N146" s="493"/>
      <c r="O146" s="554" t="s">
        <v>5356</v>
      </c>
    </row>
    <row r="147" spans="1:19" s="18" customFormat="1" ht="33" customHeight="1">
      <c r="A147" s="532"/>
      <c r="B147" s="439">
        <v>46078</v>
      </c>
      <c r="C147" s="492" t="s">
        <v>5371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5372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554" t="s">
        <v>5373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5206</v>
      </c>
      <c r="O148" s="543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543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5406</v>
      </c>
      <c r="I150" s="493" t="s">
        <v>90</v>
      </c>
      <c r="J150" s="488" t="s">
        <v>5304</v>
      </c>
      <c r="K150" s="495" t="s">
        <v>15</v>
      </c>
      <c r="L150" s="494" t="s">
        <v>5363</v>
      </c>
      <c r="M150" s="496">
        <v>3</v>
      </c>
      <c r="N150" s="488"/>
      <c r="O150" s="559" t="s">
        <v>5305</v>
      </c>
      <c r="P150" s="458" t="s">
        <v>5405</v>
      </c>
    </row>
    <row r="151" spans="1:19" s="18" customFormat="1" ht="33" customHeight="1">
      <c r="A151" s="532"/>
      <c r="B151" s="439">
        <v>46080</v>
      </c>
      <c r="C151" s="4" t="s">
        <v>64</v>
      </c>
      <c r="D151" s="4" t="s">
        <v>77</v>
      </c>
      <c r="E151" s="579" t="s">
        <v>5440</v>
      </c>
      <c r="F151" s="579" t="s">
        <v>364</v>
      </c>
      <c r="G151" s="17" t="s">
        <v>3425</v>
      </c>
      <c r="H151" s="421" t="s">
        <v>5442</v>
      </c>
      <c r="I151" s="579"/>
      <c r="J151" s="580" t="s">
        <v>4214</v>
      </c>
      <c r="K151" s="133" t="s">
        <v>106</v>
      </c>
      <c r="L151" s="17"/>
      <c r="M151" s="8">
        <v>2</v>
      </c>
      <c r="N151" s="582"/>
      <c r="O151" s="541" t="s">
        <v>5439</v>
      </c>
      <c r="P151" s="482" t="s">
        <v>5438</v>
      </c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5412</v>
      </c>
      <c r="I152" s="488"/>
      <c r="J152" s="488" t="s">
        <v>5359</v>
      </c>
      <c r="K152" s="495" t="s">
        <v>5360</v>
      </c>
      <c r="L152" s="494"/>
      <c r="M152" s="496">
        <v>2</v>
      </c>
      <c r="N152" s="488"/>
      <c r="O152" s="559" t="s">
        <v>5305</v>
      </c>
      <c r="P152" s="448" t="s">
        <v>5250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543"/>
      <c r="P153" s="482" t="s">
        <v>5228</v>
      </c>
    </row>
    <row r="154" spans="1:19" s="18" customFormat="1" ht="33" customHeight="1">
      <c r="A154" s="53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8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5232</v>
      </c>
      <c r="I155" s="525"/>
      <c r="J155" s="525"/>
      <c r="K155" s="133"/>
      <c r="L155" s="17"/>
      <c r="M155" s="8"/>
      <c r="N155" s="525"/>
      <c r="O155" s="542"/>
      <c r="P155" s="584" t="s">
        <v>5291</v>
      </c>
      <c r="Q155" s="585"/>
      <c r="R155" s="585"/>
      <c r="S155" s="585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542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5376</v>
      </c>
      <c r="D157" s="492" t="s">
        <v>5377</v>
      </c>
      <c r="E157" s="493" t="s">
        <v>5378</v>
      </c>
      <c r="F157" s="488" t="s">
        <v>5384</v>
      </c>
      <c r="G157" s="494" t="s">
        <v>5379</v>
      </c>
      <c r="H157" s="488" t="s">
        <v>5397</v>
      </c>
      <c r="I157" s="493" t="s">
        <v>5380</v>
      </c>
      <c r="J157" s="488" t="s">
        <v>5388</v>
      </c>
      <c r="K157" s="495" t="s">
        <v>5381</v>
      </c>
      <c r="L157" s="494"/>
      <c r="M157" s="496">
        <v>2</v>
      </c>
      <c r="N157" s="501" t="s">
        <v>5385</v>
      </c>
      <c r="O157" s="560" t="s">
        <v>5387</v>
      </c>
      <c r="P157" s="482" t="s">
        <v>5386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541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5383</v>
      </c>
      <c r="G159" s="453" t="s">
        <v>23</v>
      </c>
      <c r="H159" s="504" t="s">
        <v>5308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5235</v>
      </c>
      <c r="O159" s="559" t="s">
        <v>5309</v>
      </c>
      <c r="P159" s="482" t="s">
        <v>5310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543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543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543"/>
    </row>
    <row r="163" spans="1:16" s="18" customFormat="1" ht="33" customHeight="1">
      <c r="A163" s="532"/>
      <c r="B163" s="439">
        <v>46087</v>
      </c>
      <c r="C163" s="492" t="s">
        <v>21</v>
      </c>
      <c r="D163" s="492" t="s">
        <v>677</v>
      </c>
      <c r="E163" s="493" t="s">
        <v>1797</v>
      </c>
      <c r="F163" s="502" t="s">
        <v>5447</v>
      </c>
      <c r="G163" s="494" t="s">
        <v>23</v>
      </c>
      <c r="H163" s="488" t="s">
        <v>5434</v>
      </c>
      <c r="I163" s="493"/>
      <c r="J163" s="488" t="s">
        <v>643</v>
      </c>
      <c r="K163" s="495" t="s">
        <v>15</v>
      </c>
      <c r="L163" s="494"/>
      <c r="M163" s="496">
        <v>3</v>
      </c>
      <c r="N163" s="494" t="s">
        <v>5235</v>
      </c>
      <c r="O163" s="561" t="s">
        <v>5444</v>
      </c>
      <c r="P163" s="482" t="s">
        <v>5433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539"/>
    </row>
    <row r="165" spans="1:16" s="18" customFormat="1" ht="33" customHeight="1">
      <c r="A165" s="532"/>
      <c r="B165" s="439">
        <v>46088</v>
      </c>
      <c r="C165" s="4"/>
      <c r="D165" s="4"/>
      <c r="E165" s="579"/>
      <c r="F165" s="579"/>
      <c r="G165" s="17"/>
      <c r="H165" s="580"/>
      <c r="I165" s="580"/>
      <c r="J165" s="580"/>
      <c r="K165" s="133"/>
      <c r="L165" s="17"/>
      <c r="M165" s="8"/>
      <c r="N165" s="579"/>
      <c r="O165" s="543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543"/>
    </row>
    <row r="167" spans="1:16" s="18" customFormat="1" ht="33" customHeight="1">
      <c r="A167" s="537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8" t="s">
        <v>63</v>
      </c>
    </row>
    <row r="168" spans="1:16" s="18" customFormat="1" ht="33" customHeight="1">
      <c r="A168" s="531" t="s">
        <v>4783</v>
      </c>
      <c r="B168" s="439">
        <v>46090</v>
      </c>
      <c r="C168" s="4"/>
      <c r="D168" s="4"/>
      <c r="E168" s="310"/>
      <c r="F168" s="579"/>
      <c r="G168" s="17"/>
      <c r="H168" s="580"/>
      <c r="I168" s="579"/>
      <c r="J168" s="579"/>
      <c r="K168" s="133"/>
      <c r="L168" s="17"/>
      <c r="M168" s="8"/>
      <c r="N168" s="582" t="s">
        <v>5235</v>
      </c>
      <c r="O168" s="542"/>
      <c r="P168" s="448" t="s">
        <v>5446</v>
      </c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542"/>
    </row>
    <row r="170" spans="1:16" s="18" customFormat="1" ht="33" customHeight="1">
      <c r="A170" s="532"/>
      <c r="B170" s="439">
        <v>46091</v>
      </c>
      <c r="C170" s="492" t="s">
        <v>21</v>
      </c>
      <c r="D170" s="492" t="s">
        <v>17</v>
      </c>
      <c r="E170" s="493" t="s">
        <v>78</v>
      </c>
      <c r="F170" s="493" t="s">
        <v>1654</v>
      </c>
      <c r="G170" s="494" t="s">
        <v>23</v>
      </c>
      <c r="H170" s="488" t="s">
        <v>5443</v>
      </c>
      <c r="I170" s="493" t="s">
        <v>90</v>
      </c>
      <c r="J170" s="493" t="s">
        <v>3461</v>
      </c>
      <c r="K170" s="495" t="s">
        <v>15</v>
      </c>
      <c r="L170" s="494"/>
      <c r="M170" s="496">
        <v>3</v>
      </c>
      <c r="N170" s="493"/>
      <c r="O170" s="799" t="s">
        <v>5432</v>
      </c>
      <c r="P170" s="458" t="s">
        <v>5431</v>
      </c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541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5235</v>
      </c>
      <c r="O172" s="541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543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8" t="s">
        <v>5400</v>
      </c>
      <c r="P174" s="482" t="s">
        <v>5108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543"/>
    </row>
    <row r="176" spans="1:16" s="18" customFormat="1" ht="33" customHeight="1">
      <c r="A176" s="532"/>
      <c r="B176" s="439">
        <v>46094</v>
      </c>
      <c r="C176" s="492" t="s">
        <v>21</v>
      </c>
      <c r="D176" s="492" t="s">
        <v>17</v>
      </c>
      <c r="E176" s="488" t="s">
        <v>5435</v>
      </c>
      <c r="F176" s="502" t="s">
        <v>5448</v>
      </c>
      <c r="G176" s="800" t="s">
        <v>5436</v>
      </c>
      <c r="H176" s="488" t="s">
        <v>5449</v>
      </c>
      <c r="I176" s="493"/>
      <c r="J176" s="488" t="s">
        <v>643</v>
      </c>
      <c r="K176" s="495" t="s">
        <v>15</v>
      </c>
      <c r="L176" s="494"/>
      <c r="M176" s="496">
        <v>2</v>
      </c>
      <c r="N176" s="582" t="s">
        <v>5235</v>
      </c>
      <c r="O176" s="561" t="s">
        <v>5445</v>
      </c>
      <c r="P176" s="482" t="s">
        <v>5433</v>
      </c>
    </row>
    <row r="177" spans="1:16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539"/>
      <c r="P177" s="448" t="s">
        <v>5396</v>
      </c>
    </row>
    <row r="178" spans="1:16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543"/>
      <c r="P178" s="448" t="s">
        <v>5410</v>
      </c>
    </row>
    <row r="179" spans="1:16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543"/>
    </row>
    <row r="180" spans="1:16" s="18" customFormat="1" ht="33" customHeight="1">
      <c r="A180" s="537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8" t="s">
        <v>63</v>
      </c>
    </row>
    <row r="181" spans="1:16" s="18" customFormat="1" ht="33" customHeight="1">
      <c r="A181" s="531" t="s">
        <v>4880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5235</v>
      </c>
      <c r="O181" s="542"/>
    </row>
    <row r="182" spans="1:16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542"/>
    </row>
    <row r="183" spans="1:16" s="18" customFormat="1" ht="33" customHeight="1">
      <c r="A183" s="532"/>
      <c r="B183" s="439">
        <v>46098</v>
      </c>
      <c r="C183" s="4"/>
      <c r="D183" s="4"/>
      <c r="E183" s="534"/>
      <c r="F183" s="534"/>
      <c r="G183" s="17"/>
      <c r="H183" s="535"/>
      <c r="I183" s="534"/>
      <c r="J183" s="535"/>
      <c r="K183" s="133"/>
      <c r="L183" s="17"/>
      <c r="M183" s="8"/>
      <c r="N183" s="536"/>
      <c r="O183" s="541"/>
    </row>
    <row r="184" spans="1:16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541"/>
    </row>
    <row r="185" spans="1:16" s="18" customFormat="1" ht="33" customHeight="1">
      <c r="A185" s="532"/>
      <c r="B185" s="439">
        <v>46099</v>
      </c>
      <c r="C185" s="492" t="s">
        <v>21</v>
      </c>
      <c r="D185" s="492" t="s">
        <v>14</v>
      </c>
      <c r="E185" s="493" t="s">
        <v>1796</v>
      </c>
      <c r="F185" s="493" t="s">
        <v>2840</v>
      </c>
      <c r="G185" s="494" t="s">
        <v>23</v>
      </c>
      <c r="H185" s="488" t="s">
        <v>5408</v>
      </c>
      <c r="I185" s="493"/>
      <c r="J185" s="488" t="s">
        <v>5409</v>
      </c>
      <c r="K185" s="495" t="s">
        <v>106</v>
      </c>
      <c r="L185" s="494"/>
      <c r="M185" s="496">
        <v>2</v>
      </c>
      <c r="N185" s="337" t="s">
        <v>5235</v>
      </c>
      <c r="O185" s="560" t="s">
        <v>5368</v>
      </c>
      <c r="P185" s="482" t="s">
        <v>5375</v>
      </c>
    </row>
    <row r="186" spans="1:16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543"/>
    </row>
    <row r="187" spans="1:16" s="18" customFormat="1" ht="33" customHeight="1">
      <c r="A187" s="532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5133</v>
      </c>
      <c r="G187" s="423" t="s">
        <v>23</v>
      </c>
      <c r="H187" s="255" t="s">
        <v>5136</v>
      </c>
      <c r="I187" s="337" t="s">
        <v>90</v>
      </c>
      <c r="J187" s="255" t="s">
        <v>5134</v>
      </c>
      <c r="K187" s="256" t="s">
        <v>42</v>
      </c>
      <c r="L187" s="423"/>
      <c r="M187" s="447">
        <v>3</v>
      </c>
      <c r="N187" s="336"/>
      <c r="O187" s="558" t="s">
        <v>5135</v>
      </c>
      <c r="P187" s="482" t="s">
        <v>5208</v>
      </c>
    </row>
    <row r="188" spans="1:16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543"/>
    </row>
    <row r="189" spans="1:16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5235</v>
      </c>
      <c r="O189" s="540"/>
    </row>
    <row r="190" spans="1:16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539"/>
    </row>
    <row r="191" spans="1:16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549"/>
    </row>
    <row r="192" spans="1:16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543"/>
    </row>
    <row r="193" spans="1:16" s="18" customFormat="1" ht="33" customHeight="1">
      <c r="A193" s="537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8" t="s">
        <v>63</v>
      </c>
    </row>
    <row r="194" spans="1:16" s="18" customFormat="1" ht="33" customHeight="1">
      <c r="A194" s="531" t="s">
        <v>4881</v>
      </c>
      <c r="B194" s="439">
        <v>46104</v>
      </c>
      <c r="C194" s="492" t="s">
        <v>21</v>
      </c>
      <c r="D194" s="492" t="s">
        <v>2440</v>
      </c>
      <c r="E194" s="493" t="s">
        <v>5364</v>
      </c>
      <c r="F194" s="493" t="s">
        <v>5365</v>
      </c>
      <c r="G194" s="494" t="s">
        <v>5366</v>
      </c>
      <c r="H194" s="488" t="s">
        <v>5407</v>
      </c>
      <c r="I194" s="493"/>
      <c r="J194" s="488" t="s">
        <v>5369</v>
      </c>
      <c r="K194" s="495" t="s">
        <v>5367</v>
      </c>
      <c r="L194" s="494"/>
      <c r="M194" s="496">
        <v>2</v>
      </c>
      <c r="N194" s="493" t="s">
        <v>5235</v>
      </c>
      <c r="O194" s="560" t="s">
        <v>5368</v>
      </c>
      <c r="P194" s="482" t="s">
        <v>5411</v>
      </c>
    </row>
    <row r="195" spans="1:16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542"/>
    </row>
    <row r="196" spans="1:16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541"/>
    </row>
    <row r="197" spans="1:16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541"/>
    </row>
    <row r="198" spans="1:16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5235</v>
      </c>
      <c r="O198" s="541"/>
    </row>
    <row r="199" spans="1:16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543"/>
    </row>
    <row r="200" spans="1:16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541"/>
    </row>
    <row r="201" spans="1:16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543"/>
    </row>
    <row r="202" spans="1:16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5235</v>
      </c>
      <c r="O202" s="540"/>
    </row>
    <row r="203" spans="1:16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539"/>
    </row>
    <row r="204" spans="1:16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549"/>
    </row>
    <row r="205" spans="1:16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543"/>
    </row>
    <row r="206" spans="1:16" s="18" customFormat="1" ht="33" customHeight="1">
      <c r="A206" s="537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8" t="s">
        <v>63</v>
      </c>
    </row>
    <row r="207" spans="1:16" s="18" customFormat="1" ht="33" customHeight="1">
      <c r="A207" s="531" t="s">
        <v>4882</v>
      </c>
      <c r="B207" s="439">
        <v>46111</v>
      </c>
      <c r="C207" s="197" t="s">
        <v>4893</v>
      </c>
      <c r="D207" s="197" t="s">
        <v>4894</v>
      </c>
      <c r="E207" s="255" t="s">
        <v>4904</v>
      </c>
      <c r="F207" s="483" t="s">
        <v>4905</v>
      </c>
      <c r="G207" s="423" t="s">
        <v>4895</v>
      </c>
      <c r="H207" s="255" t="s">
        <v>4900</v>
      </c>
      <c r="I207" s="336" t="s">
        <v>4896</v>
      </c>
      <c r="J207" s="255"/>
      <c r="K207" s="256" t="s">
        <v>4897</v>
      </c>
      <c r="L207" s="423"/>
      <c r="M207" s="447"/>
      <c r="N207" s="525" t="s">
        <v>5235</v>
      </c>
      <c r="O207" s="558" t="s">
        <v>4898</v>
      </c>
    </row>
    <row r="208" spans="1:16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542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541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541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5235</v>
      </c>
      <c r="O211" s="541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543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541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543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5235</v>
      </c>
      <c r="O215" s="540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539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549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543"/>
    </row>
    <row r="219" spans="1:16" s="18" customFormat="1" ht="33" customHeight="1">
      <c r="A219" s="537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8" t="s">
        <v>63</v>
      </c>
    </row>
    <row r="220" spans="1:16" s="18" customFormat="1" ht="33" customHeight="1">
      <c r="A220" s="531" t="s">
        <v>4883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5235</v>
      </c>
      <c r="O220" s="542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542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5389</v>
      </c>
      <c r="F222" s="337" t="s">
        <v>5382</v>
      </c>
      <c r="G222" s="453" t="s">
        <v>5390</v>
      </c>
      <c r="H222" s="421" t="s">
        <v>5391</v>
      </c>
      <c r="I222" s="337" t="s">
        <v>4913</v>
      </c>
      <c r="J222" s="337"/>
      <c r="K222" s="358" t="s">
        <v>42</v>
      </c>
      <c r="L222" s="453"/>
      <c r="M222" s="454">
        <v>2</v>
      </c>
      <c r="N222" s="337"/>
      <c r="O222" s="562" t="s">
        <v>4914</v>
      </c>
      <c r="P222" s="482" t="s">
        <v>4915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541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5235</v>
      </c>
      <c r="O224" s="541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543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541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543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5235</v>
      </c>
      <c r="O228" s="540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539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549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543"/>
    </row>
    <row r="232" spans="1:15" s="18" customFormat="1" ht="33" customHeight="1">
      <c r="A232" s="537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8" t="s">
        <v>63</v>
      </c>
    </row>
    <row r="233" spans="1:15" s="18" customFormat="1" ht="33" customHeight="1">
      <c r="A233" s="531" t="s">
        <v>4884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5235</v>
      </c>
      <c r="O233" s="542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542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541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541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5235</v>
      </c>
      <c r="O237" s="541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543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541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543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5235</v>
      </c>
      <c r="O241" s="540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539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549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543"/>
    </row>
    <row r="245" spans="1:15" s="18" customFormat="1" ht="33" customHeight="1">
      <c r="A245" s="537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8" t="s">
        <v>63</v>
      </c>
    </row>
    <row r="246" spans="1:15" s="18" customFormat="1" ht="33" customHeight="1">
      <c r="A246" s="531" t="s">
        <v>4885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5235</v>
      </c>
      <c r="O246" s="542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542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541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541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5235</v>
      </c>
      <c r="O250" s="541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543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541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543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5235</v>
      </c>
      <c r="O254" s="540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539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549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543"/>
    </row>
    <row r="258" spans="1:15" s="18" customFormat="1" ht="33" customHeight="1">
      <c r="A258" s="537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8" t="s">
        <v>63</v>
      </c>
    </row>
    <row r="259" spans="1:15" s="18" customFormat="1" ht="33" customHeight="1">
      <c r="A259" s="531" t="s">
        <v>4886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5235</v>
      </c>
      <c r="O259" s="542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542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541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541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5235</v>
      </c>
      <c r="O263" s="541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543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541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543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5235</v>
      </c>
      <c r="O267" s="540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539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549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543"/>
    </row>
    <row r="271" spans="1:15" s="18" customFormat="1" ht="33" customHeight="1">
      <c r="A271" s="537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8" t="s">
        <v>63</v>
      </c>
    </row>
    <row r="272" spans="1:15" s="18" customFormat="1" ht="33" customHeight="1">
      <c r="A272" s="531" t="s">
        <v>4887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5235</v>
      </c>
      <c r="O272" s="542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542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5451</v>
      </c>
      <c r="I274" s="525"/>
      <c r="J274" s="529"/>
      <c r="K274" s="133"/>
      <c r="L274" s="17"/>
      <c r="M274" s="8"/>
      <c r="N274" s="526"/>
      <c r="O274" s="541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541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5235</v>
      </c>
      <c r="O276" s="541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543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541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543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5235</v>
      </c>
      <c r="O280" s="540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539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549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543"/>
    </row>
    <row r="284" spans="1:15" s="18" customFormat="1" ht="33" customHeight="1">
      <c r="A284" s="537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8" t="s">
        <v>63</v>
      </c>
    </row>
    <row r="285" spans="1:15" s="18" customFormat="1" ht="33" customHeight="1">
      <c r="A285" s="531" t="s">
        <v>4888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5235</v>
      </c>
      <c r="O285" s="542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542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541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541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5235</v>
      </c>
      <c r="O289" s="541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543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541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543"/>
    </row>
    <row r="293" spans="1:15" s="18" customFormat="1" ht="33" customHeight="1">
      <c r="A293" s="532"/>
      <c r="B293" s="439">
        <v>46157</v>
      </c>
      <c r="C293" s="197" t="s">
        <v>4893</v>
      </c>
      <c r="D293" s="197" t="s">
        <v>4894</v>
      </c>
      <c r="E293" s="255" t="s">
        <v>4906</v>
      </c>
      <c r="F293" s="483" t="s">
        <v>4907</v>
      </c>
      <c r="G293" s="423" t="s">
        <v>4895</v>
      </c>
      <c r="H293" s="255" t="s">
        <v>4899</v>
      </c>
      <c r="I293" s="336" t="s">
        <v>4896</v>
      </c>
      <c r="J293" s="255"/>
      <c r="K293" s="256" t="s">
        <v>4897</v>
      </c>
      <c r="L293" s="423"/>
      <c r="M293" s="447"/>
      <c r="N293" s="525" t="s">
        <v>5235</v>
      </c>
      <c r="O293" s="558" t="s">
        <v>4898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539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549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543"/>
    </row>
    <row r="297" spans="1:15" s="18" customFormat="1" ht="33" customHeight="1">
      <c r="A297" s="537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8" t="s">
        <v>63</v>
      </c>
    </row>
    <row r="298" spans="1:15" s="18" customFormat="1" ht="33" customHeight="1">
      <c r="A298" s="531" t="s">
        <v>4889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5235</v>
      </c>
      <c r="O298" s="542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542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541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541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5235</v>
      </c>
      <c r="O302" s="541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543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541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543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5235</v>
      </c>
      <c r="O306" s="540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539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549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543"/>
    </row>
    <row r="310" spans="1:15" s="18" customFormat="1" ht="33" customHeight="1">
      <c r="A310" s="537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8" t="s">
        <v>63</v>
      </c>
    </row>
    <row r="311" spans="1:15" s="18" customFormat="1" ht="33" customHeight="1">
      <c r="A311" s="531" t="s">
        <v>4890</v>
      </c>
      <c r="B311" s="439">
        <v>46167</v>
      </c>
      <c r="C311" s="4"/>
      <c r="D311" s="4"/>
      <c r="E311" s="525"/>
      <c r="F311" s="529"/>
      <c r="G311" s="17"/>
      <c r="H311" s="459" t="s">
        <v>5234</v>
      </c>
      <c r="I311" s="525"/>
      <c r="J311" s="525"/>
      <c r="K311" s="133"/>
      <c r="L311" s="17"/>
      <c r="M311" s="8"/>
      <c r="N311" s="525"/>
      <c r="O311" s="542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542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541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541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541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543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541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543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540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539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549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543"/>
    </row>
    <row r="323" spans="1:15" s="18" customFormat="1" ht="33" customHeight="1">
      <c r="A323" s="537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8" t="s">
        <v>63</v>
      </c>
    </row>
    <row r="324" spans="1:15" s="18" customFormat="1" ht="33" customHeight="1">
      <c r="A324" s="531" t="s">
        <v>4891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542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542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541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541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5450</v>
      </c>
      <c r="I328" s="525"/>
      <c r="J328" s="529"/>
      <c r="K328" s="133"/>
      <c r="L328" s="17"/>
      <c r="M328" s="8"/>
      <c r="N328" s="526"/>
      <c r="O328" s="541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543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541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543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540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539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549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543"/>
    </row>
    <row r="336" spans="1:15" s="18" customFormat="1" ht="33" customHeight="1">
      <c r="A336" s="537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8" t="s">
        <v>63</v>
      </c>
    </row>
    <row r="337" spans="1:15" s="18" customFormat="1" ht="33" customHeight="1">
      <c r="A337" s="531" t="s">
        <v>4892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542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542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541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541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541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543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541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543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540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539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549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563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6" t="s">
        <v>162</v>
      </c>
      <c r="B1" s="686" t="s">
        <v>163</v>
      </c>
      <c r="C1" s="695" t="s">
        <v>1</v>
      </c>
      <c r="D1" s="695" t="s">
        <v>2</v>
      </c>
      <c r="E1" s="695" t="s">
        <v>3</v>
      </c>
      <c r="F1" s="28" t="s">
        <v>54</v>
      </c>
      <c r="G1" s="695" t="s">
        <v>5</v>
      </c>
      <c r="H1" s="695" t="s">
        <v>6</v>
      </c>
      <c r="I1" s="695" t="s">
        <v>7</v>
      </c>
      <c r="J1" s="695" t="s">
        <v>55</v>
      </c>
      <c r="K1" s="697" t="s">
        <v>485</v>
      </c>
      <c r="L1" s="699" t="s">
        <v>56</v>
      </c>
      <c r="M1" s="693" t="s">
        <v>57</v>
      </c>
      <c r="N1" s="695" t="s">
        <v>58</v>
      </c>
    </row>
    <row r="2" spans="1:14" hidden="1">
      <c r="A2" s="687"/>
      <c r="B2" s="687"/>
      <c r="C2" s="696"/>
      <c r="D2" s="696"/>
      <c r="E2" s="696"/>
      <c r="F2" s="29" t="s">
        <v>59</v>
      </c>
      <c r="G2" s="696"/>
      <c r="H2" s="696"/>
      <c r="I2" s="696"/>
      <c r="J2" s="696"/>
      <c r="K2" s="698"/>
      <c r="L2" s="700"/>
      <c r="M2" s="694"/>
      <c r="N2" s="696"/>
    </row>
    <row r="3" spans="1:14" ht="27" hidden="1">
      <c r="A3" s="59">
        <v>1</v>
      </c>
      <c r="B3" s="6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8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8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6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66"/>
      <c r="C9" s="69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66"/>
      <c r="C10" s="69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6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66"/>
      <c r="C12" s="69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66"/>
      <c r="C13" s="69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66"/>
      <c r="C14" s="69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66"/>
      <c r="C15" s="69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66"/>
      <c r="C16" s="69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8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8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6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8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89"/>
    </row>
    <row r="24" spans="1:17" ht="27" hidden="1">
      <c r="A24" s="59">
        <v>4</v>
      </c>
      <c r="B24" s="665" t="s">
        <v>21</v>
      </c>
      <c r="C24" s="67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77" t="s">
        <v>85</v>
      </c>
      <c r="K24" s="668" t="s">
        <v>41</v>
      </c>
      <c r="L24" s="6" t="s">
        <v>15</v>
      </c>
      <c r="M24" s="701">
        <v>180000</v>
      </c>
      <c r="N24" s="49" t="s">
        <v>195</v>
      </c>
    </row>
    <row r="25" spans="1:17" ht="27" hidden="1">
      <c r="A25" s="59">
        <v>4</v>
      </c>
      <c r="B25" s="666"/>
      <c r="C25" s="6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79"/>
      <c r="K25" s="669"/>
      <c r="L25" s="6" t="s">
        <v>15</v>
      </c>
      <c r="M25" s="702"/>
      <c r="N25" s="49" t="s">
        <v>195</v>
      </c>
    </row>
    <row r="26" spans="1:17" hidden="1">
      <c r="A26" s="59">
        <v>4</v>
      </c>
      <c r="B26" s="666"/>
      <c r="C26" s="67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7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67"/>
      <c r="C27" s="67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79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6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6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66"/>
      <c r="C32" s="67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66"/>
      <c r="C33" s="6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65" t="s">
        <v>20</v>
      </c>
      <c r="C35" s="67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67"/>
      <c r="C36" s="67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65" t="s">
        <v>20</v>
      </c>
      <c r="C37" s="67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67"/>
      <c r="C38" s="67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70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708"/>
      <c r="C40" s="67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708"/>
      <c r="C41" s="6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70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6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63"/>
      <c r="C45" s="66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63"/>
      <c r="C46" s="70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6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70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70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70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70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70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70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6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6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6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6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6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65" t="s">
        <v>64</v>
      </c>
      <c r="C67" s="67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68" t="s">
        <v>437</v>
      </c>
      <c r="L67" s="6" t="s">
        <v>438</v>
      </c>
      <c r="M67" s="701">
        <v>750000</v>
      </c>
      <c r="N67" s="49" t="s">
        <v>448</v>
      </c>
    </row>
    <row r="68" spans="1:15" ht="27" hidden="1">
      <c r="A68" s="59">
        <v>19</v>
      </c>
      <c r="B68" s="666"/>
      <c r="C68" s="67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69"/>
      <c r="L68" s="6" t="s">
        <v>413</v>
      </c>
      <c r="M68" s="702"/>
      <c r="N68" s="49" t="s">
        <v>447</v>
      </c>
    </row>
    <row r="69" spans="1:15" hidden="1">
      <c r="A69" s="59">
        <v>19</v>
      </c>
      <c r="B69" s="666"/>
      <c r="C69" s="67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6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6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6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6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6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6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6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6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66"/>
      <c r="C83" s="6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66"/>
      <c r="C84" s="67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66"/>
      <c r="C85" s="67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66"/>
      <c r="C86" s="6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6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6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6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6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66"/>
      <c r="C93" s="67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66"/>
      <c r="C94" s="67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66"/>
      <c r="C95" s="67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6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65" t="s">
        <v>21</v>
      </c>
      <c r="C99" s="67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66"/>
      <c r="C100" s="67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6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6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6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6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6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6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38" t="s">
        <v>660</v>
      </c>
      <c r="C110" s="638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61"/>
      <c r="C111" s="68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61"/>
      <c r="C112" s="68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85"/>
      <c r="C113" s="68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61"/>
      <c r="C115" s="638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39"/>
      <c r="C116" s="68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65" t="s">
        <v>20</v>
      </c>
      <c r="C117" s="675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77" t="s">
        <v>169</v>
      </c>
      <c r="K117" s="668" t="s">
        <v>647</v>
      </c>
      <c r="L117" s="61" t="s">
        <v>210</v>
      </c>
      <c r="M117" s="658">
        <f>250000*5</f>
        <v>1250000</v>
      </c>
      <c r="N117" s="665" t="s">
        <v>122</v>
      </c>
    </row>
    <row r="118" spans="1:14" hidden="1">
      <c r="A118" s="109">
        <v>28</v>
      </c>
      <c r="B118" s="666"/>
      <c r="C118" s="67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78"/>
      <c r="K118" s="676"/>
      <c r="L118" s="61" t="s">
        <v>210</v>
      </c>
      <c r="M118" s="659"/>
      <c r="N118" s="666"/>
    </row>
    <row r="119" spans="1:14" hidden="1">
      <c r="A119" s="109">
        <v>28</v>
      </c>
      <c r="B119" s="666"/>
      <c r="C119" s="67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79"/>
      <c r="K119" s="669"/>
      <c r="L119" s="61" t="s">
        <v>210</v>
      </c>
      <c r="M119" s="660"/>
      <c r="N119" s="667"/>
    </row>
    <row r="120" spans="1:14" hidden="1">
      <c r="A120" s="109">
        <v>28</v>
      </c>
      <c r="B120" s="667"/>
      <c r="C120" s="67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38" t="s">
        <v>308</v>
      </c>
      <c r="C122" s="638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61"/>
      <c r="C123" s="66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38" t="s">
        <v>666</v>
      </c>
      <c r="K123" s="662" t="s">
        <v>709</v>
      </c>
      <c r="L123" s="118" t="s">
        <v>325</v>
      </c>
      <c r="M123" s="638" t="s">
        <v>710</v>
      </c>
      <c r="N123" s="118"/>
    </row>
    <row r="124" spans="1:14" hidden="1">
      <c r="A124" s="59">
        <v>29</v>
      </c>
      <c r="B124" s="661"/>
      <c r="C124" s="66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1"/>
      <c r="K124" s="663"/>
      <c r="L124" s="118" t="s">
        <v>325</v>
      </c>
      <c r="M124" s="661"/>
      <c r="N124" s="118"/>
    </row>
    <row r="125" spans="1:14" hidden="1">
      <c r="A125" s="59">
        <v>29</v>
      </c>
      <c r="B125" s="661"/>
      <c r="C125" s="66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39"/>
      <c r="K125" s="664"/>
      <c r="L125" s="118" t="s">
        <v>325</v>
      </c>
      <c r="M125" s="639"/>
      <c r="N125" s="118"/>
    </row>
    <row r="126" spans="1:14" hidden="1">
      <c r="A126" s="59">
        <v>29</v>
      </c>
      <c r="B126" s="639"/>
      <c r="C126" s="63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38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6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6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61"/>
      <c r="C130" s="638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61"/>
      <c r="C131" s="63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61"/>
      <c r="C132" s="638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61"/>
      <c r="C133" s="63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3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65" t="s">
        <v>620</v>
      </c>
      <c r="C135" s="67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66"/>
      <c r="C136" s="67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66"/>
      <c r="C137" s="67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67"/>
      <c r="C138" s="6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6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66"/>
      <c r="C140" s="67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66"/>
      <c r="C141" s="6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65" t="s">
        <v>737</v>
      </c>
    </row>
    <row r="142" spans="1:14" hidden="1">
      <c r="A142" s="59">
        <v>30</v>
      </c>
      <c r="B142" s="6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6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65" t="s">
        <v>20</v>
      </c>
      <c r="C146" s="672" t="s">
        <v>871</v>
      </c>
      <c r="D146" s="668" t="s">
        <v>19</v>
      </c>
      <c r="E146" s="67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67"/>
      <c r="C147" s="674"/>
      <c r="D147" s="669"/>
      <c r="E147" s="67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65" t="s">
        <v>124</v>
      </c>
      <c r="C148" s="672" t="s">
        <v>784</v>
      </c>
      <c r="D148" s="668" t="s">
        <v>19</v>
      </c>
      <c r="E148" s="67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67"/>
      <c r="C149" s="674"/>
      <c r="D149" s="669"/>
      <c r="E149" s="67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6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6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6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65" t="s">
        <v>248</v>
      </c>
    </row>
    <row r="154" spans="1:14" ht="27" hidden="1">
      <c r="A154" s="59">
        <v>34</v>
      </c>
      <c r="B154" s="666"/>
      <c r="C154" s="67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66"/>
    </row>
    <row r="155" spans="1:14" ht="27" hidden="1">
      <c r="A155" s="59">
        <v>34</v>
      </c>
      <c r="B155" s="666"/>
      <c r="C155" s="67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67"/>
    </row>
    <row r="156" spans="1:14" ht="27" hidden="1">
      <c r="A156" s="59">
        <v>34</v>
      </c>
      <c r="B156" s="666"/>
      <c r="C156" s="67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65" t="s">
        <v>827</v>
      </c>
    </row>
    <row r="157" spans="1:14" ht="27" hidden="1">
      <c r="A157" s="59">
        <v>34</v>
      </c>
      <c r="B157" s="666"/>
      <c r="C157" s="67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66"/>
    </row>
    <row r="158" spans="1:14" ht="27" hidden="1">
      <c r="A158" s="59">
        <v>34</v>
      </c>
      <c r="B158" s="666"/>
      <c r="C158" s="67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66"/>
    </row>
    <row r="159" spans="1:14" ht="27" hidden="1">
      <c r="A159" s="59">
        <v>34</v>
      </c>
      <c r="B159" s="666"/>
      <c r="C159" s="67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66"/>
    </row>
    <row r="160" spans="1:14" ht="27" hidden="1">
      <c r="A160" s="59">
        <v>34</v>
      </c>
      <c r="B160" s="66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66"/>
    </row>
    <row r="161" spans="1:15" ht="27" hidden="1">
      <c r="A161" s="59">
        <v>34</v>
      </c>
      <c r="B161" s="66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67"/>
    </row>
    <row r="162" spans="1:15" ht="27" hidden="1">
      <c r="A162" s="59">
        <v>34</v>
      </c>
      <c r="B162" s="6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6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6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6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88" t="s">
        <v>851</v>
      </c>
      <c r="C167" s="61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89"/>
      <c r="C168" s="61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89"/>
      <c r="C169" s="61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90"/>
      <c r="C170" s="61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8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8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8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8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9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8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8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89"/>
      <c r="C178" s="61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90"/>
      <c r="C179" s="61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8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89"/>
      <c r="C181" s="67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77" t="s">
        <v>840</v>
      </c>
      <c r="K181" s="668" t="s">
        <v>987</v>
      </c>
      <c r="L181" s="6" t="s">
        <v>912</v>
      </c>
      <c r="M181" s="658">
        <f>180000+200000+200000</f>
        <v>580000</v>
      </c>
      <c r="N181" s="49" t="s">
        <v>808</v>
      </c>
    </row>
    <row r="182" spans="1:14" hidden="1">
      <c r="A182" s="59">
        <v>36</v>
      </c>
      <c r="B182" s="589"/>
      <c r="C182" s="67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79"/>
      <c r="K182" s="669"/>
      <c r="L182" s="6" t="s">
        <v>913</v>
      </c>
      <c r="M182" s="660"/>
      <c r="N182" s="49" t="s">
        <v>808</v>
      </c>
    </row>
    <row r="183" spans="1:14" hidden="1">
      <c r="A183" s="59">
        <v>36</v>
      </c>
      <c r="B183" s="589"/>
      <c r="C183" s="67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9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8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8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89"/>
      <c r="C187" s="61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90"/>
      <c r="C188" s="61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8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8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9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88" t="s">
        <v>941</v>
      </c>
      <c r="C192" s="61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89"/>
      <c r="C193" s="6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9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8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89"/>
      <c r="C196" s="67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89"/>
      <c r="C197" s="67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89"/>
      <c r="C198" s="67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90"/>
      <c r="C199" s="67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88" t="s">
        <v>20</v>
      </c>
      <c r="C200" s="61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89"/>
      <c r="C201" s="6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89"/>
      <c r="C202" s="61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90"/>
      <c r="C203" s="61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8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8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9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88" t="s">
        <v>20</v>
      </c>
      <c r="C207" s="61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89"/>
      <c r="C208" s="6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9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8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9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8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8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9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8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8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9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88" t="s">
        <v>20</v>
      </c>
      <c r="C218" s="61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89"/>
      <c r="C219" s="6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9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8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8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9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8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8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65" t="s">
        <v>248</v>
      </c>
    </row>
    <row r="226" spans="1:14" hidden="1">
      <c r="A226" s="59">
        <v>44</v>
      </c>
      <c r="B226" s="58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66"/>
    </row>
    <row r="227" spans="1:14" hidden="1">
      <c r="A227" s="59">
        <v>44</v>
      </c>
      <c r="B227" s="59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67"/>
    </row>
    <row r="228" spans="1:14" hidden="1">
      <c r="A228" s="59">
        <v>44</v>
      </c>
      <c r="B228" s="58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9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8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8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8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9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8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9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8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8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9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8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8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9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8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9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8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9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8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89"/>
      <c r="C249" s="61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65" t="s">
        <v>248</v>
      </c>
    </row>
    <row r="250" spans="1:14" hidden="1">
      <c r="A250" s="59">
        <v>48</v>
      </c>
      <c r="B250" s="590"/>
      <c r="C250" s="6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67"/>
    </row>
    <row r="251" spans="1:14" hidden="1">
      <c r="A251" s="59">
        <v>48</v>
      </c>
      <c r="B251" s="58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8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8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9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8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89"/>
      <c r="C256" s="61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65" t="s">
        <v>248</v>
      </c>
    </row>
    <row r="257" spans="1:14" hidden="1">
      <c r="A257" s="59">
        <v>49</v>
      </c>
      <c r="B257" s="590"/>
      <c r="C257" s="6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67"/>
    </row>
    <row r="258" spans="1:14" ht="40.5" hidden="1">
      <c r="A258" s="59">
        <v>49</v>
      </c>
      <c r="B258" s="58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9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80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81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4" t="s">
        <v>1105</v>
      </c>
    </row>
    <row r="262" spans="1:14" ht="25.5" hidden="1">
      <c r="A262" s="140">
        <v>49</v>
      </c>
      <c r="B262" s="682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95"/>
    </row>
    <row r="263" spans="1:14" ht="16.5" hidden="1" customHeight="1">
      <c r="A263" s="59">
        <v>50</v>
      </c>
      <c r="B263" s="588" t="s">
        <v>20</v>
      </c>
      <c r="C263" s="61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89"/>
      <c r="C264" s="61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89"/>
      <c r="C265" s="61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89"/>
      <c r="C266" s="61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90"/>
      <c r="C267" s="6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80" t="s">
        <v>660</v>
      </c>
      <c r="C268" s="594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81"/>
      <c r="C269" s="60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82"/>
      <c r="C270" s="595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88" t="s">
        <v>20</v>
      </c>
      <c r="C271" s="61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89"/>
      <c r="C272" s="6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89"/>
      <c r="C273" s="6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8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89"/>
      <c r="C275" s="61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89"/>
      <c r="C276" s="61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9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713" t="s">
        <v>1199</v>
      </c>
      <c r="B278" s="714"/>
      <c r="C278" s="714"/>
      <c r="D278" s="714"/>
      <c r="E278" s="714"/>
      <c r="F278" s="714"/>
      <c r="G278" s="714"/>
      <c r="H278" s="714"/>
      <c r="I278" s="714"/>
      <c r="J278" s="714"/>
      <c r="K278" s="714"/>
      <c r="L278" s="714"/>
      <c r="M278" s="714"/>
      <c r="N278" s="715"/>
    </row>
    <row r="279" spans="1:15" ht="16.5" hidden="1" customHeight="1">
      <c r="A279" s="59">
        <v>1</v>
      </c>
      <c r="B279" s="588" t="s">
        <v>20</v>
      </c>
      <c r="C279" s="61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90"/>
      <c r="C280" s="6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88" t="s">
        <v>64</v>
      </c>
      <c r="C281" s="61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89"/>
      <c r="C282" s="61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89"/>
      <c r="C283" s="61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77" t="s">
        <v>1177</v>
      </c>
      <c r="K283" s="71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89"/>
      <c r="C284" s="61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79"/>
      <c r="K284" s="71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8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9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716" t="s">
        <v>124</v>
      </c>
      <c r="C287" s="594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17"/>
      <c r="C288" s="595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80" t="s">
        <v>64</v>
      </c>
      <c r="C289" s="594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81"/>
      <c r="C290" s="71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81"/>
      <c r="C291" s="683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4" t="s">
        <v>640</v>
      </c>
      <c r="K291" s="646" t="s">
        <v>673</v>
      </c>
      <c r="L291" s="156" t="s">
        <v>310</v>
      </c>
      <c r="M291" s="594" t="s">
        <v>674</v>
      </c>
      <c r="N291" s="156" t="s">
        <v>725</v>
      </c>
    </row>
    <row r="292" spans="1:15" hidden="1">
      <c r="A292" s="59">
        <v>2</v>
      </c>
      <c r="B292" s="681"/>
      <c r="C292" s="71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95"/>
      <c r="K292" s="647"/>
      <c r="L292" s="156" t="s">
        <v>310</v>
      </c>
      <c r="M292" s="595"/>
      <c r="N292" s="156" t="s">
        <v>725</v>
      </c>
    </row>
    <row r="293" spans="1:15" hidden="1">
      <c r="A293" s="59">
        <v>2</v>
      </c>
      <c r="B293" s="681"/>
      <c r="C293" s="683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81"/>
      <c r="C294" s="595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82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88" t="s">
        <v>20</v>
      </c>
      <c r="C296" s="61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89"/>
      <c r="C297" s="61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90"/>
      <c r="C298" s="61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8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8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9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88" t="s">
        <v>20</v>
      </c>
      <c r="C302" s="61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89"/>
      <c r="C303" s="61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89"/>
      <c r="C304" s="61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89"/>
      <c r="C305" s="61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90"/>
      <c r="C306" s="61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88" t="s">
        <v>20</v>
      </c>
      <c r="C308" s="61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90"/>
      <c r="C309" s="61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8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8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9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80" t="s">
        <v>308</v>
      </c>
      <c r="C313" s="594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82"/>
      <c r="C314" s="595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88" t="s">
        <v>20</v>
      </c>
      <c r="C316" s="61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89"/>
      <c r="C317" s="61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90"/>
      <c r="C318" s="61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8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8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9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88" t="s">
        <v>20</v>
      </c>
      <c r="C322" s="61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90"/>
      <c r="C323" s="61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8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8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8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8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9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88" t="s">
        <v>20</v>
      </c>
      <c r="C329" s="61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89"/>
      <c r="C330" s="61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90"/>
      <c r="C331" s="61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8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9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88" t="s">
        <v>20</v>
      </c>
      <c r="C334" s="61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89"/>
      <c r="C335" s="61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89"/>
      <c r="C336" s="61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90"/>
      <c r="C337" s="61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8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8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8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9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88" t="s">
        <v>20</v>
      </c>
      <c r="C342" s="61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89"/>
      <c r="C343" s="61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9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8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8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8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8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89"/>
      <c r="C349" s="67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90"/>
      <c r="C350" s="6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80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81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81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81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82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80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81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81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82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8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8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9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8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8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8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8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8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9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8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8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8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9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8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9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80" t="s">
        <v>308</v>
      </c>
      <c r="C375" s="136" t="s">
        <v>1536</v>
      </c>
      <c r="D375" s="594" t="s">
        <v>307</v>
      </c>
      <c r="E375" s="594" t="s">
        <v>323</v>
      </c>
      <c r="F375" s="594" t="s">
        <v>308</v>
      </c>
      <c r="G375" s="596">
        <v>4266</v>
      </c>
      <c r="H375" s="594" t="s">
        <v>642</v>
      </c>
      <c r="I375" s="596" t="s">
        <v>1538</v>
      </c>
      <c r="J375" s="594" t="s">
        <v>1539</v>
      </c>
      <c r="K375" s="718" t="s">
        <v>694</v>
      </c>
      <c r="L375" s="594" t="s">
        <v>325</v>
      </c>
      <c r="M375" s="594" t="s">
        <v>1540</v>
      </c>
      <c r="N375" s="594" t="s">
        <v>427</v>
      </c>
    </row>
    <row r="376" spans="1:19" hidden="1">
      <c r="A376" s="213" t="s">
        <v>1544</v>
      </c>
      <c r="B376" s="681"/>
      <c r="C376" s="137" t="s">
        <v>1537</v>
      </c>
      <c r="D376" s="595"/>
      <c r="E376" s="595"/>
      <c r="F376" s="595"/>
      <c r="G376" s="597"/>
      <c r="H376" s="595"/>
      <c r="I376" s="597"/>
      <c r="J376" s="595"/>
      <c r="K376" s="719"/>
      <c r="L376" s="595"/>
      <c r="M376" s="595"/>
      <c r="N376" s="595"/>
    </row>
    <row r="377" spans="1:19" hidden="1">
      <c r="A377" s="213" t="s">
        <v>1544</v>
      </c>
      <c r="B377" s="681"/>
      <c r="C377" s="136" t="s">
        <v>1541</v>
      </c>
      <c r="D377" s="594" t="s">
        <v>307</v>
      </c>
      <c r="E377" s="594" t="s">
        <v>323</v>
      </c>
      <c r="F377" s="594" t="s">
        <v>308</v>
      </c>
      <c r="G377" s="596">
        <v>3306</v>
      </c>
      <c r="H377" s="594" t="s">
        <v>1156</v>
      </c>
      <c r="I377" s="596" t="s">
        <v>1543</v>
      </c>
      <c r="J377" s="594" t="s">
        <v>1539</v>
      </c>
      <c r="K377" s="718" t="s">
        <v>694</v>
      </c>
      <c r="L377" s="594" t="s">
        <v>325</v>
      </c>
      <c r="M377" s="594" t="s">
        <v>1540</v>
      </c>
      <c r="N377" s="594" t="s">
        <v>427</v>
      </c>
    </row>
    <row r="378" spans="1:19" hidden="1">
      <c r="A378" s="213" t="s">
        <v>1544</v>
      </c>
      <c r="B378" s="682"/>
      <c r="C378" s="137" t="s">
        <v>1542</v>
      </c>
      <c r="D378" s="595"/>
      <c r="E378" s="595"/>
      <c r="F378" s="595"/>
      <c r="G378" s="597"/>
      <c r="H378" s="595"/>
      <c r="I378" s="597"/>
      <c r="J378" s="595"/>
      <c r="K378" s="719"/>
      <c r="L378" s="595"/>
      <c r="M378" s="595"/>
      <c r="N378" s="595"/>
    </row>
    <row r="379" spans="1:19" ht="27" hidden="1" customHeight="1">
      <c r="A379" s="131">
        <v>15</v>
      </c>
      <c r="B379" s="58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8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8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9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8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9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8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8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8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9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8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8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8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9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8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8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9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8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8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8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8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8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8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9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98" t="s">
        <v>1791</v>
      </c>
      <c r="C403" s="242" t="s">
        <v>1757</v>
      </c>
      <c r="D403" s="648" t="s">
        <v>307</v>
      </c>
      <c r="E403" s="648" t="s">
        <v>323</v>
      </c>
      <c r="F403" s="648" t="s">
        <v>308</v>
      </c>
      <c r="G403" s="656">
        <v>3306</v>
      </c>
      <c r="H403" s="648" t="s">
        <v>1156</v>
      </c>
      <c r="I403" s="656" t="s">
        <v>1758</v>
      </c>
      <c r="J403" s="648" t="s">
        <v>666</v>
      </c>
      <c r="K403" s="654" t="s">
        <v>1291</v>
      </c>
      <c r="L403" s="648" t="s">
        <v>325</v>
      </c>
      <c r="M403" s="648" t="s">
        <v>1759</v>
      </c>
      <c r="N403" s="648" t="s">
        <v>667</v>
      </c>
    </row>
    <row r="404" spans="1:14" hidden="1">
      <c r="A404" s="131">
        <v>18</v>
      </c>
      <c r="B404" s="599"/>
      <c r="C404" s="242" t="s">
        <v>1760</v>
      </c>
      <c r="D404" s="649"/>
      <c r="E404" s="649"/>
      <c r="F404" s="649"/>
      <c r="G404" s="657"/>
      <c r="H404" s="649"/>
      <c r="I404" s="657"/>
      <c r="J404" s="649"/>
      <c r="K404" s="655"/>
      <c r="L404" s="649"/>
      <c r="M404" s="649"/>
      <c r="N404" s="649"/>
    </row>
    <row r="405" spans="1:14" ht="22.5" hidden="1">
      <c r="A405" s="131">
        <v>18</v>
      </c>
      <c r="B405" s="599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99"/>
      <c r="C406" s="242" t="s">
        <v>1764</v>
      </c>
      <c r="D406" s="648" t="s">
        <v>307</v>
      </c>
      <c r="E406" s="648" t="s">
        <v>323</v>
      </c>
      <c r="F406" s="648" t="s">
        <v>308</v>
      </c>
      <c r="G406" s="656" t="s">
        <v>1765</v>
      </c>
      <c r="H406" s="648" t="s">
        <v>349</v>
      </c>
      <c r="I406" s="656" t="s">
        <v>1157</v>
      </c>
      <c r="J406" s="648" t="s">
        <v>666</v>
      </c>
      <c r="K406" s="648" t="s">
        <v>1766</v>
      </c>
      <c r="L406" s="648" t="s">
        <v>325</v>
      </c>
      <c r="M406" s="648" t="s">
        <v>1767</v>
      </c>
      <c r="N406" s="648" t="s">
        <v>667</v>
      </c>
    </row>
    <row r="407" spans="1:14" hidden="1">
      <c r="A407" s="131">
        <v>18</v>
      </c>
      <c r="B407" s="599"/>
      <c r="C407" s="242" t="s">
        <v>1768</v>
      </c>
      <c r="D407" s="649"/>
      <c r="E407" s="649"/>
      <c r="F407" s="649"/>
      <c r="G407" s="657"/>
      <c r="H407" s="649"/>
      <c r="I407" s="657"/>
      <c r="J407" s="649"/>
      <c r="K407" s="649"/>
      <c r="L407" s="649"/>
      <c r="M407" s="649"/>
      <c r="N407" s="649"/>
    </row>
    <row r="408" spans="1:14" ht="16.5" hidden="1" customHeight="1">
      <c r="A408" s="131">
        <v>18</v>
      </c>
      <c r="B408" s="599"/>
      <c r="C408" s="244" t="s">
        <v>1769</v>
      </c>
      <c r="D408" s="648" t="s">
        <v>307</v>
      </c>
      <c r="E408" s="648" t="s">
        <v>323</v>
      </c>
      <c r="F408" s="648" t="s">
        <v>308</v>
      </c>
      <c r="G408" s="656" t="s">
        <v>1770</v>
      </c>
      <c r="H408" s="648" t="s">
        <v>330</v>
      </c>
      <c r="I408" s="656" t="s">
        <v>1771</v>
      </c>
      <c r="J408" s="648" t="s">
        <v>666</v>
      </c>
      <c r="K408" s="648" t="s">
        <v>1772</v>
      </c>
      <c r="L408" s="648" t="s">
        <v>325</v>
      </c>
      <c r="M408" s="648" t="s">
        <v>1773</v>
      </c>
      <c r="N408" s="648" t="s">
        <v>1774</v>
      </c>
    </row>
    <row r="409" spans="1:14" hidden="1">
      <c r="A409" s="131">
        <v>18</v>
      </c>
      <c r="B409" s="600"/>
      <c r="C409" s="242" t="s">
        <v>1775</v>
      </c>
      <c r="D409" s="649"/>
      <c r="E409" s="649"/>
      <c r="F409" s="649"/>
      <c r="G409" s="657"/>
      <c r="H409" s="649"/>
      <c r="I409" s="657"/>
      <c r="J409" s="649"/>
      <c r="K409" s="649"/>
      <c r="L409" s="649"/>
      <c r="M409" s="649"/>
      <c r="N409" s="649"/>
    </row>
    <row r="410" spans="1:14" ht="16.5" hidden="1" customHeight="1">
      <c r="A410" s="131">
        <v>18</v>
      </c>
      <c r="B410" s="598" t="s">
        <v>254</v>
      </c>
      <c r="C410" s="650" t="s">
        <v>1776</v>
      </c>
      <c r="D410" s="648" t="s">
        <v>312</v>
      </c>
      <c r="E410" s="648" t="s">
        <v>321</v>
      </c>
      <c r="F410" s="648" t="s">
        <v>711</v>
      </c>
      <c r="G410" s="648" t="s">
        <v>1777</v>
      </c>
      <c r="H410" s="650" t="s">
        <v>1778</v>
      </c>
      <c r="I410" s="243" t="s">
        <v>1779</v>
      </c>
      <c r="J410" s="648"/>
      <c r="K410" s="652" t="s">
        <v>1780</v>
      </c>
      <c r="L410" s="648" t="s">
        <v>310</v>
      </c>
      <c r="M410" s="648" t="s">
        <v>1773</v>
      </c>
      <c r="N410" s="648" t="s">
        <v>1781</v>
      </c>
    </row>
    <row r="411" spans="1:14" hidden="1">
      <c r="A411" s="131">
        <v>18</v>
      </c>
      <c r="B411" s="599"/>
      <c r="C411" s="651"/>
      <c r="D411" s="649"/>
      <c r="E411" s="649"/>
      <c r="F411" s="649"/>
      <c r="G411" s="649"/>
      <c r="H411" s="651"/>
      <c r="I411" s="243" t="s">
        <v>1782</v>
      </c>
      <c r="J411" s="649"/>
      <c r="K411" s="653"/>
      <c r="L411" s="649"/>
      <c r="M411" s="649"/>
      <c r="N411" s="649"/>
    </row>
    <row r="412" spans="1:14" ht="22.5" hidden="1">
      <c r="A412" s="131">
        <v>18</v>
      </c>
      <c r="B412" s="599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99"/>
      <c r="C413" s="650" t="s">
        <v>1785</v>
      </c>
      <c r="D413" s="650" t="s">
        <v>702</v>
      </c>
      <c r="E413" s="648" t="s">
        <v>677</v>
      </c>
      <c r="F413" s="650" t="s">
        <v>1786</v>
      </c>
      <c r="G413" s="650" t="s">
        <v>1787</v>
      </c>
      <c r="H413" s="650" t="s">
        <v>664</v>
      </c>
      <c r="I413" s="243" t="s">
        <v>1788</v>
      </c>
      <c r="J413" s="648" t="s">
        <v>640</v>
      </c>
      <c r="K413" s="648" t="s">
        <v>733</v>
      </c>
      <c r="L413" s="648" t="s">
        <v>310</v>
      </c>
      <c r="M413" s="648" t="s">
        <v>1789</v>
      </c>
      <c r="N413" s="648" t="s">
        <v>1790</v>
      </c>
    </row>
    <row r="414" spans="1:14" hidden="1">
      <c r="A414" s="131">
        <v>18</v>
      </c>
      <c r="B414" s="600"/>
      <c r="C414" s="651"/>
      <c r="D414" s="651"/>
      <c r="E414" s="649"/>
      <c r="F414" s="651"/>
      <c r="G414" s="651"/>
      <c r="H414" s="651"/>
      <c r="I414" s="27"/>
      <c r="J414" s="649"/>
      <c r="K414" s="649"/>
      <c r="L414" s="649"/>
      <c r="M414" s="649"/>
      <c r="N414" s="649"/>
    </row>
    <row r="415" spans="1:14" ht="16.5" hidden="1" customHeight="1">
      <c r="A415" s="131">
        <v>19</v>
      </c>
      <c r="B415" s="598" t="s">
        <v>20</v>
      </c>
      <c r="C415" s="156" t="s">
        <v>1803</v>
      </c>
      <c r="D415" s="594" t="s">
        <v>307</v>
      </c>
      <c r="E415" s="594" t="s">
        <v>323</v>
      </c>
      <c r="F415" s="594" t="s">
        <v>308</v>
      </c>
      <c r="G415" s="596" t="s">
        <v>1805</v>
      </c>
      <c r="H415" s="594" t="s">
        <v>1806</v>
      </c>
      <c r="I415" s="596" t="s">
        <v>1801</v>
      </c>
      <c r="J415" s="594" t="s">
        <v>666</v>
      </c>
      <c r="K415" s="156" t="s">
        <v>1525</v>
      </c>
      <c r="L415" s="594" t="s">
        <v>325</v>
      </c>
      <c r="M415" s="594" t="s">
        <v>1808</v>
      </c>
      <c r="N415" s="594" t="s">
        <v>667</v>
      </c>
    </row>
    <row r="416" spans="1:14" hidden="1">
      <c r="A416" s="131">
        <v>19</v>
      </c>
      <c r="B416" s="599"/>
      <c r="C416" s="156" t="s">
        <v>1804</v>
      </c>
      <c r="D416" s="595"/>
      <c r="E416" s="595"/>
      <c r="F416" s="595"/>
      <c r="G416" s="597"/>
      <c r="H416" s="595"/>
      <c r="I416" s="597"/>
      <c r="J416" s="595"/>
      <c r="K416" s="156" t="s">
        <v>1807</v>
      </c>
      <c r="L416" s="595"/>
      <c r="M416" s="595"/>
      <c r="N416" s="595"/>
    </row>
    <row r="417" spans="1:14" hidden="1">
      <c r="A417" s="131">
        <v>19</v>
      </c>
      <c r="B417" s="599"/>
      <c r="C417" s="156" t="s">
        <v>1809</v>
      </c>
      <c r="D417" s="594" t="s">
        <v>307</v>
      </c>
      <c r="E417" s="594" t="s">
        <v>323</v>
      </c>
      <c r="F417" s="594" t="s">
        <v>308</v>
      </c>
      <c r="G417" s="596" t="s">
        <v>1810</v>
      </c>
      <c r="H417" s="594" t="s">
        <v>1811</v>
      </c>
      <c r="I417" s="596" t="s">
        <v>1812</v>
      </c>
      <c r="J417" s="594" t="s">
        <v>666</v>
      </c>
      <c r="K417" s="646" t="s">
        <v>1158</v>
      </c>
      <c r="L417" s="594" t="s">
        <v>325</v>
      </c>
      <c r="M417" s="594" t="s">
        <v>1813</v>
      </c>
      <c r="N417" s="594" t="s">
        <v>667</v>
      </c>
    </row>
    <row r="418" spans="1:14" hidden="1">
      <c r="A418" s="131">
        <v>19</v>
      </c>
      <c r="B418" s="600"/>
      <c r="C418" s="156" t="s">
        <v>1804</v>
      </c>
      <c r="D418" s="595"/>
      <c r="E418" s="595"/>
      <c r="F418" s="595"/>
      <c r="G418" s="597"/>
      <c r="H418" s="595"/>
      <c r="I418" s="597"/>
      <c r="J418" s="595"/>
      <c r="K418" s="647"/>
      <c r="L418" s="595"/>
      <c r="M418" s="595"/>
      <c r="N418" s="595"/>
    </row>
    <row r="419" spans="1:14" ht="16.5" hidden="1" customHeight="1">
      <c r="A419" s="131">
        <v>19</v>
      </c>
      <c r="B419" s="598" t="s">
        <v>21</v>
      </c>
      <c r="C419" s="638" t="s">
        <v>1814</v>
      </c>
      <c r="D419" s="638" t="s">
        <v>702</v>
      </c>
      <c r="E419" s="594" t="s">
        <v>677</v>
      </c>
      <c r="F419" s="638" t="s">
        <v>1815</v>
      </c>
      <c r="G419" s="638" t="s">
        <v>1816</v>
      </c>
      <c r="H419" s="638" t="s">
        <v>664</v>
      </c>
      <c r="I419" s="596" t="s">
        <v>1817</v>
      </c>
      <c r="J419" s="594"/>
      <c r="K419" s="644" t="s">
        <v>1818</v>
      </c>
      <c r="L419" s="594" t="s">
        <v>310</v>
      </c>
      <c r="M419" s="594" t="s">
        <v>1819</v>
      </c>
      <c r="N419" s="157" t="s">
        <v>1820</v>
      </c>
    </row>
    <row r="420" spans="1:14" hidden="1">
      <c r="A420" s="131">
        <v>19</v>
      </c>
      <c r="B420" s="599"/>
      <c r="C420" s="639"/>
      <c r="D420" s="639"/>
      <c r="E420" s="595"/>
      <c r="F420" s="639"/>
      <c r="G420" s="639"/>
      <c r="H420" s="639"/>
      <c r="I420" s="597"/>
      <c r="J420" s="595"/>
      <c r="K420" s="645"/>
      <c r="L420" s="595"/>
      <c r="M420" s="595"/>
      <c r="N420" s="157" t="s">
        <v>1821</v>
      </c>
    </row>
    <row r="421" spans="1:14" hidden="1">
      <c r="A421" s="131">
        <v>19</v>
      </c>
      <c r="B421" s="599"/>
      <c r="C421" s="640" t="s">
        <v>1822</v>
      </c>
      <c r="D421" s="638" t="s">
        <v>702</v>
      </c>
      <c r="E421" s="594" t="s">
        <v>321</v>
      </c>
      <c r="F421" s="594" t="s">
        <v>338</v>
      </c>
      <c r="G421" s="638" t="s">
        <v>355</v>
      </c>
      <c r="H421" s="638" t="s">
        <v>1823</v>
      </c>
      <c r="I421" s="596" t="s">
        <v>1824</v>
      </c>
      <c r="J421" s="594" t="s">
        <v>640</v>
      </c>
      <c r="K421" s="642" t="s">
        <v>694</v>
      </c>
      <c r="L421" s="594" t="s">
        <v>310</v>
      </c>
      <c r="M421" s="594" t="s">
        <v>1825</v>
      </c>
      <c r="N421" s="156" t="s">
        <v>1826</v>
      </c>
    </row>
    <row r="422" spans="1:14" hidden="1">
      <c r="A422" s="131">
        <v>19</v>
      </c>
      <c r="B422" s="599"/>
      <c r="C422" s="641"/>
      <c r="D422" s="639"/>
      <c r="E422" s="595"/>
      <c r="F422" s="595"/>
      <c r="G422" s="639"/>
      <c r="H422" s="639"/>
      <c r="I422" s="597"/>
      <c r="J422" s="595"/>
      <c r="K422" s="643"/>
      <c r="L422" s="595"/>
      <c r="M422" s="595"/>
      <c r="N422" s="156" t="s">
        <v>1827</v>
      </c>
    </row>
    <row r="423" spans="1:14" hidden="1">
      <c r="A423" s="131">
        <v>19</v>
      </c>
      <c r="B423" s="599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99"/>
      <c r="C424" s="638" t="s">
        <v>1829</v>
      </c>
      <c r="D424" s="638" t="s">
        <v>702</v>
      </c>
      <c r="E424" s="594" t="s">
        <v>321</v>
      </c>
      <c r="F424" s="594" t="s">
        <v>711</v>
      </c>
      <c r="G424" s="594" t="s">
        <v>1777</v>
      </c>
      <c r="H424" s="638" t="s">
        <v>1830</v>
      </c>
      <c r="I424" s="157" t="s">
        <v>1831</v>
      </c>
      <c r="J424" s="594" t="s">
        <v>640</v>
      </c>
      <c r="K424" s="594" t="s">
        <v>694</v>
      </c>
      <c r="L424" s="594" t="s">
        <v>310</v>
      </c>
      <c r="M424" s="594" t="s">
        <v>1540</v>
      </c>
      <c r="N424" s="596" t="s">
        <v>1833</v>
      </c>
    </row>
    <row r="425" spans="1:14" hidden="1">
      <c r="A425" s="131">
        <v>19</v>
      </c>
      <c r="B425" s="599"/>
      <c r="C425" s="639"/>
      <c r="D425" s="639"/>
      <c r="E425" s="595"/>
      <c r="F425" s="595"/>
      <c r="G425" s="595"/>
      <c r="H425" s="639"/>
      <c r="I425" s="157" t="s">
        <v>1832</v>
      </c>
      <c r="J425" s="595"/>
      <c r="K425" s="595"/>
      <c r="L425" s="595"/>
      <c r="M425" s="595"/>
      <c r="N425" s="597"/>
    </row>
    <row r="426" spans="1:14" hidden="1">
      <c r="A426" s="131">
        <v>19</v>
      </c>
      <c r="B426" s="600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98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99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99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99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600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98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600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98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99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99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99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600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98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99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99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99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600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98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99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99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99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600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98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99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600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98" t="s">
        <v>2088</v>
      </c>
      <c r="C452" s="260" t="s">
        <v>1915</v>
      </c>
      <c r="D452" s="618" t="s">
        <v>307</v>
      </c>
      <c r="E452" s="618" t="s">
        <v>323</v>
      </c>
      <c r="F452" s="618" t="s">
        <v>308</v>
      </c>
      <c r="G452" s="618">
        <v>3306</v>
      </c>
      <c r="H452" s="618" t="s">
        <v>1156</v>
      </c>
      <c r="I452" s="618" t="s">
        <v>1916</v>
      </c>
      <c r="J452" s="618" t="s">
        <v>1113</v>
      </c>
      <c r="K452" s="618" t="s">
        <v>694</v>
      </c>
      <c r="L452" s="618" t="s">
        <v>325</v>
      </c>
      <c r="M452" s="618" t="s">
        <v>1917</v>
      </c>
      <c r="N452" s="618" t="s">
        <v>667</v>
      </c>
    </row>
    <row r="453" spans="1:14" hidden="1">
      <c r="A453" s="131">
        <v>23</v>
      </c>
      <c r="B453" s="599"/>
      <c r="C453" s="260" t="s">
        <v>1918</v>
      </c>
      <c r="D453" s="619"/>
      <c r="E453" s="619"/>
      <c r="F453" s="619"/>
      <c r="G453" s="619"/>
      <c r="H453" s="619"/>
      <c r="I453" s="619"/>
      <c r="J453" s="619"/>
      <c r="K453" s="619"/>
      <c r="L453" s="619"/>
      <c r="M453" s="619"/>
      <c r="N453" s="619"/>
    </row>
    <row r="454" spans="1:14" hidden="1">
      <c r="A454" s="131">
        <v>23</v>
      </c>
      <c r="B454" s="599"/>
      <c r="C454" s="260" t="s">
        <v>1919</v>
      </c>
      <c r="D454" s="618" t="s">
        <v>307</v>
      </c>
      <c r="E454" s="618" t="s">
        <v>323</v>
      </c>
      <c r="F454" s="618" t="s">
        <v>308</v>
      </c>
      <c r="G454" s="620" t="s">
        <v>1423</v>
      </c>
      <c r="H454" s="618" t="s">
        <v>1920</v>
      </c>
      <c r="I454" s="620" t="s">
        <v>1157</v>
      </c>
      <c r="J454" s="618" t="s">
        <v>666</v>
      </c>
      <c r="K454" s="634" t="s">
        <v>1772</v>
      </c>
      <c r="L454" s="618" t="s">
        <v>325</v>
      </c>
      <c r="M454" s="618" t="s">
        <v>1540</v>
      </c>
      <c r="N454" s="618" t="s">
        <v>667</v>
      </c>
    </row>
    <row r="455" spans="1:14" hidden="1">
      <c r="A455" s="131">
        <v>23</v>
      </c>
      <c r="B455" s="599"/>
      <c r="C455" s="260" t="s">
        <v>1918</v>
      </c>
      <c r="D455" s="619"/>
      <c r="E455" s="619"/>
      <c r="F455" s="619"/>
      <c r="G455" s="621"/>
      <c r="H455" s="619"/>
      <c r="I455" s="621"/>
      <c r="J455" s="619"/>
      <c r="K455" s="635"/>
      <c r="L455" s="619"/>
      <c r="M455" s="619"/>
      <c r="N455" s="619"/>
    </row>
    <row r="456" spans="1:14" hidden="1">
      <c r="A456" s="131">
        <v>23</v>
      </c>
      <c r="B456" s="599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99"/>
      <c r="C457" s="260" t="s">
        <v>1926</v>
      </c>
      <c r="D457" s="618" t="s">
        <v>307</v>
      </c>
      <c r="E457" s="618" t="s">
        <v>323</v>
      </c>
      <c r="F457" s="618" t="s">
        <v>308</v>
      </c>
      <c r="G457" s="620">
        <v>4267</v>
      </c>
      <c r="H457" s="618" t="s">
        <v>642</v>
      </c>
      <c r="I457" s="620" t="s">
        <v>1157</v>
      </c>
      <c r="J457" s="618" t="s">
        <v>666</v>
      </c>
      <c r="K457" s="634" t="s">
        <v>1772</v>
      </c>
      <c r="L457" s="618" t="s">
        <v>325</v>
      </c>
      <c r="M457" s="618" t="s">
        <v>1540</v>
      </c>
      <c r="N457" s="618" t="s">
        <v>667</v>
      </c>
    </row>
    <row r="458" spans="1:14" hidden="1">
      <c r="A458" s="131">
        <v>23</v>
      </c>
      <c r="B458" s="599"/>
      <c r="C458" s="260" t="s">
        <v>1927</v>
      </c>
      <c r="D458" s="619"/>
      <c r="E458" s="619"/>
      <c r="F458" s="619"/>
      <c r="G458" s="621"/>
      <c r="H458" s="619"/>
      <c r="I458" s="621"/>
      <c r="J458" s="619"/>
      <c r="K458" s="635"/>
      <c r="L458" s="619"/>
      <c r="M458" s="619"/>
      <c r="N458" s="619"/>
    </row>
    <row r="459" spans="1:14" hidden="1">
      <c r="A459" s="131">
        <v>23</v>
      </c>
      <c r="B459" s="599"/>
      <c r="C459" s="260" t="s">
        <v>1926</v>
      </c>
      <c r="D459" s="618" t="s">
        <v>307</v>
      </c>
      <c r="E459" s="618" t="s">
        <v>323</v>
      </c>
      <c r="F459" s="618" t="s">
        <v>308</v>
      </c>
      <c r="G459" s="620" t="s">
        <v>1928</v>
      </c>
      <c r="H459" s="618" t="s">
        <v>664</v>
      </c>
      <c r="I459" s="620" t="s">
        <v>1929</v>
      </c>
      <c r="J459" s="618" t="s">
        <v>351</v>
      </c>
      <c r="K459" s="636" t="s">
        <v>1925</v>
      </c>
      <c r="L459" s="618" t="s">
        <v>325</v>
      </c>
      <c r="M459" s="618" t="s">
        <v>1540</v>
      </c>
      <c r="N459" s="618" t="s">
        <v>427</v>
      </c>
    </row>
    <row r="460" spans="1:14" hidden="1">
      <c r="A460" s="131">
        <v>23</v>
      </c>
      <c r="B460" s="600"/>
      <c r="C460" s="261" t="s">
        <v>1927</v>
      </c>
      <c r="D460" s="619"/>
      <c r="E460" s="619"/>
      <c r="F460" s="619"/>
      <c r="G460" s="621"/>
      <c r="H460" s="619"/>
      <c r="I460" s="621"/>
      <c r="J460" s="619"/>
      <c r="K460" s="637"/>
      <c r="L460" s="619"/>
      <c r="M460" s="619"/>
      <c r="N460" s="619"/>
    </row>
    <row r="461" spans="1:14" hidden="1">
      <c r="A461" s="131">
        <v>23</v>
      </c>
      <c r="B461" s="598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99"/>
      <c r="C462" s="618" t="s">
        <v>1930</v>
      </c>
      <c r="D462" s="618" t="s">
        <v>312</v>
      </c>
      <c r="E462" s="618" t="s">
        <v>677</v>
      </c>
      <c r="F462" s="618" t="s">
        <v>1935</v>
      </c>
      <c r="G462" s="618" t="s">
        <v>1936</v>
      </c>
      <c r="H462" s="720" t="s">
        <v>349</v>
      </c>
      <c r="I462" s="259" t="s">
        <v>1937</v>
      </c>
      <c r="J462" s="618"/>
      <c r="K462" s="620" t="s">
        <v>1933</v>
      </c>
      <c r="L462" s="618" t="s">
        <v>310</v>
      </c>
      <c r="M462" s="618" t="s">
        <v>1837</v>
      </c>
      <c r="N462" s="620" t="s">
        <v>1934</v>
      </c>
    </row>
    <row r="463" spans="1:14" hidden="1">
      <c r="A463" s="131">
        <v>23</v>
      </c>
      <c r="B463" s="599"/>
      <c r="C463" s="619"/>
      <c r="D463" s="619"/>
      <c r="E463" s="619"/>
      <c r="F463" s="619"/>
      <c r="G463" s="619"/>
      <c r="H463" s="721"/>
      <c r="I463" s="259" t="s">
        <v>1938</v>
      </c>
      <c r="J463" s="619"/>
      <c r="K463" s="621"/>
      <c r="L463" s="619"/>
      <c r="M463" s="619"/>
      <c r="N463" s="621"/>
    </row>
    <row r="464" spans="1:14" ht="24" hidden="1">
      <c r="A464" s="131">
        <v>23</v>
      </c>
      <c r="B464" s="599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600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98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99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99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600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98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99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99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99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600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98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99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99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600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98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99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600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98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99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99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99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600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98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99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99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99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600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98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99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99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99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99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600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98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99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600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98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99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99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600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98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600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98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99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99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99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99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99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99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99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600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98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99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600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98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99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99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99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600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98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600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98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99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99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99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600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98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99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600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98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99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600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98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99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99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99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600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98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99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99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600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98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99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99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600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98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99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600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98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99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99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600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98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99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600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98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99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99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600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98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99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99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99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99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600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1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1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1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1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1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1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98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600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1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1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1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1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98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99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99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600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98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99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99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99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99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600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98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99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600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98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99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600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98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99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99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600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98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600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1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1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1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98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99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99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600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98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600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98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99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99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600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98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99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600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98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99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600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98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99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600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98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600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98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99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600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98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99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99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99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99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99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99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99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99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99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99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99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99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99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99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99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99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99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99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99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99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99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98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99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99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600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99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600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98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600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98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99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99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99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600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98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600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98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99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99"/>
      <c r="C687" s="156" t="s">
        <v>2741</v>
      </c>
      <c r="D687" s="594" t="s">
        <v>307</v>
      </c>
      <c r="E687" s="594" t="s">
        <v>323</v>
      </c>
      <c r="F687" s="594" t="s">
        <v>308</v>
      </c>
      <c r="G687" s="596" t="s">
        <v>2734</v>
      </c>
      <c r="H687" s="594" t="s">
        <v>1049</v>
      </c>
      <c r="I687" s="596" t="s">
        <v>706</v>
      </c>
      <c r="J687" s="594" t="s">
        <v>666</v>
      </c>
      <c r="K687" s="626" t="s">
        <v>1772</v>
      </c>
      <c r="L687" s="594"/>
      <c r="M687" s="594" t="s">
        <v>460</v>
      </c>
      <c r="N687" s="594" t="s">
        <v>667</v>
      </c>
    </row>
    <row r="688" spans="1:14" hidden="1">
      <c r="A688" s="131">
        <v>8</v>
      </c>
      <c r="B688" s="599"/>
      <c r="C688" s="156" t="s">
        <v>2742</v>
      </c>
      <c r="D688" s="595"/>
      <c r="E688" s="595"/>
      <c r="F688" s="595"/>
      <c r="G688" s="597"/>
      <c r="H688" s="595"/>
      <c r="I688" s="597"/>
      <c r="J688" s="595"/>
      <c r="K688" s="627"/>
      <c r="L688" s="595"/>
      <c r="M688" s="595"/>
      <c r="N688" s="595"/>
    </row>
    <row r="689" spans="1:14" hidden="1">
      <c r="A689" s="131">
        <v>8</v>
      </c>
      <c r="B689" s="599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99"/>
      <c r="C690" s="156" t="s">
        <v>2745</v>
      </c>
      <c r="D690" s="594" t="s">
        <v>307</v>
      </c>
      <c r="E690" s="594" t="s">
        <v>323</v>
      </c>
      <c r="F690" s="594" t="s">
        <v>308</v>
      </c>
      <c r="G690" s="596" t="s">
        <v>2746</v>
      </c>
      <c r="H690" s="594" t="s">
        <v>642</v>
      </c>
      <c r="I690" s="596" t="s">
        <v>670</v>
      </c>
      <c r="J690" s="594" t="s">
        <v>351</v>
      </c>
      <c r="K690" s="628" t="s">
        <v>2747</v>
      </c>
      <c r="L690" s="594"/>
      <c r="M690" s="594" t="s">
        <v>2784</v>
      </c>
      <c r="N690" s="594" t="s">
        <v>427</v>
      </c>
    </row>
    <row r="691" spans="1:14" hidden="1">
      <c r="A691" s="131">
        <v>8</v>
      </c>
      <c r="B691" s="600"/>
      <c r="C691" s="156" t="s">
        <v>2738</v>
      </c>
      <c r="D691" s="595"/>
      <c r="E691" s="595"/>
      <c r="F691" s="595"/>
      <c r="G691" s="597"/>
      <c r="H691" s="595"/>
      <c r="I691" s="597"/>
      <c r="J691" s="595"/>
      <c r="K691" s="629"/>
      <c r="L691" s="595"/>
      <c r="M691" s="595"/>
      <c r="N691" s="595"/>
    </row>
    <row r="692" spans="1:14" hidden="1">
      <c r="A692" s="131">
        <v>8</v>
      </c>
      <c r="B692" s="598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99"/>
      <c r="C693" s="594" t="s">
        <v>2783</v>
      </c>
      <c r="D693" s="594" t="s">
        <v>312</v>
      </c>
      <c r="E693" s="594" t="s">
        <v>677</v>
      </c>
      <c r="F693" s="157" t="s">
        <v>1815</v>
      </c>
      <c r="G693" s="596" t="s">
        <v>691</v>
      </c>
      <c r="H693" s="596" t="s">
        <v>664</v>
      </c>
      <c r="I693" s="596" t="s">
        <v>2754</v>
      </c>
      <c r="J693" s="596"/>
      <c r="K693" s="596" t="s">
        <v>700</v>
      </c>
      <c r="L693" s="594" t="s">
        <v>310</v>
      </c>
      <c r="M693" s="594" t="s">
        <v>674</v>
      </c>
      <c r="N693" s="594" t="s">
        <v>2755</v>
      </c>
    </row>
    <row r="694" spans="1:14" hidden="1">
      <c r="A694" s="131">
        <v>8</v>
      </c>
      <c r="B694" s="600"/>
      <c r="C694" s="595"/>
      <c r="D694" s="595"/>
      <c r="E694" s="595"/>
      <c r="F694" s="157" t="s">
        <v>2753</v>
      </c>
      <c r="G694" s="597"/>
      <c r="H694" s="597"/>
      <c r="I694" s="597"/>
      <c r="J694" s="597"/>
      <c r="K694" s="597"/>
      <c r="L694" s="595"/>
      <c r="M694" s="595"/>
      <c r="N694" s="606"/>
    </row>
    <row r="695" spans="1:14" hidden="1">
      <c r="A695" s="131">
        <v>9</v>
      </c>
      <c r="B695" s="598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99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99"/>
      <c r="C697" s="260" t="s">
        <v>2760</v>
      </c>
      <c r="D697" s="618" t="s">
        <v>307</v>
      </c>
      <c r="E697" s="618" t="s">
        <v>323</v>
      </c>
      <c r="F697" s="618" t="s">
        <v>308</v>
      </c>
      <c r="G697" s="620" t="s">
        <v>2761</v>
      </c>
      <c r="H697" s="618" t="s">
        <v>407</v>
      </c>
      <c r="I697" s="620" t="s">
        <v>2762</v>
      </c>
      <c r="J697" s="618" t="s">
        <v>666</v>
      </c>
      <c r="K697" s="624" t="s">
        <v>1766</v>
      </c>
      <c r="L697" s="618"/>
      <c r="M697" s="616">
        <v>750000</v>
      </c>
      <c r="N697" s="618" t="s">
        <v>667</v>
      </c>
    </row>
    <row r="698" spans="1:14" hidden="1">
      <c r="A698" s="131">
        <v>9</v>
      </c>
      <c r="B698" s="599"/>
      <c r="C698" s="260" t="s">
        <v>2763</v>
      </c>
      <c r="D698" s="619"/>
      <c r="E698" s="619"/>
      <c r="F698" s="619"/>
      <c r="G698" s="621"/>
      <c r="H698" s="619"/>
      <c r="I698" s="621"/>
      <c r="J698" s="619"/>
      <c r="K698" s="625"/>
      <c r="L698" s="619"/>
      <c r="M698" s="617"/>
      <c r="N698" s="619"/>
    </row>
    <row r="699" spans="1:14" hidden="1">
      <c r="A699" s="131">
        <v>9</v>
      </c>
      <c r="B699" s="599"/>
      <c r="C699" s="260" t="s">
        <v>2760</v>
      </c>
      <c r="D699" s="618" t="s">
        <v>307</v>
      </c>
      <c r="E699" s="618" t="s">
        <v>323</v>
      </c>
      <c r="F699" s="618" t="s">
        <v>308</v>
      </c>
      <c r="G699" s="620" t="s">
        <v>2764</v>
      </c>
      <c r="H699" s="618" t="s">
        <v>664</v>
      </c>
      <c r="I699" s="620" t="s">
        <v>670</v>
      </c>
      <c r="J699" s="618" t="s">
        <v>351</v>
      </c>
      <c r="K699" s="622" t="s">
        <v>2747</v>
      </c>
      <c r="L699" s="618"/>
      <c r="M699" s="616">
        <v>1000000</v>
      </c>
      <c r="N699" s="618" t="s">
        <v>427</v>
      </c>
    </row>
    <row r="700" spans="1:14" hidden="1">
      <c r="A700" s="131">
        <v>9</v>
      </c>
      <c r="B700" s="599"/>
      <c r="C700" s="260" t="s">
        <v>2765</v>
      </c>
      <c r="D700" s="619"/>
      <c r="E700" s="619"/>
      <c r="F700" s="619"/>
      <c r="G700" s="621"/>
      <c r="H700" s="619"/>
      <c r="I700" s="621"/>
      <c r="J700" s="619"/>
      <c r="K700" s="623"/>
      <c r="L700" s="619"/>
      <c r="M700" s="617"/>
      <c r="N700" s="619"/>
    </row>
    <row r="701" spans="1:14" hidden="1">
      <c r="A701" s="131">
        <v>9</v>
      </c>
      <c r="B701" s="600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98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99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600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98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99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600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98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99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99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600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98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600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98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600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98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99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99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99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600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98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99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99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600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98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99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99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99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99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99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99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4" t="s">
        <v>2844</v>
      </c>
    </row>
    <row r="734" spans="1:14" ht="27" hidden="1">
      <c r="A734" s="131">
        <v>15</v>
      </c>
      <c r="B734" s="599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15"/>
    </row>
    <row r="735" spans="1:14" hidden="1">
      <c r="A735" s="131">
        <v>15</v>
      </c>
      <c r="B735" s="599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99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99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99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99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99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99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99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99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99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600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98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99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99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99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600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98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99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99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99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600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98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99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99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600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98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99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99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99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99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99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99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99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99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600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98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99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600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98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99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600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98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99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99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600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98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99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99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600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98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600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98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99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99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600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98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600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1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1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1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98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99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99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99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600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98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99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99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600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98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99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600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98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99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99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600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98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99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99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99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99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600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98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99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99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99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99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99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99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99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600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98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99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99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99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99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600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98" t="s">
        <v>3184</v>
      </c>
      <c r="C835" s="156" t="s">
        <v>3166</v>
      </c>
      <c r="D835" s="594" t="s">
        <v>307</v>
      </c>
      <c r="E835" s="594" t="s">
        <v>323</v>
      </c>
      <c r="F835" s="594" t="s">
        <v>308</v>
      </c>
      <c r="G835" s="596" t="s">
        <v>3134</v>
      </c>
      <c r="H835" s="594" t="s">
        <v>2003</v>
      </c>
      <c r="I835" s="596" t="s">
        <v>3135</v>
      </c>
      <c r="J835" s="594" t="s">
        <v>666</v>
      </c>
      <c r="K835" s="156" t="s">
        <v>3168</v>
      </c>
      <c r="L835" s="594"/>
      <c r="M835" s="608" t="s">
        <v>3169</v>
      </c>
      <c r="N835" s="156" t="s">
        <v>3170</v>
      </c>
    </row>
    <row r="836" spans="1:14" hidden="1">
      <c r="A836" s="131">
        <v>29</v>
      </c>
      <c r="B836" s="599"/>
      <c r="C836" s="156" t="s">
        <v>3167</v>
      </c>
      <c r="D836" s="606"/>
      <c r="E836" s="606"/>
      <c r="F836" s="606"/>
      <c r="G836" s="607"/>
      <c r="H836" s="606"/>
      <c r="I836" s="607"/>
      <c r="J836" s="606"/>
      <c r="K836" s="156" t="s">
        <v>709</v>
      </c>
      <c r="L836" s="606"/>
      <c r="M836" s="609"/>
      <c r="N836" s="156"/>
    </row>
    <row r="837" spans="1:14" hidden="1">
      <c r="A837" s="131">
        <v>29</v>
      </c>
      <c r="B837" s="599"/>
      <c r="C837" s="156"/>
      <c r="D837" s="595"/>
      <c r="E837" s="595"/>
      <c r="F837" s="595"/>
      <c r="G837" s="597"/>
      <c r="H837" s="595"/>
      <c r="I837" s="597"/>
      <c r="J837" s="595"/>
      <c r="K837" s="156"/>
      <c r="L837" s="595"/>
      <c r="M837" s="610"/>
      <c r="N837" s="156" t="s">
        <v>3171</v>
      </c>
    </row>
    <row r="838" spans="1:14" hidden="1">
      <c r="A838" s="131">
        <v>29</v>
      </c>
      <c r="B838" s="599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600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98" t="s">
        <v>21</v>
      </c>
      <c r="C840" s="119" t="s">
        <v>3174</v>
      </c>
      <c r="D840" s="594" t="s">
        <v>312</v>
      </c>
      <c r="E840" s="594" t="s">
        <v>321</v>
      </c>
      <c r="F840" s="596" t="s">
        <v>2613</v>
      </c>
      <c r="G840" s="596" t="s">
        <v>3142</v>
      </c>
      <c r="H840" s="596" t="s">
        <v>3143</v>
      </c>
      <c r="I840" s="596" t="s">
        <v>3144</v>
      </c>
      <c r="J840" s="596" t="s">
        <v>704</v>
      </c>
      <c r="K840" s="596" t="s">
        <v>3145</v>
      </c>
      <c r="L840" s="594" t="s">
        <v>310</v>
      </c>
      <c r="M840" s="608" t="s">
        <v>1825</v>
      </c>
      <c r="N840" s="594" t="s">
        <v>3175</v>
      </c>
    </row>
    <row r="841" spans="1:14" hidden="1">
      <c r="A841" s="131">
        <v>29</v>
      </c>
      <c r="B841" s="599"/>
      <c r="C841" s="119" t="s">
        <v>3148</v>
      </c>
      <c r="D841" s="595"/>
      <c r="E841" s="595"/>
      <c r="F841" s="597"/>
      <c r="G841" s="597"/>
      <c r="H841" s="597"/>
      <c r="I841" s="597"/>
      <c r="J841" s="597"/>
      <c r="K841" s="597"/>
      <c r="L841" s="595"/>
      <c r="M841" s="610"/>
      <c r="N841" s="595"/>
    </row>
    <row r="842" spans="1:14" hidden="1">
      <c r="A842" s="131">
        <v>29</v>
      </c>
      <c r="B842" s="599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99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99"/>
      <c r="C844" s="119" t="s">
        <v>3166</v>
      </c>
      <c r="D844" s="594" t="s">
        <v>312</v>
      </c>
      <c r="E844" s="594" t="s">
        <v>321</v>
      </c>
      <c r="F844" s="596" t="s">
        <v>3151</v>
      </c>
      <c r="G844" s="596" t="s">
        <v>1928</v>
      </c>
      <c r="H844" s="596" t="s">
        <v>3152</v>
      </c>
      <c r="I844" s="157" t="s">
        <v>3177</v>
      </c>
      <c r="J844" s="596"/>
      <c r="K844" s="596" t="s">
        <v>3153</v>
      </c>
      <c r="L844" s="594" t="s">
        <v>310</v>
      </c>
      <c r="M844" s="596" t="s">
        <v>3179</v>
      </c>
      <c r="N844" s="594" t="s">
        <v>1209</v>
      </c>
    </row>
    <row r="845" spans="1:14" hidden="1">
      <c r="A845" s="131">
        <v>29</v>
      </c>
      <c r="B845" s="599"/>
      <c r="C845" s="119" t="s">
        <v>3176</v>
      </c>
      <c r="D845" s="595"/>
      <c r="E845" s="595"/>
      <c r="F845" s="597"/>
      <c r="G845" s="597"/>
      <c r="H845" s="597"/>
      <c r="I845" s="157" t="s">
        <v>3178</v>
      </c>
      <c r="J845" s="597"/>
      <c r="K845" s="597"/>
      <c r="L845" s="595"/>
      <c r="M845" s="597"/>
      <c r="N845" s="595"/>
    </row>
    <row r="846" spans="1:14" hidden="1">
      <c r="A846" s="131">
        <v>29</v>
      </c>
      <c r="B846" s="599"/>
      <c r="C846" s="119" t="s">
        <v>3166</v>
      </c>
      <c r="D846" s="594" t="s">
        <v>312</v>
      </c>
      <c r="E846" s="594" t="s">
        <v>321</v>
      </c>
      <c r="F846" s="596" t="s">
        <v>2613</v>
      </c>
      <c r="G846" s="596" t="s">
        <v>3142</v>
      </c>
      <c r="H846" s="596" t="s">
        <v>3143</v>
      </c>
      <c r="I846" s="596" t="s">
        <v>3154</v>
      </c>
      <c r="J846" s="596" t="s">
        <v>704</v>
      </c>
      <c r="K846" s="596" t="s">
        <v>1056</v>
      </c>
      <c r="L846" s="594" t="s">
        <v>310</v>
      </c>
      <c r="M846" s="608" t="s">
        <v>3181</v>
      </c>
      <c r="N846" s="594" t="s">
        <v>3182</v>
      </c>
    </row>
    <row r="847" spans="1:14" hidden="1">
      <c r="A847" s="131">
        <v>29</v>
      </c>
      <c r="B847" s="599"/>
      <c r="C847" s="119"/>
      <c r="D847" s="606"/>
      <c r="E847" s="606"/>
      <c r="F847" s="607"/>
      <c r="G847" s="607"/>
      <c r="H847" s="607"/>
      <c r="I847" s="607"/>
      <c r="J847" s="607"/>
      <c r="K847" s="607"/>
      <c r="L847" s="606"/>
      <c r="M847" s="609"/>
      <c r="N847" s="606"/>
    </row>
    <row r="848" spans="1:14" hidden="1">
      <c r="A848" s="131">
        <v>29</v>
      </c>
      <c r="B848" s="599"/>
      <c r="C848" s="119" t="s">
        <v>3180</v>
      </c>
      <c r="D848" s="595"/>
      <c r="E848" s="595"/>
      <c r="F848" s="597"/>
      <c r="G848" s="597"/>
      <c r="H848" s="597"/>
      <c r="I848" s="597"/>
      <c r="J848" s="597"/>
      <c r="K848" s="597"/>
      <c r="L848" s="595"/>
      <c r="M848" s="610"/>
      <c r="N848" s="595"/>
    </row>
    <row r="849" spans="1:14" hidden="1">
      <c r="A849" s="131">
        <v>29</v>
      </c>
      <c r="B849" s="599"/>
      <c r="C849" s="119" t="s">
        <v>3183</v>
      </c>
      <c r="D849" s="594" t="s">
        <v>312</v>
      </c>
      <c r="E849" s="594" t="s">
        <v>321</v>
      </c>
      <c r="F849" s="596" t="s">
        <v>338</v>
      </c>
      <c r="G849" s="596" t="s">
        <v>3155</v>
      </c>
      <c r="H849" s="596" t="s">
        <v>356</v>
      </c>
      <c r="I849" s="596" t="s">
        <v>311</v>
      </c>
      <c r="J849" s="596" t="s">
        <v>640</v>
      </c>
      <c r="K849" s="596" t="s">
        <v>3156</v>
      </c>
      <c r="L849" s="594" t="s">
        <v>310</v>
      </c>
      <c r="M849" s="608" t="s">
        <v>1825</v>
      </c>
      <c r="N849" s="594" t="s">
        <v>3182</v>
      </c>
    </row>
    <row r="850" spans="1:14" hidden="1">
      <c r="A850" s="131">
        <v>29</v>
      </c>
      <c r="B850" s="600"/>
      <c r="C850" s="119" t="s">
        <v>3176</v>
      </c>
      <c r="D850" s="595"/>
      <c r="E850" s="595"/>
      <c r="F850" s="597"/>
      <c r="G850" s="597"/>
      <c r="H850" s="597"/>
      <c r="I850" s="597"/>
      <c r="J850" s="597"/>
      <c r="K850" s="597"/>
      <c r="L850" s="595"/>
      <c r="M850" s="610"/>
      <c r="N850" s="595"/>
    </row>
    <row r="851" spans="1:14" hidden="1">
      <c r="A851" s="131">
        <v>30</v>
      </c>
      <c r="B851" s="60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0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02"/>
      <c r="C853" s="156" t="s">
        <v>3193</v>
      </c>
      <c r="D853" s="594" t="s">
        <v>307</v>
      </c>
      <c r="E853" s="594" t="s">
        <v>323</v>
      </c>
      <c r="F853" s="594" t="s">
        <v>308</v>
      </c>
      <c r="G853" s="596" t="s">
        <v>3134</v>
      </c>
      <c r="H853" s="594" t="s">
        <v>2003</v>
      </c>
      <c r="I853" s="596" t="s">
        <v>3195</v>
      </c>
      <c r="J853" s="594" t="s">
        <v>666</v>
      </c>
      <c r="K853" s="156" t="s">
        <v>3196</v>
      </c>
      <c r="L853" s="594"/>
      <c r="M853" s="594" t="s">
        <v>3197</v>
      </c>
      <c r="N853" s="594" t="s">
        <v>667</v>
      </c>
    </row>
    <row r="854" spans="1:14" hidden="1">
      <c r="A854" s="131">
        <v>30</v>
      </c>
      <c r="B854" s="602"/>
      <c r="C854" s="156" t="s">
        <v>3194</v>
      </c>
      <c r="D854" s="595"/>
      <c r="E854" s="595"/>
      <c r="F854" s="595"/>
      <c r="G854" s="597"/>
      <c r="H854" s="595"/>
      <c r="I854" s="597"/>
      <c r="J854" s="595"/>
      <c r="K854" s="156" t="s">
        <v>657</v>
      </c>
      <c r="L854" s="595"/>
      <c r="M854" s="595"/>
      <c r="N854" s="595"/>
    </row>
    <row r="855" spans="1:14" hidden="1">
      <c r="A855" s="131">
        <v>30</v>
      </c>
      <c r="B855" s="60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98" t="s">
        <v>3203</v>
      </c>
      <c r="C856" s="604" t="s">
        <v>3204</v>
      </c>
      <c r="D856" s="594" t="s">
        <v>312</v>
      </c>
      <c r="E856" s="594" t="s">
        <v>321</v>
      </c>
      <c r="F856" s="596" t="s">
        <v>2613</v>
      </c>
      <c r="G856" s="596" t="s">
        <v>2764</v>
      </c>
      <c r="H856" s="596" t="s">
        <v>349</v>
      </c>
      <c r="I856" s="596" t="s">
        <v>3205</v>
      </c>
      <c r="J856" s="596" t="s">
        <v>640</v>
      </c>
      <c r="K856" s="596" t="s">
        <v>700</v>
      </c>
      <c r="L856" s="594" t="s">
        <v>310</v>
      </c>
      <c r="M856" s="594" t="s">
        <v>1819</v>
      </c>
      <c r="N856" s="156" t="s">
        <v>3206</v>
      </c>
    </row>
    <row r="857" spans="1:14" hidden="1">
      <c r="A857" s="131">
        <v>30</v>
      </c>
      <c r="B857" s="599"/>
      <c r="C857" s="605"/>
      <c r="D857" s="595"/>
      <c r="E857" s="595"/>
      <c r="F857" s="597"/>
      <c r="G857" s="597"/>
      <c r="H857" s="597"/>
      <c r="I857" s="597"/>
      <c r="J857" s="597"/>
      <c r="K857" s="597"/>
      <c r="L857" s="595"/>
      <c r="M857" s="595"/>
      <c r="N857" s="156" t="s">
        <v>3207</v>
      </c>
    </row>
    <row r="858" spans="1:14" ht="16.5" hidden="1" customHeight="1">
      <c r="A858" s="131">
        <v>30</v>
      </c>
      <c r="B858" s="599"/>
      <c r="C858" s="604" t="s">
        <v>3204</v>
      </c>
      <c r="D858" s="594" t="s">
        <v>312</v>
      </c>
      <c r="E858" s="594" t="s">
        <v>321</v>
      </c>
      <c r="F858" s="596" t="s">
        <v>711</v>
      </c>
      <c r="G858" s="157" t="s">
        <v>3208</v>
      </c>
      <c r="H858" s="596" t="s">
        <v>642</v>
      </c>
      <c r="I858" s="596" t="s">
        <v>3209</v>
      </c>
      <c r="J858" s="596"/>
      <c r="K858" s="596" t="s">
        <v>694</v>
      </c>
      <c r="L858" s="594" t="s">
        <v>310</v>
      </c>
      <c r="M858" s="594" t="s">
        <v>1540</v>
      </c>
      <c r="N858" s="594" t="s">
        <v>1781</v>
      </c>
    </row>
    <row r="859" spans="1:14" hidden="1">
      <c r="A859" s="131">
        <v>30</v>
      </c>
      <c r="B859" s="599"/>
      <c r="C859" s="605"/>
      <c r="D859" s="595"/>
      <c r="E859" s="595"/>
      <c r="F859" s="597"/>
      <c r="G859" s="157">
        <v>2651</v>
      </c>
      <c r="H859" s="597"/>
      <c r="I859" s="597"/>
      <c r="J859" s="597"/>
      <c r="K859" s="597"/>
      <c r="L859" s="595"/>
      <c r="M859" s="595"/>
      <c r="N859" s="595"/>
    </row>
    <row r="860" spans="1:14" hidden="1">
      <c r="A860" s="131">
        <v>30</v>
      </c>
      <c r="B860" s="599"/>
      <c r="C860" s="604" t="s">
        <v>3210</v>
      </c>
      <c r="D860" s="594" t="s">
        <v>312</v>
      </c>
      <c r="E860" s="594" t="s">
        <v>321</v>
      </c>
      <c r="F860" s="596" t="s">
        <v>722</v>
      </c>
      <c r="G860" s="596" t="s">
        <v>1765</v>
      </c>
      <c r="H860" s="596" t="s">
        <v>349</v>
      </c>
      <c r="I860" s="157" t="s">
        <v>3211</v>
      </c>
      <c r="J860" s="596"/>
      <c r="K860" s="596" t="s">
        <v>3213</v>
      </c>
      <c r="L860" s="594" t="s">
        <v>310</v>
      </c>
      <c r="M860" s="594" t="s">
        <v>1942</v>
      </c>
      <c r="N860" s="594" t="s">
        <v>1209</v>
      </c>
    </row>
    <row r="861" spans="1:14" hidden="1">
      <c r="A861" s="131">
        <v>30</v>
      </c>
      <c r="B861" s="599"/>
      <c r="C861" s="605"/>
      <c r="D861" s="595"/>
      <c r="E861" s="595"/>
      <c r="F861" s="597"/>
      <c r="G861" s="597"/>
      <c r="H861" s="597"/>
      <c r="I861" s="157" t="s">
        <v>3212</v>
      </c>
      <c r="J861" s="597"/>
      <c r="K861" s="597"/>
      <c r="L861" s="595"/>
      <c r="M861" s="595"/>
      <c r="N861" s="595"/>
    </row>
    <row r="862" spans="1:14" hidden="1">
      <c r="A862" s="131">
        <v>30</v>
      </c>
      <c r="B862" s="599"/>
      <c r="C862" s="119" t="s">
        <v>3214</v>
      </c>
      <c r="D862" s="594" t="s">
        <v>312</v>
      </c>
      <c r="E862" s="594" t="s">
        <v>321</v>
      </c>
      <c r="F862" s="596" t="s">
        <v>692</v>
      </c>
      <c r="G862" s="596" t="s">
        <v>3149</v>
      </c>
      <c r="H862" s="596" t="s">
        <v>356</v>
      </c>
      <c r="I862" s="596" t="s">
        <v>3216</v>
      </c>
      <c r="J862" s="596" t="s">
        <v>640</v>
      </c>
      <c r="K862" s="596" t="s">
        <v>657</v>
      </c>
      <c r="L862" s="594" t="s">
        <v>310</v>
      </c>
      <c r="M862" s="594" t="s">
        <v>1540</v>
      </c>
      <c r="N862" s="594" t="s">
        <v>1209</v>
      </c>
    </row>
    <row r="863" spans="1:14" hidden="1">
      <c r="A863" s="131">
        <v>30</v>
      </c>
      <c r="B863" s="599"/>
      <c r="C863" s="119" t="s">
        <v>3215</v>
      </c>
      <c r="D863" s="595"/>
      <c r="E863" s="595"/>
      <c r="F863" s="597"/>
      <c r="G863" s="597"/>
      <c r="H863" s="597"/>
      <c r="I863" s="597"/>
      <c r="J863" s="597"/>
      <c r="K863" s="597"/>
      <c r="L863" s="595"/>
      <c r="M863" s="595"/>
      <c r="N863" s="595"/>
    </row>
    <row r="864" spans="1:14" hidden="1">
      <c r="A864" s="131">
        <v>30</v>
      </c>
      <c r="B864" s="599"/>
      <c r="C864" s="119" t="s">
        <v>3217</v>
      </c>
      <c r="D864" s="594" t="s">
        <v>312</v>
      </c>
      <c r="E864" s="594" t="s">
        <v>321</v>
      </c>
      <c r="F864" s="596" t="s">
        <v>338</v>
      </c>
      <c r="G864" s="596" t="s">
        <v>3155</v>
      </c>
      <c r="H864" s="596" t="s">
        <v>356</v>
      </c>
      <c r="I864" s="596" t="s">
        <v>3218</v>
      </c>
      <c r="J864" s="596" t="s">
        <v>640</v>
      </c>
      <c r="K864" s="596" t="s">
        <v>715</v>
      </c>
      <c r="L864" s="594" t="s">
        <v>310</v>
      </c>
      <c r="M864" s="594" t="s">
        <v>1819</v>
      </c>
      <c r="N864" s="594" t="s">
        <v>1209</v>
      </c>
    </row>
    <row r="865" spans="1:14" hidden="1">
      <c r="A865" s="131">
        <v>30</v>
      </c>
      <c r="B865" s="599"/>
      <c r="C865" s="119" t="s">
        <v>3194</v>
      </c>
      <c r="D865" s="595"/>
      <c r="E865" s="595"/>
      <c r="F865" s="597"/>
      <c r="G865" s="597"/>
      <c r="H865" s="597"/>
      <c r="I865" s="597"/>
      <c r="J865" s="597"/>
      <c r="K865" s="597"/>
      <c r="L865" s="595"/>
      <c r="M865" s="595"/>
      <c r="N865" s="595"/>
    </row>
    <row r="866" spans="1:14" ht="25.5" hidden="1">
      <c r="A866" s="131">
        <v>30</v>
      </c>
      <c r="B866" s="599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99"/>
      <c r="C867" s="604" t="s">
        <v>3198</v>
      </c>
      <c r="D867" s="594" t="s">
        <v>312</v>
      </c>
      <c r="E867" s="594" t="s">
        <v>677</v>
      </c>
      <c r="F867" s="596" t="s">
        <v>662</v>
      </c>
      <c r="G867" s="596" t="s">
        <v>663</v>
      </c>
      <c r="H867" s="596" t="s">
        <v>664</v>
      </c>
      <c r="I867" s="157" t="s">
        <v>3221</v>
      </c>
      <c r="J867" s="596" t="s">
        <v>640</v>
      </c>
      <c r="K867" s="596" t="s">
        <v>733</v>
      </c>
      <c r="L867" s="594" t="s">
        <v>310</v>
      </c>
      <c r="M867" s="594" t="s">
        <v>1837</v>
      </c>
      <c r="N867" s="594" t="s">
        <v>3223</v>
      </c>
    </row>
    <row r="868" spans="1:14" hidden="1">
      <c r="A868" s="131">
        <v>30</v>
      </c>
      <c r="B868" s="600"/>
      <c r="C868" s="605"/>
      <c r="D868" s="595"/>
      <c r="E868" s="595"/>
      <c r="F868" s="597"/>
      <c r="G868" s="597"/>
      <c r="H868" s="597"/>
      <c r="I868" s="157" t="s">
        <v>3222</v>
      </c>
      <c r="J868" s="597"/>
      <c r="K868" s="597"/>
      <c r="L868" s="595"/>
      <c r="M868" s="595"/>
      <c r="N868" s="595"/>
    </row>
    <row r="869" spans="1:14" ht="25.5" hidden="1">
      <c r="A869" s="131">
        <v>31</v>
      </c>
      <c r="B869" s="598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99"/>
      <c r="C870" s="156" t="s">
        <v>3227</v>
      </c>
      <c r="D870" s="594" t="s">
        <v>307</v>
      </c>
      <c r="E870" s="594" t="s">
        <v>323</v>
      </c>
      <c r="F870" s="594" t="s">
        <v>308</v>
      </c>
      <c r="G870" s="596">
        <v>1566</v>
      </c>
      <c r="H870" s="594" t="s">
        <v>1920</v>
      </c>
      <c r="I870" s="596" t="s">
        <v>3229</v>
      </c>
      <c r="J870" s="594" t="s">
        <v>666</v>
      </c>
      <c r="K870" s="594" t="s">
        <v>3230</v>
      </c>
      <c r="L870" s="594"/>
      <c r="M870" s="594" t="s">
        <v>3231</v>
      </c>
      <c r="N870" s="594" t="s">
        <v>667</v>
      </c>
    </row>
    <row r="871" spans="1:14" hidden="1">
      <c r="A871" s="131">
        <v>31</v>
      </c>
      <c r="B871" s="599"/>
      <c r="C871" s="156" t="s">
        <v>3228</v>
      </c>
      <c r="D871" s="595"/>
      <c r="E871" s="595"/>
      <c r="F871" s="595"/>
      <c r="G871" s="597"/>
      <c r="H871" s="595"/>
      <c r="I871" s="597"/>
      <c r="J871" s="595"/>
      <c r="K871" s="595"/>
      <c r="L871" s="595"/>
      <c r="M871" s="595"/>
      <c r="N871" s="595"/>
    </row>
    <row r="872" spans="1:14" ht="25.5" hidden="1">
      <c r="A872" s="131">
        <v>31</v>
      </c>
      <c r="B872" s="599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99"/>
      <c r="C873" s="427" t="s">
        <v>3227</v>
      </c>
      <c r="D873" s="594" t="s">
        <v>307</v>
      </c>
      <c r="E873" s="594" t="s">
        <v>323</v>
      </c>
      <c r="F873" s="594" t="s">
        <v>308</v>
      </c>
      <c r="G873" s="596" t="s">
        <v>3234</v>
      </c>
      <c r="H873" s="594" t="s">
        <v>3235</v>
      </c>
      <c r="I873" s="596" t="s">
        <v>333</v>
      </c>
      <c r="J873" s="594" t="s">
        <v>1539</v>
      </c>
      <c r="K873" s="594" t="s">
        <v>1160</v>
      </c>
      <c r="L873" s="594"/>
      <c r="M873" s="594" t="s">
        <v>3236</v>
      </c>
      <c r="N873" s="594" t="s">
        <v>427</v>
      </c>
    </row>
    <row r="874" spans="1:14" hidden="1">
      <c r="A874" s="131">
        <v>31</v>
      </c>
      <c r="B874" s="600"/>
      <c r="C874" s="427" t="s">
        <v>3233</v>
      </c>
      <c r="D874" s="595"/>
      <c r="E874" s="595"/>
      <c r="F874" s="595"/>
      <c r="G874" s="597"/>
      <c r="H874" s="595"/>
      <c r="I874" s="597"/>
      <c r="J874" s="595"/>
      <c r="K874" s="595"/>
      <c r="L874" s="595"/>
      <c r="M874" s="595"/>
      <c r="N874" s="595"/>
    </row>
    <row r="875" spans="1:14" ht="25.5" hidden="1">
      <c r="A875" s="131">
        <v>31</v>
      </c>
      <c r="B875" s="598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99"/>
      <c r="C876" s="594" t="s">
        <v>3215</v>
      </c>
      <c r="D876" s="594" t="s">
        <v>312</v>
      </c>
      <c r="E876" s="594" t="s">
        <v>677</v>
      </c>
      <c r="F876" s="596" t="s">
        <v>662</v>
      </c>
      <c r="G876" s="596" t="s">
        <v>663</v>
      </c>
      <c r="H876" s="596" t="s">
        <v>664</v>
      </c>
      <c r="I876" s="157" t="s">
        <v>3221</v>
      </c>
      <c r="J876" s="596"/>
      <c r="K876" s="596" t="s">
        <v>700</v>
      </c>
      <c r="L876" s="594" t="s">
        <v>310</v>
      </c>
      <c r="M876" s="594" t="s">
        <v>3226</v>
      </c>
      <c r="N876" s="594" t="s">
        <v>3239</v>
      </c>
    </row>
    <row r="877" spans="1:14" hidden="1">
      <c r="A877" s="131">
        <v>31</v>
      </c>
      <c r="B877" s="599"/>
      <c r="C877" s="595"/>
      <c r="D877" s="595"/>
      <c r="E877" s="595"/>
      <c r="F877" s="597"/>
      <c r="G877" s="597"/>
      <c r="H877" s="597"/>
      <c r="I877" s="157" t="s">
        <v>3222</v>
      </c>
      <c r="J877" s="597"/>
      <c r="K877" s="597"/>
      <c r="L877" s="595"/>
      <c r="M877" s="595"/>
      <c r="N877" s="595"/>
    </row>
    <row r="878" spans="1:14" ht="16.5" hidden="1" customHeight="1">
      <c r="A878" s="131">
        <v>31</v>
      </c>
      <c r="B878" s="599"/>
      <c r="C878" s="156" t="s">
        <v>3240</v>
      </c>
      <c r="D878" s="594" t="s">
        <v>312</v>
      </c>
      <c r="E878" s="594" t="s">
        <v>321</v>
      </c>
      <c r="F878" s="596" t="s">
        <v>3151</v>
      </c>
      <c r="G878" s="596" t="s">
        <v>1928</v>
      </c>
      <c r="H878" s="596" t="s">
        <v>3152</v>
      </c>
      <c r="I878" s="596" t="s">
        <v>3241</v>
      </c>
      <c r="J878" s="596"/>
      <c r="K878" s="596" t="s">
        <v>3242</v>
      </c>
      <c r="L878" s="594" t="s">
        <v>310</v>
      </c>
      <c r="M878" s="594" t="s">
        <v>3243</v>
      </c>
      <c r="N878" s="594" t="s">
        <v>3238</v>
      </c>
    </row>
    <row r="879" spans="1:14" hidden="1">
      <c r="A879" s="131">
        <v>31</v>
      </c>
      <c r="B879" s="599"/>
      <c r="C879" s="156" t="s">
        <v>3198</v>
      </c>
      <c r="D879" s="595"/>
      <c r="E879" s="595"/>
      <c r="F879" s="597"/>
      <c r="G879" s="597"/>
      <c r="H879" s="597"/>
      <c r="I879" s="597"/>
      <c r="J879" s="597"/>
      <c r="K879" s="597"/>
      <c r="L879" s="595"/>
      <c r="M879" s="595"/>
      <c r="N879" s="595"/>
    </row>
    <row r="880" spans="1:14" ht="25.5" hidden="1">
      <c r="A880" s="131">
        <v>31</v>
      </c>
      <c r="B880" s="599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99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99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99"/>
      <c r="C883" s="119" t="s">
        <v>3253</v>
      </c>
      <c r="D883" s="594" t="s">
        <v>312</v>
      </c>
      <c r="E883" s="594" t="s">
        <v>321</v>
      </c>
      <c r="F883" s="596" t="s">
        <v>338</v>
      </c>
      <c r="G883" s="596" t="s">
        <v>3255</v>
      </c>
      <c r="H883" s="596" t="s">
        <v>3256</v>
      </c>
      <c r="I883" s="596" t="s">
        <v>3257</v>
      </c>
      <c r="J883" s="596" t="s">
        <v>3258</v>
      </c>
      <c r="K883" s="596" t="s">
        <v>3259</v>
      </c>
      <c r="L883" s="594" t="s">
        <v>310</v>
      </c>
      <c r="M883" s="594" t="s">
        <v>3260</v>
      </c>
      <c r="N883" s="594" t="s">
        <v>3223</v>
      </c>
    </row>
    <row r="884" spans="1:14" hidden="1">
      <c r="A884" s="131">
        <v>31</v>
      </c>
      <c r="B884" s="600"/>
      <c r="C884" s="119" t="s">
        <v>3254</v>
      </c>
      <c r="D884" s="595"/>
      <c r="E884" s="595"/>
      <c r="F884" s="597"/>
      <c r="G884" s="597"/>
      <c r="H884" s="597"/>
      <c r="I884" s="597"/>
      <c r="J884" s="597"/>
      <c r="K884" s="597"/>
      <c r="L884" s="595"/>
      <c r="M884" s="595"/>
      <c r="N884" s="595"/>
    </row>
    <row r="885" spans="1:14" ht="27" hidden="1">
      <c r="A885" s="131">
        <v>32</v>
      </c>
      <c r="B885" s="59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9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9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9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9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9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9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9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9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9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9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9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9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9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8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8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8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9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8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8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8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8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8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8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8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9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8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8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8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8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8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9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8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8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8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8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8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8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8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8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8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9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2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2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2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2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2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2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72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72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72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72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72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72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72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2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2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2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2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72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72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72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72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72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72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72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72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72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72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72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2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72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72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72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72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72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72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72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72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72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72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72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72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72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72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72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72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72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72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72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72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72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72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72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72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72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72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72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72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72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72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72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72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72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72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72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72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2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72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72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72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72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72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72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72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72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72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72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72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72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72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72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72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72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72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72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72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72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72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72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72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72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72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72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2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72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2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72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72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72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72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72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72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72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72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72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72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72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72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2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72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72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72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72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72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72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72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2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72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72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72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72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72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72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72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72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72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72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2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72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72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72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72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72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72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72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72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72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72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2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72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72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72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72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72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72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72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72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72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72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72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72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72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72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72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72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72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72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2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72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72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72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72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72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72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72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72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72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72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72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72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72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72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72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2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72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72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72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72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72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72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72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72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72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72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72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72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72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72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72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72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72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72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72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72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72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72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72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72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72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72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72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72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72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72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72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72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72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72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72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72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72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72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72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72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72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72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2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2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72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72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72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72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72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2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72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72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2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2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72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2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72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2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72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72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72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2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72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72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72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2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2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2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72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72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72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72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72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72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72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72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72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72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72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2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2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72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2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72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2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72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72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2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72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2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3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3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3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3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3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3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3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3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3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3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3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3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3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3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3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27" t="s">
        <v>53</v>
      </c>
      <c r="B21" s="727"/>
      <c r="C21" s="727"/>
      <c r="D21" s="727"/>
      <c r="E21" s="727"/>
      <c r="F21" s="727"/>
      <c r="G21" s="727"/>
      <c r="H21" s="727"/>
      <c r="I21" s="727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32" t="s">
        <v>53</v>
      </c>
      <c r="B26" s="733"/>
      <c r="C26" s="733"/>
      <c r="D26" s="733"/>
      <c r="E26" s="733"/>
      <c r="F26" s="733"/>
      <c r="G26" s="733"/>
      <c r="H26" s="733"/>
      <c r="I26" s="734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3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3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3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3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3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32" t="s">
        <v>53</v>
      </c>
      <c r="B35" s="733"/>
      <c r="C35" s="733"/>
      <c r="D35" s="733"/>
      <c r="E35" s="733"/>
      <c r="F35" s="733"/>
      <c r="G35" s="733"/>
      <c r="H35" s="733"/>
      <c r="I35" s="734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2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3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3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32" t="s">
        <v>53</v>
      </c>
      <c r="B42" s="733"/>
      <c r="C42" s="733"/>
      <c r="D42" s="733"/>
      <c r="E42" s="733"/>
      <c r="F42" s="733"/>
      <c r="G42" s="733"/>
      <c r="H42" s="733"/>
      <c r="I42" s="734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32" t="s">
        <v>53</v>
      </c>
      <c r="B48" s="733"/>
      <c r="C48" s="733"/>
      <c r="D48" s="733"/>
      <c r="E48" s="733"/>
      <c r="F48" s="733"/>
      <c r="G48" s="733"/>
      <c r="H48" s="733"/>
      <c r="I48" s="734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3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3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32" t="s">
        <v>53</v>
      </c>
      <c r="B54" s="733"/>
      <c r="C54" s="733"/>
      <c r="D54" s="733"/>
      <c r="E54" s="733"/>
      <c r="F54" s="733"/>
      <c r="G54" s="733"/>
      <c r="H54" s="733"/>
      <c r="I54" s="734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2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3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3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30"/>
      <c r="B61" s="76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30"/>
      <c r="B62" s="76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30"/>
      <c r="B63" s="76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32" t="s">
        <v>53</v>
      </c>
      <c r="B64" s="733"/>
      <c r="C64" s="733"/>
      <c r="D64" s="733"/>
      <c r="E64" s="733"/>
      <c r="F64" s="733"/>
      <c r="G64" s="733"/>
      <c r="H64" s="733"/>
      <c r="I64" s="734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6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32" t="s">
        <v>53</v>
      </c>
      <c r="B70" s="733"/>
      <c r="C70" s="733"/>
      <c r="D70" s="733"/>
      <c r="E70" s="733"/>
      <c r="F70" s="733"/>
      <c r="G70" s="733"/>
      <c r="H70" s="733"/>
      <c r="I70" s="734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2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3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27" t="s">
        <v>53</v>
      </c>
      <c r="B78" s="727"/>
      <c r="C78" s="727"/>
      <c r="D78" s="727"/>
      <c r="E78" s="727"/>
      <c r="F78" s="727"/>
      <c r="G78" s="727"/>
      <c r="H78" s="727"/>
      <c r="I78" s="727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3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3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3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3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32" t="s">
        <v>53</v>
      </c>
      <c r="B86" s="733"/>
      <c r="C86" s="733"/>
      <c r="D86" s="733"/>
      <c r="E86" s="733"/>
      <c r="F86" s="733"/>
      <c r="G86" s="733"/>
      <c r="H86" s="733"/>
      <c r="I86" s="734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32" t="s">
        <v>53</v>
      </c>
      <c r="B92" s="733"/>
      <c r="C92" s="733"/>
      <c r="D92" s="733"/>
      <c r="E92" s="733"/>
      <c r="F92" s="733"/>
      <c r="G92" s="733"/>
      <c r="H92" s="733"/>
      <c r="I92" s="734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3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3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3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3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32" t="s">
        <v>53</v>
      </c>
      <c r="B101" s="733"/>
      <c r="C101" s="733"/>
      <c r="D101" s="733"/>
      <c r="E101" s="733"/>
      <c r="F101" s="733"/>
      <c r="G101" s="733"/>
      <c r="H101" s="733"/>
      <c r="I101" s="734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2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30"/>
      <c r="B107" s="76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30"/>
      <c r="B108" s="76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3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3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3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27" t="s">
        <v>53</v>
      </c>
      <c r="B112" s="727"/>
      <c r="C112" s="727"/>
      <c r="D112" s="727"/>
      <c r="E112" s="727"/>
      <c r="F112" s="727"/>
      <c r="G112" s="727"/>
      <c r="H112" s="727"/>
      <c r="I112" s="727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98" t="s">
        <v>956</v>
      </c>
      <c r="B119" s="61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99"/>
      <c r="B120" s="61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27" t="s">
        <v>53</v>
      </c>
      <c r="B121" s="727"/>
      <c r="C121" s="727"/>
      <c r="D121" s="727"/>
      <c r="E121" s="727"/>
      <c r="F121" s="727"/>
      <c r="G121" s="727"/>
      <c r="H121" s="727"/>
      <c r="I121" s="727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98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99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99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99"/>
      <c r="B129" s="77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4" t="s">
        <v>90</v>
      </c>
      <c r="J129" s="752">
        <v>2</v>
      </c>
      <c r="K129" s="26" t="s">
        <v>52</v>
      </c>
      <c r="L129" s="26" t="s">
        <v>51</v>
      </c>
    </row>
    <row r="130" spans="1:12">
      <c r="A130" s="599"/>
      <c r="B130" s="77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4"/>
      <c r="J130" s="753"/>
      <c r="K130" s="26" t="s">
        <v>52</v>
      </c>
      <c r="L130" s="26" t="s">
        <v>51</v>
      </c>
    </row>
    <row r="131" spans="1:12">
      <c r="A131" s="599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99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99"/>
      <c r="B133" s="67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18" t="s">
        <v>1280</v>
      </c>
      <c r="J133" s="752">
        <v>1</v>
      </c>
      <c r="K133" s="26" t="s">
        <v>52</v>
      </c>
      <c r="L133" s="26" t="s">
        <v>51</v>
      </c>
    </row>
    <row r="134" spans="1:12">
      <c r="A134" s="599"/>
      <c r="B134" s="67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95"/>
      <c r="J134" s="753"/>
      <c r="K134" s="26" t="s">
        <v>52</v>
      </c>
      <c r="L134" s="26" t="s">
        <v>51</v>
      </c>
    </row>
    <row r="135" spans="1:12">
      <c r="A135" s="599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600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27" t="s">
        <v>53</v>
      </c>
      <c r="B137" s="727"/>
      <c r="C137" s="727"/>
      <c r="D137" s="727"/>
      <c r="E137" s="727"/>
      <c r="F137" s="727"/>
      <c r="G137" s="727"/>
      <c r="H137" s="727"/>
      <c r="I137" s="727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99" t="s">
        <v>1009</v>
      </c>
      <c r="B142" s="67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99"/>
      <c r="B143" s="6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99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27" t="s">
        <v>53</v>
      </c>
      <c r="B145" s="727"/>
      <c r="C145" s="727"/>
      <c r="D145" s="727"/>
      <c r="E145" s="727"/>
      <c r="F145" s="727"/>
      <c r="G145" s="727"/>
      <c r="H145" s="727"/>
      <c r="I145" s="727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6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69"/>
      <c r="B150" s="61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69"/>
      <c r="B151" s="61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6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6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23" t="s">
        <v>53</v>
      </c>
      <c r="B154" s="723"/>
      <c r="C154" s="723"/>
      <c r="D154" s="723"/>
      <c r="E154" s="723"/>
      <c r="F154" s="723"/>
      <c r="G154" s="723"/>
      <c r="H154" s="723"/>
      <c r="I154" s="72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98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99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99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99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600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27" t="s">
        <v>53</v>
      </c>
      <c r="B163" s="727"/>
      <c r="C163" s="727"/>
      <c r="D163" s="727"/>
      <c r="E163" s="727"/>
      <c r="F163" s="727"/>
      <c r="G163" s="727"/>
      <c r="H163" s="727"/>
      <c r="I163" s="727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23" t="s">
        <v>53</v>
      </c>
      <c r="B167" s="723"/>
      <c r="C167" s="723"/>
      <c r="D167" s="723"/>
      <c r="E167" s="723"/>
      <c r="F167" s="723"/>
      <c r="G167" s="723"/>
      <c r="H167" s="723"/>
      <c r="I167" s="72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98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99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99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99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99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99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99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99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99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600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27" t="s">
        <v>53</v>
      </c>
      <c r="B183" s="727"/>
      <c r="C183" s="727"/>
      <c r="D183" s="727"/>
      <c r="E183" s="727"/>
      <c r="F183" s="727"/>
      <c r="G183" s="727"/>
      <c r="H183" s="727"/>
      <c r="I183" s="727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1" t="s">
        <v>1063</v>
      </c>
      <c r="B189" s="61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2"/>
      <c r="B190" s="6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2"/>
      <c r="B191" s="61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2"/>
      <c r="B192" s="6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27" t="s">
        <v>53</v>
      </c>
      <c r="B193" s="727"/>
      <c r="C193" s="727"/>
      <c r="D193" s="727"/>
      <c r="E193" s="727"/>
      <c r="F193" s="727"/>
      <c r="G193" s="727"/>
      <c r="H193" s="727"/>
      <c r="I193" s="727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71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72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72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72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23" t="s">
        <v>53</v>
      </c>
      <c r="B203" s="723"/>
      <c r="C203" s="723"/>
      <c r="D203" s="723"/>
      <c r="E203" s="723"/>
      <c r="F203" s="723"/>
      <c r="G203" s="723"/>
      <c r="H203" s="723"/>
      <c r="I203" s="72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2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2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2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2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2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2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2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23" t="s">
        <v>53</v>
      </c>
      <c r="B214" s="723"/>
      <c r="C214" s="723"/>
      <c r="D214" s="723"/>
      <c r="E214" s="723"/>
      <c r="F214" s="723"/>
      <c r="G214" s="723"/>
      <c r="H214" s="723"/>
      <c r="I214" s="72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2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2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2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2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2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2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23" t="s">
        <v>1463</v>
      </c>
      <c r="B226" s="723"/>
      <c r="C226" s="723"/>
      <c r="D226" s="723"/>
      <c r="E226" s="723"/>
      <c r="F226" s="723"/>
      <c r="G226" s="723"/>
      <c r="H226" s="723"/>
      <c r="I226" s="72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2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2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2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2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2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2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2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23" t="s">
        <v>1504</v>
      </c>
      <c r="B236" s="723"/>
      <c r="C236" s="723"/>
      <c r="D236" s="723"/>
      <c r="E236" s="723"/>
      <c r="F236" s="723"/>
      <c r="G236" s="723"/>
      <c r="H236" s="723"/>
      <c r="I236" s="72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3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3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3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3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32" t="s">
        <v>53</v>
      </c>
      <c r="B244" s="733"/>
      <c r="C244" s="733"/>
      <c r="D244" s="733"/>
      <c r="E244" s="733"/>
      <c r="F244" s="733"/>
      <c r="G244" s="733"/>
      <c r="H244" s="733"/>
      <c r="I244" s="734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3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3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3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32" t="s">
        <v>53</v>
      </c>
      <c r="B250" s="733"/>
      <c r="C250" s="733"/>
      <c r="D250" s="733"/>
      <c r="E250" s="733"/>
      <c r="F250" s="733"/>
      <c r="G250" s="733"/>
      <c r="H250" s="733"/>
      <c r="I250" s="734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3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3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3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3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32" t="s">
        <v>53</v>
      </c>
      <c r="B257" s="733"/>
      <c r="C257" s="733"/>
      <c r="D257" s="733"/>
      <c r="E257" s="733"/>
      <c r="F257" s="733"/>
      <c r="G257" s="733"/>
      <c r="H257" s="733"/>
      <c r="I257" s="734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7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7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32" t="s">
        <v>53</v>
      </c>
      <c r="B262" s="733"/>
      <c r="C262" s="733"/>
      <c r="D262" s="733"/>
      <c r="E262" s="733"/>
      <c r="F262" s="733"/>
      <c r="G262" s="733"/>
      <c r="H262" s="733"/>
      <c r="I262" s="734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2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3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3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6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3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3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3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32" t="s">
        <v>53</v>
      </c>
      <c r="B271" s="733"/>
      <c r="C271" s="733"/>
      <c r="D271" s="733"/>
      <c r="E271" s="733"/>
      <c r="F271" s="733"/>
      <c r="G271" s="733"/>
      <c r="H271" s="733"/>
      <c r="I271" s="734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32" t="s">
        <v>53</v>
      </c>
      <c r="B275" s="733"/>
      <c r="C275" s="733"/>
      <c r="D275" s="733"/>
      <c r="E275" s="733"/>
      <c r="F275" s="733"/>
      <c r="G275" s="733"/>
      <c r="H275" s="733"/>
      <c r="I275" s="734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5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5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5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5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5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1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1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1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1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1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1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1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1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32" t="s">
        <v>1655</v>
      </c>
      <c r="B296" s="733"/>
      <c r="C296" s="733"/>
      <c r="D296" s="733"/>
      <c r="E296" s="733"/>
      <c r="F296" s="733"/>
      <c r="G296" s="733"/>
      <c r="H296" s="733"/>
      <c r="I296" s="733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2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2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2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2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23" t="s">
        <v>1668</v>
      </c>
      <c r="B305" s="723"/>
      <c r="C305" s="723"/>
      <c r="D305" s="723"/>
      <c r="E305" s="723"/>
      <c r="F305" s="723"/>
      <c r="G305" s="723"/>
      <c r="H305" s="723"/>
      <c r="I305" s="72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23" t="s">
        <v>53</v>
      </c>
      <c r="B309" s="723"/>
      <c r="C309" s="723"/>
      <c r="D309" s="723"/>
      <c r="E309" s="723"/>
      <c r="F309" s="723"/>
      <c r="G309" s="723"/>
      <c r="H309" s="723"/>
      <c r="I309" s="72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2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2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23" t="s">
        <v>1668</v>
      </c>
      <c r="B314" s="723"/>
      <c r="C314" s="723"/>
      <c r="D314" s="723"/>
      <c r="E314" s="723"/>
      <c r="F314" s="723"/>
      <c r="G314" s="723"/>
      <c r="H314" s="723"/>
      <c r="I314" s="72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2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2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2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23" t="s">
        <v>1668</v>
      </c>
      <c r="B321" s="723"/>
      <c r="C321" s="723"/>
      <c r="D321" s="723"/>
      <c r="E321" s="723"/>
      <c r="F321" s="723"/>
      <c r="G321" s="723"/>
      <c r="H321" s="723"/>
      <c r="I321" s="72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2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2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2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2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2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23" t="s">
        <v>1668</v>
      </c>
      <c r="B330" s="723"/>
      <c r="C330" s="723"/>
      <c r="D330" s="723"/>
      <c r="E330" s="723"/>
      <c r="F330" s="723"/>
      <c r="G330" s="723"/>
      <c r="H330" s="723"/>
      <c r="I330" s="72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5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5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5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5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5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23" t="s">
        <v>1668</v>
      </c>
      <c r="B338" s="723"/>
      <c r="C338" s="723"/>
      <c r="D338" s="723"/>
      <c r="E338" s="723"/>
      <c r="F338" s="723"/>
      <c r="G338" s="723"/>
      <c r="H338" s="723"/>
      <c r="I338" s="72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74" t="s">
        <v>1526</v>
      </c>
      <c r="B343" s="136" t="s">
        <v>1536</v>
      </c>
      <c r="C343" s="683" t="s">
        <v>307</v>
      </c>
      <c r="D343" s="683" t="s">
        <v>323</v>
      </c>
      <c r="E343" s="594" t="s">
        <v>308</v>
      </c>
      <c r="F343" s="777">
        <v>4266</v>
      </c>
      <c r="G343" s="683" t="s">
        <v>642</v>
      </c>
      <c r="H343" s="777" t="s">
        <v>1538</v>
      </c>
      <c r="I343" s="683" t="s">
        <v>1539</v>
      </c>
      <c r="J343" s="594">
        <v>2</v>
      </c>
      <c r="K343" s="729" t="s">
        <v>50</v>
      </c>
      <c r="L343" s="729" t="s">
        <v>51</v>
      </c>
    </row>
    <row r="344" spans="1:14">
      <c r="A344" s="775"/>
      <c r="B344" s="137" t="s">
        <v>1537</v>
      </c>
      <c r="C344" s="595"/>
      <c r="D344" s="595"/>
      <c r="E344" s="595"/>
      <c r="F344" s="597"/>
      <c r="G344" s="595"/>
      <c r="H344" s="597"/>
      <c r="I344" s="595"/>
      <c r="J344" s="595"/>
      <c r="K344" s="731"/>
      <c r="L344" s="731"/>
    </row>
    <row r="345" spans="1:14">
      <c r="A345" s="775"/>
      <c r="B345" s="136" t="s">
        <v>1541</v>
      </c>
      <c r="C345" s="594" t="s">
        <v>307</v>
      </c>
      <c r="D345" s="594" t="s">
        <v>323</v>
      </c>
      <c r="E345" s="594" t="s">
        <v>308</v>
      </c>
      <c r="F345" s="596">
        <v>3306</v>
      </c>
      <c r="G345" s="594" t="s">
        <v>1156</v>
      </c>
      <c r="H345" s="596" t="s">
        <v>1543</v>
      </c>
      <c r="I345" s="594" t="s">
        <v>1539</v>
      </c>
      <c r="J345" s="594">
        <v>2</v>
      </c>
      <c r="K345" s="729" t="s">
        <v>50</v>
      </c>
      <c r="L345" s="729" t="s">
        <v>51</v>
      </c>
    </row>
    <row r="346" spans="1:14">
      <c r="A346" s="776"/>
      <c r="B346" s="137" t="s">
        <v>1542</v>
      </c>
      <c r="C346" s="595"/>
      <c r="D346" s="595"/>
      <c r="E346" s="595"/>
      <c r="F346" s="597"/>
      <c r="G346" s="595"/>
      <c r="H346" s="597"/>
      <c r="I346" s="595"/>
      <c r="J346" s="595"/>
      <c r="K346" s="731"/>
      <c r="L346" s="731"/>
    </row>
    <row r="347" spans="1:14">
      <c r="A347" s="732" t="s">
        <v>53</v>
      </c>
      <c r="B347" s="733"/>
      <c r="C347" s="733"/>
      <c r="D347" s="733"/>
      <c r="E347" s="733"/>
      <c r="F347" s="733"/>
      <c r="G347" s="733"/>
      <c r="H347" s="733"/>
      <c r="I347" s="734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98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99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99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99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99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99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99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27" t="s">
        <v>53</v>
      </c>
      <c r="B357" s="727"/>
      <c r="C357" s="727"/>
      <c r="D357" s="727"/>
      <c r="E357" s="727"/>
      <c r="F357" s="727"/>
      <c r="G357" s="727"/>
      <c r="H357" s="727"/>
      <c r="I357" s="727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23" t="s">
        <v>1463</v>
      </c>
      <c r="B361" s="723"/>
      <c r="C361" s="723"/>
      <c r="D361" s="723"/>
      <c r="E361" s="723"/>
      <c r="F361" s="723"/>
      <c r="G361" s="723"/>
      <c r="H361" s="723"/>
      <c r="I361" s="72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6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2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2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2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2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2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23" t="s">
        <v>1668</v>
      </c>
      <c r="B370" s="723"/>
      <c r="C370" s="723"/>
      <c r="D370" s="723"/>
      <c r="E370" s="723"/>
      <c r="F370" s="723"/>
      <c r="G370" s="723"/>
      <c r="H370" s="723"/>
      <c r="I370" s="72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5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5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5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5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5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27" t="s">
        <v>1655</v>
      </c>
      <c r="B378" s="727"/>
      <c r="C378" s="727"/>
      <c r="D378" s="727"/>
      <c r="E378" s="727"/>
      <c r="F378" s="727"/>
      <c r="G378" s="727"/>
      <c r="H378" s="727"/>
      <c r="I378" s="727"/>
      <c r="J378" s="727"/>
      <c r="K378" s="4">
        <v>25</v>
      </c>
      <c r="L378" s="59"/>
    </row>
    <row r="381" spans="1:13">
      <c r="B381" s="757" t="s">
        <v>1</v>
      </c>
      <c r="C381" s="757" t="s">
        <v>2</v>
      </c>
      <c r="D381" s="757" t="s">
        <v>3</v>
      </c>
      <c r="E381" s="40" t="s">
        <v>54</v>
      </c>
      <c r="F381" s="757" t="s">
        <v>5</v>
      </c>
      <c r="G381" s="757" t="s">
        <v>6</v>
      </c>
      <c r="H381" s="757" t="s">
        <v>7</v>
      </c>
      <c r="I381" s="757" t="s">
        <v>55</v>
      </c>
      <c r="J381" s="757" t="s">
        <v>9</v>
      </c>
      <c r="K381" s="759" t="s">
        <v>56</v>
      </c>
      <c r="L381" s="757" t="s">
        <v>57</v>
      </c>
    </row>
    <row r="382" spans="1:13">
      <c r="B382" s="758"/>
      <c r="C382" s="758"/>
      <c r="D382" s="758"/>
      <c r="E382" s="41" t="s">
        <v>59</v>
      </c>
      <c r="F382" s="758"/>
      <c r="G382" s="758"/>
      <c r="H382" s="758"/>
      <c r="I382" s="758"/>
      <c r="J382" s="758"/>
      <c r="K382" s="760"/>
      <c r="L382" s="75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23" t="s">
        <v>53</v>
      </c>
      <c r="B394" s="723"/>
      <c r="C394" s="723"/>
      <c r="D394" s="723"/>
      <c r="E394" s="723"/>
      <c r="F394" s="723"/>
      <c r="G394" s="723"/>
      <c r="H394" s="723"/>
      <c r="I394" s="72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5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5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5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5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23" t="s">
        <v>53</v>
      </c>
      <c r="B401" s="723"/>
      <c r="C401" s="723"/>
      <c r="D401" s="723"/>
      <c r="E401" s="723"/>
      <c r="F401" s="723"/>
      <c r="G401" s="723"/>
      <c r="H401" s="723"/>
      <c r="I401" s="72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49" t="s">
        <v>230</v>
      </c>
      <c r="B405" s="740" t="s">
        <v>1814</v>
      </c>
      <c r="C405" s="740" t="s">
        <v>702</v>
      </c>
      <c r="D405" s="736" t="s">
        <v>677</v>
      </c>
      <c r="E405" s="740" t="s">
        <v>1815</v>
      </c>
      <c r="F405" s="740" t="s">
        <v>1816</v>
      </c>
      <c r="G405" s="740" t="s">
        <v>664</v>
      </c>
      <c r="H405" s="741" t="s">
        <v>1817</v>
      </c>
      <c r="I405" s="736"/>
      <c r="J405" s="741">
        <v>1</v>
      </c>
      <c r="K405" s="729" t="s">
        <v>633</v>
      </c>
      <c r="L405" s="591" t="s">
        <v>51</v>
      </c>
      <c r="M405">
        <v>19</v>
      </c>
    </row>
    <row r="406" spans="1:13" ht="13.5" customHeight="1">
      <c r="A406" s="749"/>
      <c r="B406" s="740"/>
      <c r="C406" s="740"/>
      <c r="D406" s="736"/>
      <c r="E406" s="740"/>
      <c r="F406" s="740"/>
      <c r="G406" s="740"/>
      <c r="H406" s="741"/>
      <c r="I406" s="736"/>
      <c r="J406" s="741"/>
      <c r="K406" s="731"/>
      <c r="L406" s="593"/>
      <c r="M406">
        <v>18</v>
      </c>
    </row>
    <row r="407" spans="1:13" ht="27" customHeight="1">
      <c r="A407" s="74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4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49" t="s">
        <v>1655</v>
      </c>
      <c r="B409" s="749"/>
      <c r="C409" s="749"/>
      <c r="D409" s="749"/>
      <c r="E409" s="749"/>
      <c r="F409" s="749"/>
      <c r="G409" s="749"/>
      <c r="H409" s="749"/>
      <c r="I409" s="74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49" t="s">
        <v>2018</v>
      </c>
      <c r="B412" s="754" t="s">
        <v>2019</v>
      </c>
      <c r="C412" s="729" t="s">
        <v>21</v>
      </c>
      <c r="D412" s="665" t="s">
        <v>14</v>
      </c>
      <c r="E412" s="729" t="s">
        <v>78</v>
      </c>
      <c r="F412" s="740" t="s">
        <v>2020</v>
      </c>
      <c r="G412" s="740" t="s">
        <v>40</v>
      </c>
      <c r="H412" s="741" t="s">
        <v>616</v>
      </c>
      <c r="I412" s="736"/>
      <c r="J412" s="741">
        <v>1</v>
      </c>
      <c r="K412" s="729" t="s">
        <v>2021</v>
      </c>
      <c r="L412" s="591" t="s">
        <v>2007</v>
      </c>
      <c r="M412">
        <v>19</v>
      </c>
    </row>
    <row r="413" spans="1:13" ht="20.100000000000001" customHeight="1">
      <c r="A413" s="749"/>
      <c r="B413" s="740"/>
      <c r="C413" s="731"/>
      <c r="D413" s="667"/>
      <c r="E413" s="731"/>
      <c r="F413" s="740"/>
      <c r="G413" s="740"/>
      <c r="H413" s="741"/>
      <c r="I413" s="736"/>
      <c r="J413" s="741"/>
      <c r="K413" s="731"/>
      <c r="L413" s="593"/>
      <c r="M413">
        <v>18</v>
      </c>
    </row>
    <row r="414" spans="1:13" ht="20.100000000000001" customHeight="1">
      <c r="A414" s="749" t="s">
        <v>1655</v>
      </c>
      <c r="B414" s="749"/>
      <c r="C414" s="749"/>
      <c r="D414" s="749"/>
      <c r="E414" s="749"/>
      <c r="F414" s="749"/>
      <c r="G414" s="749"/>
      <c r="H414" s="749"/>
      <c r="I414" s="74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9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92"/>
      <c r="B418" s="84" t="s">
        <v>1757</v>
      </c>
      <c r="C418" s="736" t="s">
        <v>307</v>
      </c>
      <c r="D418" s="736" t="s">
        <v>323</v>
      </c>
      <c r="E418" s="736" t="s">
        <v>308</v>
      </c>
      <c r="F418" s="741">
        <v>3306</v>
      </c>
      <c r="G418" s="736" t="s">
        <v>1156</v>
      </c>
      <c r="H418" s="741" t="s">
        <v>1758</v>
      </c>
      <c r="I418" s="736" t="s">
        <v>666</v>
      </c>
      <c r="J418" s="736">
        <v>4</v>
      </c>
      <c r="K418" s="729" t="s">
        <v>633</v>
      </c>
      <c r="L418" s="591" t="s">
        <v>51</v>
      </c>
      <c r="M418">
        <v>18</v>
      </c>
    </row>
    <row r="419" spans="1:13" ht="13.5" customHeight="1">
      <c r="A419" s="592"/>
      <c r="B419" s="85" t="s">
        <v>1760</v>
      </c>
      <c r="C419" s="736"/>
      <c r="D419" s="736"/>
      <c r="E419" s="736"/>
      <c r="F419" s="741"/>
      <c r="G419" s="736"/>
      <c r="H419" s="741"/>
      <c r="I419" s="736"/>
      <c r="J419" s="736"/>
      <c r="K419" s="731"/>
      <c r="L419" s="593"/>
    </row>
    <row r="420" spans="1:13" ht="13.5" customHeight="1">
      <c r="A420" s="592"/>
      <c r="B420" s="84" t="s">
        <v>1809</v>
      </c>
      <c r="C420" s="736" t="s">
        <v>307</v>
      </c>
      <c r="D420" s="736" t="s">
        <v>323</v>
      </c>
      <c r="E420" s="736" t="s">
        <v>308</v>
      </c>
      <c r="F420" s="741" t="s">
        <v>1810</v>
      </c>
      <c r="G420" s="736" t="s">
        <v>1811</v>
      </c>
      <c r="H420" s="741" t="s">
        <v>1812</v>
      </c>
      <c r="I420" s="736" t="s">
        <v>666</v>
      </c>
      <c r="J420" s="736">
        <v>5</v>
      </c>
      <c r="K420" s="729" t="s">
        <v>633</v>
      </c>
      <c r="L420" s="591" t="s">
        <v>51</v>
      </c>
      <c r="M420">
        <v>19</v>
      </c>
    </row>
    <row r="421" spans="1:13" ht="13.5" customHeight="1">
      <c r="A421" s="592"/>
      <c r="B421" s="85" t="s">
        <v>1804</v>
      </c>
      <c r="C421" s="736"/>
      <c r="D421" s="736"/>
      <c r="E421" s="736"/>
      <c r="F421" s="741"/>
      <c r="G421" s="736"/>
      <c r="H421" s="741"/>
      <c r="I421" s="736"/>
      <c r="J421" s="736"/>
      <c r="K421" s="731"/>
      <c r="L421" s="593"/>
    </row>
    <row r="422" spans="1:13" ht="27" customHeight="1">
      <c r="A422" s="59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49" t="s">
        <v>1655</v>
      </c>
      <c r="B423" s="749"/>
      <c r="C423" s="749"/>
      <c r="D423" s="749"/>
      <c r="E423" s="749"/>
      <c r="F423" s="749"/>
      <c r="G423" s="749"/>
      <c r="H423" s="749"/>
      <c r="I423" s="74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4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4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4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4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23" t="s">
        <v>1655</v>
      </c>
      <c r="B431" s="723"/>
      <c r="C431" s="723"/>
      <c r="D431" s="723"/>
      <c r="E431" s="723"/>
      <c r="F431" s="723"/>
      <c r="G431" s="723"/>
      <c r="H431" s="723"/>
      <c r="I431" s="72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4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4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23" t="s">
        <v>1655</v>
      </c>
      <c r="B435" s="723"/>
      <c r="C435" s="723"/>
      <c r="D435" s="723"/>
      <c r="E435" s="723"/>
      <c r="F435" s="723"/>
      <c r="G435" s="723"/>
      <c r="H435" s="723"/>
      <c r="I435" s="72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11" t="s">
        <v>2037</v>
      </c>
      <c r="B438" s="269" t="s">
        <v>1769</v>
      </c>
      <c r="C438" s="670" t="s">
        <v>307</v>
      </c>
      <c r="D438" s="670" t="s">
        <v>323</v>
      </c>
      <c r="E438" s="670" t="s">
        <v>308</v>
      </c>
      <c r="F438" s="750" t="s">
        <v>1770</v>
      </c>
      <c r="G438" s="670" t="s">
        <v>330</v>
      </c>
      <c r="H438" s="752" t="s">
        <v>1771</v>
      </c>
      <c r="I438" s="677" t="s">
        <v>666</v>
      </c>
      <c r="J438" s="745">
        <v>2</v>
      </c>
      <c r="K438" s="729" t="s">
        <v>2006</v>
      </c>
      <c r="L438" s="729" t="s">
        <v>51</v>
      </c>
      <c r="M438">
        <v>18</v>
      </c>
    </row>
    <row r="439" spans="1:13" ht="13.5" customHeight="1">
      <c r="A439" s="612"/>
      <c r="B439" s="270" t="s">
        <v>2038</v>
      </c>
      <c r="C439" s="671"/>
      <c r="D439" s="671"/>
      <c r="E439" s="671"/>
      <c r="F439" s="751"/>
      <c r="G439" s="671"/>
      <c r="H439" s="753"/>
      <c r="I439" s="679"/>
      <c r="J439" s="746"/>
      <c r="K439" s="731"/>
      <c r="L439" s="731"/>
    </row>
    <row r="440" spans="1:13" ht="13.5" customHeight="1">
      <c r="A440" s="612"/>
      <c r="B440" s="271" t="s">
        <v>1803</v>
      </c>
      <c r="C440" s="747" t="s">
        <v>307</v>
      </c>
      <c r="D440" s="747" t="s">
        <v>323</v>
      </c>
      <c r="E440" s="747" t="s">
        <v>308</v>
      </c>
      <c r="F440" s="748" t="s">
        <v>1805</v>
      </c>
      <c r="G440" s="747" t="s">
        <v>1806</v>
      </c>
      <c r="H440" s="748" t="s">
        <v>1801</v>
      </c>
      <c r="I440" s="747" t="s">
        <v>666</v>
      </c>
      <c r="J440" s="594">
        <v>4</v>
      </c>
      <c r="K440" s="729" t="s">
        <v>633</v>
      </c>
      <c r="L440" s="729" t="s">
        <v>2007</v>
      </c>
      <c r="M440">
        <v>19</v>
      </c>
    </row>
    <row r="441" spans="1:13" ht="13.5" customHeight="1">
      <c r="A441" s="612"/>
      <c r="B441" s="272" t="s">
        <v>1804</v>
      </c>
      <c r="C441" s="747"/>
      <c r="D441" s="747"/>
      <c r="E441" s="747"/>
      <c r="F441" s="748"/>
      <c r="G441" s="747"/>
      <c r="H441" s="748"/>
      <c r="I441" s="747"/>
      <c r="J441" s="595"/>
      <c r="K441" s="731"/>
      <c r="L441" s="731"/>
    </row>
    <row r="442" spans="1:13" ht="20.100000000000001" customHeight="1">
      <c r="A442" s="61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1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1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1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1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1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1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1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32" t="s">
        <v>1655</v>
      </c>
      <c r="B450" s="733"/>
      <c r="C450" s="733"/>
      <c r="D450" s="733"/>
      <c r="E450" s="733"/>
      <c r="F450" s="733"/>
      <c r="G450" s="733"/>
      <c r="H450" s="733"/>
      <c r="I450" s="733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98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99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99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27" t="s">
        <v>2069</v>
      </c>
      <c r="B459" s="727"/>
      <c r="C459" s="727"/>
      <c r="D459" s="727"/>
      <c r="E459" s="727"/>
      <c r="F459" s="727"/>
      <c r="G459" s="727"/>
      <c r="H459" s="727"/>
      <c r="I459" s="727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4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43"/>
      <c r="B463" s="737" t="s">
        <v>1776</v>
      </c>
      <c r="C463" s="738" t="s">
        <v>312</v>
      </c>
      <c r="D463" s="738" t="s">
        <v>321</v>
      </c>
      <c r="E463" s="738" t="s">
        <v>711</v>
      </c>
      <c r="F463" s="738" t="s">
        <v>1777</v>
      </c>
      <c r="G463" s="737" t="s">
        <v>1778</v>
      </c>
      <c r="H463" s="275" t="s">
        <v>1779</v>
      </c>
      <c r="I463" s="738"/>
      <c r="J463" s="738">
        <v>1</v>
      </c>
      <c r="K463" s="665" t="s">
        <v>633</v>
      </c>
      <c r="L463" s="703" t="s">
        <v>51</v>
      </c>
      <c r="M463">
        <v>18</v>
      </c>
    </row>
    <row r="464" spans="1:13" ht="13.5" customHeight="1">
      <c r="A464" s="743"/>
      <c r="B464" s="737"/>
      <c r="C464" s="738"/>
      <c r="D464" s="738"/>
      <c r="E464" s="738"/>
      <c r="F464" s="738"/>
      <c r="G464" s="737"/>
      <c r="H464" s="276" t="s">
        <v>1782</v>
      </c>
      <c r="I464" s="738"/>
      <c r="J464" s="738"/>
      <c r="K464" s="667"/>
      <c r="L464" s="704"/>
    </row>
    <row r="465" spans="1:13" ht="13.5" customHeight="1">
      <c r="A465" s="743"/>
      <c r="B465" s="739" t="s">
        <v>1822</v>
      </c>
      <c r="C465" s="740" t="s">
        <v>702</v>
      </c>
      <c r="D465" s="736" t="s">
        <v>321</v>
      </c>
      <c r="E465" s="736" t="s">
        <v>338</v>
      </c>
      <c r="F465" s="740" t="s">
        <v>355</v>
      </c>
      <c r="G465" s="740" t="s">
        <v>1823</v>
      </c>
      <c r="H465" s="741" t="s">
        <v>1824</v>
      </c>
      <c r="I465" s="736" t="s">
        <v>640</v>
      </c>
      <c r="J465" s="741">
        <v>2</v>
      </c>
      <c r="K465" s="729" t="s">
        <v>633</v>
      </c>
      <c r="L465" s="729" t="s">
        <v>51</v>
      </c>
      <c r="M465">
        <v>19</v>
      </c>
    </row>
    <row r="466" spans="1:13" ht="13.5" customHeight="1">
      <c r="A466" s="743"/>
      <c r="B466" s="739"/>
      <c r="C466" s="740"/>
      <c r="D466" s="736"/>
      <c r="E466" s="736"/>
      <c r="F466" s="740"/>
      <c r="G466" s="740"/>
      <c r="H466" s="741"/>
      <c r="I466" s="736"/>
      <c r="J466" s="741"/>
      <c r="K466" s="731"/>
      <c r="L466" s="731"/>
    </row>
    <row r="467" spans="1:13" ht="27" customHeight="1">
      <c r="A467" s="74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43"/>
      <c r="B468" s="740" t="s">
        <v>1829</v>
      </c>
      <c r="C468" s="740" t="s">
        <v>702</v>
      </c>
      <c r="D468" s="736" t="s">
        <v>321</v>
      </c>
      <c r="E468" s="736" t="s">
        <v>711</v>
      </c>
      <c r="F468" s="736" t="s">
        <v>1777</v>
      </c>
      <c r="G468" s="740" t="s">
        <v>1830</v>
      </c>
      <c r="H468" s="278" t="s">
        <v>1831</v>
      </c>
      <c r="I468" s="736" t="s">
        <v>640</v>
      </c>
      <c r="J468" s="736">
        <v>2</v>
      </c>
      <c r="K468" s="729" t="s">
        <v>633</v>
      </c>
      <c r="L468" s="729" t="s">
        <v>51</v>
      </c>
      <c r="M468">
        <v>19</v>
      </c>
    </row>
    <row r="469" spans="1:13" ht="13.5" customHeight="1">
      <c r="A469" s="743"/>
      <c r="B469" s="740"/>
      <c r="C469" s="740"/>
      <c r="D469" s="736"/>
      <c r="E469" s="736"/>
      <c r="F469" s="736"/>
      <c r="G469" s="740"/>
      <c r="H469" s="279" t="s">
        <v>1832</v>
      </c>
      <c r="I469" s="736"/>
      <c r="J469" s="736"/>
      <c r="K469" s="731"/>
      <c r="L469" s="731"/>
    </row>
    <row r="470" spans="1:13" ht="27" customHeight="1">
      <c r="A470" s="74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4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23" t="s">
        <v>53</v>
      </c>
      <c r="B472" s="723"/>
      <c r="C472" s="723"/>
      <c r="D472" s="723"/>
      <c r="E472" s="723"/>
      <c r="F472" s="723"/>
      <c r="G472" s="723"/>
      <c r="H472" s="723"/>
      <c r="I472" s="72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23" t="s">
        <v>229</v>
      </c>
      <c r="B476" s="737" t="s">
        <v>1776</v>
      </c>
      <c r="C476" s="738" t="s">
        <v>312</v>
      </c>
      <c r="D476" s="738" t="s">
        <v>321</v>
      </c>
      <c r="E476" s="738" t="s">
        <v>711</v>
      </c>
      <c r="F476" s="738" t="s">
        <v>1777</v>
      </c>
      <c r="G476" s="737" t="s">
        <v>1778</v>
      </c>
      <c r="H476" s="275" t="s">
        <v>1779</v>
      </c>
      <c r="I476" s="738"/>
      <c r="J476" s="738">
        <v>1</v>
      </c>
      <c r="K476" s="665" t="s">
        <v>633</v>
      </c>
      <c r="L476" s="703" t="s">
        <v>51</v>
      </c>
      <c r="M476">
        <v>18</v>
      </c>
    </row>
    <row r="477" spans="1:13" ht="13.5" customHeight="1">
      <c r="A477" s="723"/>
      <c r="B477" s="737"/>
      <c r="C477" s="738"/>
      <c r="D477" s="738"/>
      <c r="E477" s="738"/>
      <c r="F477" s="738"/>
      <c r="G477" s="737"/>
      <c r="H477" s="276" t="s">
        <v>1782</v>
      </c>
      <c r="I477" s="738"/>
      <c r="J477" s="738"/>
      <c r="K477" s="667"/>
      <c r="L477" s="704"/>
    </row>
    <row r="478" spans="1:13" ht="27" customHeight="1">
      <c r="A478" s="72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23" t="s">
        <v>1655</v>
      </c>
      <c r="B479" s="723"/>
      <c r="C479" s="723"/>
      <c r="D479" s="723"/>
      <c r="E479" s="723"/>
      <c r="F479" s="723"/>
      <c r="G479" s="723"/>
      <c r="H479" s="723"/>
      <c r="I479" s="72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2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3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3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3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3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32" t="s">
        <v>53</v>
      </c>
      <c r="B487" s="733"/>
      <c r="C487" s="733"/>
      <c r="D487" s="733"/>
      <c r="E487" s="733"/>
      <c r="F487" s="733"/>
      <c r="G487" s="733"/>
      <c r="H487" s="733"/>
      <c r="I487" s="734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6"/>
      <c r="B494" s="728" t="s">
        <v>2193</v>
      </c>
      <c r="C494" s="728" t="s">
        <v>307</v>
      </c>
      <c r="D494" s="728" t="s">
        <v>323</v>
      </c>
      <c r="E494" s="728" t="s">
        <v>308</v>
      </c>
      <c r="F494" s="735" t="s">
        <v>1928</v>
      </c>
      <c r="G494" s="728" t="s">
        <v>664</v>
      </c>
      <c r="H494" s="735" t="s">
        <v>1929</v>
      </c>
      <c r="I494" s="728" t="s">
        <v>351</v>
      </c>
      <c r="J494" s="728">
        <v>2</v>
      </c>
      <c r="K494" s="740" t="s">
        <v>50</v>
      </c>
      <c r="L494" s="238">
        <v>23</v>
      </c>
    </row>
    <row r="495" spans="1:13" ht="12.6" customHeight="1">
      <c r="A495" s="726"/>
      <c r="B495" s="728"/>
      <c r="C495" s="728"/>
      <c r="D495" s="728"/>
      <c r="E495" s="728"/>
      <c r="F495" s="735"/>
      <c r="G495" s="728"/>
      <c r="H495" s="735"/>
      <c r="I495" s="728"/>
      <c r="J495" s="728"/>
      <c r="K495" s="740"/>
    </row>
    <row r="496" spans="1:13" ht="24.95" customHeight="1">
      <c r="A496" s="72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23" t="s">
        <v>53</v>
      </c>
      <c r="B500" s="723"/>
      <c r="C500" s="723"/>
      <c r="D500" s="723"/>
      <c r="E500" s="723"/>
      <c r="F500" s="723"/>
      <c r="G500" s="723"/>
      <c r="H500" s="723"/>
      <c r="I500" s="72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27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27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27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27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27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23" t="s">
        <v>2228</v>
      </c>
      <c r="B511" s="723"/>
      <c r="C511" s="723"/>
      <c r="D511" s="723"/>
      <c r="E511" s="723"/>
      <c r="F511" s="723"/>
      <c r="G511" s="723"/>
      <c r="H511" s="723"/>
      <c r="I511" s="72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27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27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27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27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27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27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27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27" t="s">
        <v>2244</v>
      </c>
      <c r="B522" s="727"/>
      <c r="C522" s="727"/>
      <c r="D522" s="727"/>
      <c r="E522" s="727"/>
      <c r="F522" s="727"/>
      <c r="G522" s="727"/>
      <c r="H522" s="727"/>
      <c r="I522" s="727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23" t="s">
        <v>2249</v>
      </c>
      <c r="B528" s="723"/>
      <c r="C528" s="723"/>
      <c r="D528" s="723"/>
      <c r="E528" s="723"/>
      <c r="F528" s="723"/>
      <c r="G528" s="723"/>
      <c r="H528" s="723"/>
      <c r="I528" s="72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27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27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27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23" t="s">
        <v>2244</v>
      </c>
      <c r="B535" s="723"/>
      <c r="C535" s="723"/>
      <c r="D535" s="723"/>
      <c r="E535" s="723"/>
      <c r="F535" s="723"/>
      <c r="G535" s="723"/>
      <c r="H535" s="723"/>
      <c r="I535" s="72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32" t="s">
        <v>2249</v>
      </c>
      <c r="B540" s="733"/>
      <c r="C540" s="733"/>
      <c r="D540" s="733"/>
      <c r="E540" s="733"/>
      <c r="F540" s="733"/>
      <c r="G540" s="733"/>
      <c r="H540" s="733"/>
      <c r="I540" s="734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2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2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49" t="s">
        <v>2244</v>
      </c>
      <c r="B546" s="749"/>
      <c r="C546" s="749"/>
      <c r="D546" s="749"/>
      <c r="E546" s="749"/>
      <c r="F546" s="749"/>
      <c r="G546" s="749"/>
      <c r="H546" s="749"/>
      <c r="I546" s="74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23" t="s">
        <v>2244</v>
      </c>
      <c r="B550" s="723"/>
      <c r="C550" s="723"/>
      <c r="D550" s="723"/>
      <c r="E550" s="723"/>
      <c r="F550" s="723"/>
      <c r="G550" s="723"/>
      <c r="H550" s="723"/>
      <c r="I550" s="72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2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2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2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2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2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2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2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2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2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2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2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23" t="s">
        <v>2244</v>
      </c>
      <c r="B565" s="723"/>
      <c r="C565" s="723"/>
      <c r="D565" s="723"/>
      <c r="E565" s="723"/>
      <c r="F565" s="723"/>
      <c r="G565" s="723"/>
      <c r="H565" s="723"/>
      <c r="I565" s="72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18" t="s">
        <v>307</v>
      </c>
      <c r="D569" s="618" t="s">
        <v>323</v>
      </c>
      <c r="E569" s="618" t="s">
        <v>308</v>
      </c>
      <c r="F569" s="618">
        <v>3306</v>
      </c>
      <c r="G569" s="618" t="s">
        <v>1156</v>
      </c>
      <c r="H569" s="618" t="s">
        <v>1916</v>
      </c>
      <c r="I569" s="618" t="s">
        <v>1113</v>
      </c>
      <c r="J569" s="618" t="s">
        <v>694</v>
      </c>
      <c r="K569" s="778" t="s">
        <v>2302</v>
      </c>
    </row>
    <row r="570" spans="1:12">
      <c r="B570" s="260" t="s">
        <v>1918</v>
      </c>
      <c r="C570" s="619"/>
      <c r="D570" s="619"/>
      <c r="E570" s="619"/>
      <c r="F570" s="619"/>
      <c r="G570" s="619"/>
      <c r="H570" s="619"/>
      <c r="I570" s="619"/>
      <c r="J570" s="619"/>
      <c r="K570" s="77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23" t="s">
        <v>1463</v>
      </c>
      <c r="B582" s="723"/>
      <c r="C582" s="723"/>
      <c r="D582" s="723"/>
      <c r="E582" s="723"/>
      <c r="F582" s="723"/>
      <c r="G582" s="723"/>
      <c r="H582" s="723"/>
      <c r="I582" s="72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27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27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23" t="s">
        <v>2404</v>
      </c>
      <c r="B588" s="723"/>
      <c r="C588" s="723"/>
      <c r="D588" s="723"/>
      <c r="E588" s="723"/>
      <c r="F588" s="723"/>
      <c r="G588" s="723"/>
      <c r="H588" s="723"/>
      <c r="I588" s="72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27" t="s">
        <v>2417</v>
      </c>
      <c r="B592" s="727"/>
      <c r="C592" s="727"/>
      <c r="D592" s="727"/>
      <c r="E592" s="727"/>
      <c r="F592" s="727"/>
      <c r="G592" s="727"/>
      <c r="H592" s="727"/>
      <c r="I592" s="727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27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27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27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27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27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27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27" t="s">
        <v>2417</v>
      </c>
      <c r="B601" s="727"/>
      <c r="C601" s="727"/>
      <c r="D601" s="727"/>
      <c r="E601" s="727"/>
      <c r="F601" s="727"/>
      <c r="G601" s="727"/>
      <c r="H601" s="727"/>
      <c r="I601" s="727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23" t="s">
        <v>2448</v>
      </c>
      <c r="B606" s="723"/>
      <c r="C606" s="723"/>
      <c r="D606" s="723"/>
      <c r="E606" s="723"/>
      <c r="F606" s="723"/>
      <c r="G606" s="723"/>
      <c r="H606" s="723"/>
      <c r="I606" s="72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27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27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27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23" t="s">
        <v>2417</v>
      </c>
      <c r="B613" s="723"/>
      <c r="C613" s="723"/>
      <c r="D613" s="723"/>
      <c r="E613" s="723"/>
      <c r="F613" s="723"/>
      <c r="G613" s="723"/>
      <c r="H613" s="723"/>
      <c r="I613" s="72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2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2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2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2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2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2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2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2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2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2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23" t="s">
        <v>2417</v>
      </c>
      <c r="B627" s="723"/>
      <c r="C627" s="723"/>
      <c r="D627" s="723"/>
      <c r="E627" s="723"/>
      <c r="F627" s="723"/>
      <c r="G627" s="723"/>
      <c r="H627" s="723"/>
      <c r="I627" s="723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C36" sqref="C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5361</v>
      </c>
      <c r="B2" s="780" t="s">
        <v>1</v>
      </c>
      <c r="C2" s="780" t="s">
        <v>2</v>
      </c>
      <c r="D2" s="780" t="s">
        <v>3</v>
      </c>
      <c r="E2" s="518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519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5416</v>
      </c>
      <c r="C4" s="4" t="s">
        <v>19</v>
      </c>
      <c r="D4" s="4" t="s">
        <v>152</v>
      </c>
      <c r="E4" s="4" t="s">
        <v>308</v>
      </c>
      <c r="F4" s="580" t="s">
        <v>5414</v>
      </c>
      <c r="G4" s="17" t="s">
        <v>5413</v>
      </c>
      <c r="H4" s="441" t="s">
        <v>5427</v>
      </c>
      <c r="I4" s="4" t="s">
        <v>169</v>
      </c>
      <c r="J4" s="492" t="s">
        <v>5415</v>
      </c>
      <c r="K4" s="4"/>
      <c r="L4" s="103">
        <v>600000</v>
      </c>
      <c r="M4" s="6" t="s">
        <v>5224</v>
      </c>
    </row>
    <row r="5" spans="1:20" ht="27.75" customHeight="1">
      <c r="A5" s="722"/>
      <c r="B5" s="439">
        <v>46078</v>
      </c>
      <c r="C5" s="4" t="s">
        <v>19</v>
      </c>
      <c r="D5" s="4" t="s">
        <v>152</v>
      </c>
      <c r="E5" s="4" t="s">
        <v>308</v>
      </c>
      <c r="F5" s="580" t="s">
        <v>4330</v>
      </c>
      <c r="G5" s="17" t="s">
        <v>3501</v>
      </c>
      <c r="H5" s="441" t="s">
        <v>3548</v>
      </c>
      <c r="I5" s="4" t="s">
        <v>169</v>
      </c>
      <c r="J5" s="492" t="s">
        <v>3162</v>
      </c>
      <c r="K5" s="4"/>
      <c r="L5" s="103">
        <v>300000</v>
      </c>
      <c r="M5" s="6" t="s">
        <v>5394</v>
      </c>
    </row>
    <row r="6" spans="1:20" ht="27.75" customHeight="1">
      <c r="A6" s="722"/>
      <c r="B6" s="439"/>
      <c r="C6" s="4"/>
      <c r="D6" s="4"/>
      <c r="E6" s="4"/>
      <c r="F6" s="580"/>
      <c r="G6" s="17"/>
      <c r="H6" s="441"/>
      <c r="I6" s="4"/>
      <c r="J6" s="492"/>
      <c r="K6" s="4"/>
      <c r="L6" s="103"/>
      <c r="M6" s="6"/>
    </row>
    <row r="7" spans="1:20" ht="27.75" customHeight="1">
      <c r="A7" s="722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900000</v>
      </c>
      <c r="M8" s="517"/>
      <c r="P8" s="518"/>
      <c r="Q8" s="518" t="s">
        <v>20</v>
      </c>
      <c r="R8" s="518" t="s">
        <v>21</v>
      </c>
      <c r="S8" s="518" t="s">
        <v>3507</v>
      </c>
      <c r="T8" s="518" t="s">
        <v>3508</v>
      </c>
    </row>
    <row r="9" spans="1:20" ht="25.5" customHeight="1">
      <c r="A9" s="588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5362</v>
      </c>
      <c r="I9" s="516"/>
      <c r="J9" s="516" t="s">
        <v>5359</v>
      </c>
      <c r="K9" s="133" t="s">
        <v>5360</v>
      </c>
      <c r="L9" s="100">
        <v>500000</v>
      </c>
      <c r="M9" s="6" t="s">
        <v>5395</v>
      </c>
      <c r="P9" s="515" t="s">
        <v>5340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9"/>
      <c r="B10" s="439">
        <v>46080</v>
      </c>
      <c r="C10" s="4" t="s">
        <v>64</v>
      </c>
      <c r="D10" s="4" t="s">
        <v>77</v>
      </c>
      <c r="E10" s="579" t="s">
        <v>5440</v>
      </c>
      <c r="F10" s="579" t="s">
        <v>364</v>
      </c>
      <c r="G10" s="17" t="s">
        <v>3425</v>
      </c>
      <c r="H10" s="580" t="s">
        <v>5441</v>
      </c>
      <c r="I10" s="579"/>
      <c r="J10" s="580" t="s">
        <v>4214</v>
      </c>
      <c r="K10" s="133" t="s">
        <v>106</v>
      </c>
      <c r="L10" s="100">
        <v>600000</v>
      </c>
      <c r="M10" s="6" t="s">
        <v>5395</v>
      </c>
      <c r="P10" s="515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9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9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89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89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89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90"/>
      <c r="B16" s="785" t="s">
        <v>1138</v>
      </c>
      <c r="C16" s="786"/>
      <c r="D16" s="786"/>
      <c r="E16" s="786"/>
      <c r="F16" s="786"/>
      <c r="G16" s="786"/>
      <c r="H16" s="786"/>
      <c r="I16" s="786"/>
      <c r="J16" s="786"/>
      <c r="K16" s="787"/>
      <c r="L16" s="103">
        <f>SUM(L9:L15)</f>
        <v>1100000</v>
      </c>
      <c r="M16" s="517"/>
      <c r="P16" s="18"/>
      <c r="Q16" s="18"/>
      <c r="R16" s="18"/>
      <c r="S16" s="18"/>
      <c r="T16" s="18"/>
    </row>
    <row r="17" spans="1:27" ht="25.5" customHeight="1">
      <c r="A17" s="788" t="s">
        <v>62</v>
      </c>
      <c r="B17" s="788"/>
      <c r="C17" s="788"/>
      <c r="D17" s="788"/>
      <c r="E17" s="788"/>
      <c r="F17" s="788"/>
      <c r="G17" s="788"/>
      <c r="H17" s="788"/>
      <c r="I17" s="788"/>
      <c r="J17" s="788"/>
      <c r="K17" s="788"/>
      <c r="L17" s="403">
        <f>L8+L16</f>
        <v>2000000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1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782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782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782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782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782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782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782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782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782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782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782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783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I12" sqref="I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4782</v>
      </c>
      <c r="B2" s="780" t="s">
        <v>1</v>
      </c>
      <c r="C2" s="780" t="s">
        <v>2</v>
      </c>
      <c r="D2" s="780" t="s">
        <v>3</v>
      </c>
      <c r="E2" s="511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512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5328</v>
      </c>
      <c r="C4" s="4" t="s">
        <v>125</v>
      </c>
      <c r="D4" s="4" t="s">
        <v>152</v>
      </c>
      <c r="E4" s="4" t="s">
        <v>308</v>
      </c>
      <c r="F4" s="509" t="s">
        <v>5335</v>
      </c>
      <c r="G4" s="17" t="s">
        <v>5336</v>
      </c>
      <c r="H4" s="441" t="s">
        <v>5337</v>
      </c>
      <c r="I4" s="4" t="s">
        <v>5329</v>
      </c>
      <c r="J4" s="492" t="s">
        <v>3338</v>
      </c>
      <c r="K4" s="4"/>
      <c r="L4" s="103">
        <v>1250000</v>
      </c>
      <c r="M4" s="6"/>
    </row>
    <row r="5" spans="1:20" ht="27.75" customHeight="1">
      <c r="A5" s="722"/>
      <c r="B5" s="439" t="s">
        <v>5328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5338</v>
      </c>
      <c r="H5" s="441" t="s">
        <v>5339</v>
      </c>
      <c r="I5" s="4" t="s">
        <v>5329</v>
      </c>
      <c r="J5" s="492" t="s">
        <v>3626</v>
      </c>
      <c r="K5" s="4"/>
      <c r="L5" s="103">
        <v>1250000</v>
      </c>
      <c r="M5" s="6"/>
    </row>
    <row r="6" spans="1:20" ht="27.75" customHeight="1">
      <c r="A6" s="722"/>
      <c r="B6" s="439" t="s">
        <v>5326</v>
      </c>
      <c r="C6" s="4" t="s">
        <v>125</v>
      </c>
      <c r="D6" s="4" t="s">
        <v>152</v>
      </c>
      <c r="E6" s="4" t="s">
        <v>308</v>
      </c>
      <c r="F6" s="514" t="s">
        <v>5349</v>
      </c>
      <c r="G6" s="17" t="s">
        <v>5341</v>
      </c>
      <c r="H6" s="441" t="s">
        <v>5350</v>
      </c>
      <c r="I6" s="4" t="s">
        <v>5329</v>
      </c>
      <c r="J6" s="492" t="s">
        <v>3074</v>
      </c>
      <c r="K6" s="4"/>
      <c r="L6" s="103">
        <v>750000</v>
      </c>
      <c r="M6" s="6"/>
    </row>
    <row r="7" spans="1:20" ht="27.75" customHeight="1">
      <c r="A7" s="722"/>
      <c r="B7" s="439" t="s">
        <v>5327</v>
      </c>
      <c r="C7" s="4" t="s">
        <v>125</v>
      </c>
      <c r="D7" s="4" t="s">
        <v>152</v>
      </c>
      <c r="E7" s="4" t="s">
        <v>308</v>
      </c>
      <c r="F7" s="509" t="s">
        <v>5346</v>
      </c>
      <c r="G7" s="17" t="s">
        <v>5347</v>
      </c>
      <c r="H7" s="441" t="s">
        <v>5348</v>
      </c>
      <c r="I7" s="4" t="s">
        <v>5329</v>
      </c>
      <c r="J7" s="492" t="s">
        <v>2861</v>
      </c>
      <c r="K7" s="4"/>
      <c r="L7" s="103">
        <v>500000</v>
      </c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3507</v>
      </c>
      <c r="T8" s="511" t="s">
        <v>3508</v>
      </c>
    </row>
    <row r="9" spans="1:20" ht="25.5" customHeight="1">
      <c r="A9" s="588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5282</v>
      </c>
      <c r="I9" s="488"/>
      <c r="J9" s="488" t="s">
        <v>5293</v>
      </c>
      <c r="K9" s="495" t="s">
        <v>15</v>
      </c>
      <c r="L9" s="100">
        <v>250000</v>
      </c>
      <c r="M9" s="6" t="s">
        <v>5294</v>
      </c>
      <c r="P9" s="508" t="s">
        <v>5340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9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5353</v>
      </c>
      <c r="G10" s="494" t="s">
        <v>5354</v>
      </c>
      <c r="H10" s="488" t="s">
        <v>5355</v>
      </c>
      <c r="I10" s="493"/>
      <c r="J10" s="514" t="s">
        <v>154</v>
      </c>
      <c r="K10" s="495" t="s">
        <v>15</v>
      </c>
      <c r="L10" s="100">
        <v>250000</v>
      </c>
      <c r="M10" s="6" t="s">
        <v>5294</v>
      </c>
      <c r="P10" s="508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9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5330</v>
      </c>
      <c r="I11" s="513"/>
      <c r="J11" s="514" t="s">
        <v>3161</v>
      </c>
      <c r="K11" s="495" t="s">
        <v>15</v>
      </c>
      <c r="L11" s="100">
        <v>300000</v>
      </c>
      <c r="M11" s="6" t="s">
        <v>5331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9"/>
      <c r="B12" s="439">
        <v>46077</v>
      </c>
      <c r="C12" s="4" t="s">
        <v>21</v>
      </c>
      <c r="D12" s="4" t="s">
        <v>30</v>
      </c>
      <c r="E12" s="513" t="s">
        <v>5306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5332</v>
      </c>
      <c r="N12" s="449"/>
    </row>
    <row r="13" spans="1:20" ht="25.5" customHeight="1">
      <c r="A13" s="589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5027</v>
      </c>
      <c r="G13" s="520" t="s">
        <v>5026</v>
      </c>
      <c r="H13" s="488" t="s">
        <v>5316</v>
      </c>
      <c r="I13" s="493"/>
      <c r="J13" s="488" t="s">
        <v>643</v>
      </c>
      <c r="K13" s="495" t="s">
        <v>15</v>
      </c>
      <c r="L13" s="100">
        <v>500000</v>
      </c>
      <c r="M13" s="6" t="s">
        <v>5333</v>
      </c>
    </row>
    <row r="14" spans="1:20" ht="25.5" customHeight="1">
      <c r="A14" s="589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5314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5334</v>
      </c>
    </row>
    <row r="15" spans="1:20" ht="25.5" customHeight="1">
      <c r="A15" s="589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5311</v>
      </c>
      <c r="I15" s="493" t="s">
        <v>90</v>
      </c>
      <c r="J15" s="488" t="s">
        <v>5304</v>
      </c>
      <c r="K15" s="495" t="s">
        <v>15</v>
      </c>
      <c r="L15" s="100">
        <v>500000</v>
      </c>
      <c r="M15" s="6" t="s">
        <v>5331</v>
      </c>
    </row>
    <row r="16" spans="1:20" ht="25.5" customHeight="1">
      <c r="A16" s="590"/>
      <c r="B16" s="785" t="s">
        <v>1138</v>
      </c>
      <c r="C16" s="786"/>
      <c r="D16" s="786"/>
      <c r="E16" s="786"/>
      <c r="F16" s="786"/>
      <c r="G16" s="786"/>
      <c r="H16" s="786"/>
      <c r="I16" s="786"/>
      <c r="J16" s="786"/>
      <c r="K16" s="787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88" t="s">
        <v>62</v>
      </c>
      <c r="B17" s="788"/>
      <c r="C17" s="788"/>
      <c r="D17" s="788"/>
      <c r="E17" s="788"/>
      <c r="F17" s="788"/>
      <c r="G17" s="788"/>
      <c r="H17" s="788"/>
      <c r="I17" s="788"/>
      <c r="J17" s="788"/>
      <c r="K17" s="78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1" t="s">
        <v>5313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5251</v>
      </c>
      <c r="J32" s="514"/>
      <c r="K32" s="133" t="s">
        <v>182</v>
      </c>
      <c r="L32" s="17">
        <v>1</v>
      </c>
      <c r="M32" s="484" t="s">
        <v>5318</v>
      </c>
    </row>
    <row r="33" spans="1:21" ht="33" customHeight="1">
      <c r="A33" s="782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5315</v>
      </c>
      <c r="I33" s="513"/>
      <c r="J33" s="514" t="s">
        <v>5317</v>
      </c>
      <c r="K33" s="133" t="s">
        <v>15</v>
      </c>
      <c r="L33" s="17">
        <v>2</v>
      </c>
      <c r="M33" s="484" t="s">
        <v>5319</v>
      </c>
    </row>
    <row r="34" spans="1:21" ht="33" customHeight="1">
      <c r="A34" s="782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5251</v>
      </c>
      <c r="J34" s="514"/>
      <c r="K34" s="133" t="s">
        <v>182</v>
      </c>
      <c r="L34" s="17">
        <v>1</v>
      </c>
      <c r="M34" s="8" t="s">
        <v>5320</v>
      </c>
    </row>
    <row r="35" spans="1:21" ht="33" customHeight="1">
      <c r="A35" s="782"/>
      <c r="B35" s="444"/>
      <c r="C35" s="4" t="s">
        <v>21</v>
      </c>
      <c r="D35" s="4" t="s">
        <v>30</v>
      </c>
      <c r="E35" s="513" t="s">
        <v>5306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782"/>
      <c r="B36" s="444"/>
      <c r="C36" s="492" t="s">
        <v>21</v>
      </c>
      <c r="D36" s="492" t="s">
        <v>17</v>
      </c>
      <c r="E36" s="488" t="s">
        <v>3406</v>
      </c>
      <c r="F36" s="502" t="s">
        <v>5027</v>
      </c>
      <c r="G36" s="503" t="s">
        <v>5026</v>
      </c>
      <c r="H36" s="488" t="s">
        <v>5316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782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5252</v>
      </c>
      <c r="I37" s="493" t="s">
        <v>5251</v>
      </c>
      <c r="J37" s="488"/>
      <c r="K37" s="495" t="s">
        <v>182</v>
      </c>
      <c r="L37" s="494">
        <v>1</v>
      </c>
      <c r="M37" s="496" t="s">
        <v>5321</v>
      </c>
    </row>
    <row r="38" spans="1:21" ht="33" customHeight="1">
      <c r="A38" s="782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5314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782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5322</v>
      </c>
    </row>
    <row r="40" spans="1:21" ht="33" customHeight="1">
      <c r="A40" s="782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5323</v>
      </c>
    </row>
    <row r="41" spans="1:21" ht="33" customHeight="1">
      <c r="A41" s="782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5311</v>
      </c>
      <c r="I41" s="493" t="s">
        <v>90</v>
      </c>
      <c r="J41" s="488" t="s">
        <v>5304</v>
      </c>
      <c r="K41" s="495" t="s">
        <v>15</v>
      </c>
      <c r="L41" s="494">
        <v>3</v>
      </c>
      <c r="M41" s="496" t="s">
        <v>5324</v>
      </c>
    </row>
    <row r="42" spans="1:21" ht="33" customHeight="1">
      <c r="A42" s="782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5325</v>
      </c>
    </row>
    <row r="43" spans="1:21" ht="33" customHeight="1">
      <c r="A43" s="782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783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80" t="s">
        <v>5216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1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1" ht="27.75" customHeight="1">
      <c r="A4" s="72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5222</v>
      </c>
      <c r="H4" s="441" t="s">
        <v>5223</v>
      </c>
      <c r="I4" s="4" t="s">
        <v>169</v>
      </c>
      <c r="J4" s="4" t="s">
        <v>5226</v>
      </c>
      <c r="K4" s="4"/>
      <c r="L4" s="103">
        <v>500000</v>
      </c>
      <c r="M4" s="6" t="s">
        <v>5224</v>
      </c>
    </row>
    <row r="5" spans="1:21" ht="27.75" customHeight="1">
      <c r="A5" s="722"/>
      <c r="B5" s="439" t="s">
        <v>5258</v>
      </c>
      <c r="C5" s="4" t="s">
        <v>19</v>
      </c>
      <c r="D5" s="4" t="s">
        <v>25</v>
      </c>
      <c r="E5" s="4" t="s">
        <v>308</v>
      </c>
      <c r="F5" s="207" t="s">
        <v>5262</v>
      </c>
      <c r="G5" s="17" t="s">
        <v>5263</v>
      </c>
      <c r="H5" s="441" t="s">
        <v>5264</v>
      </c>
      <c r="I5" s="4" t="s">
        <v>169</v>
      </c>
      <c r="J5" s="492" t="s">
        <v>5259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722"/>
      <c r="B6" s="439" t="s">
        <v>5258</v>
      </c>
      <c r="C6" s="4" t="s">
        <v>19</v>
      </c>
      <c r="D6" s="4" t="s">
        <v>25</v>
      </c>
      <c r="E6" s="4" t="s">
        <v>308</v>
      </c>
      <c r="F6" s="155" t="s">
        <v>5265</v>
      </c>
      <c r="G6" s="17" t="s">
        <v>5266</v>
      </c>
      <c r="H6" s="441" t="s">
        <v>5267</v>
      </c>
      <c r="I6" s="4" t="s">
        <v>169</v>
      </c>
      <c r="J6" s="492" t="s">
        <v>5259</v>
      </c>
      <c r="K6" s="4"/>
      <c r="L6" s="103">
        <v>500000</v>
      </c>
      <c r="M6" s="6"/>
      <c r="P6" s="34" t="s">
        <v>5238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22"/>
      <c r="B7" s="439" t="s">
        <v>5258</v>
      </c>
      <c r="C7" s="4" t="s">
        <v>19</v>
      </c>
      <c r="D7" s="4" t="s">
        <v>25</v>
      </c>
      <c r="E7" s="4" t="s">
        <v>308</v>
      </c>
      <c r="F7" s="499" t="s">
        <v>5269</v>
      </c>
      <c r="G7" s="17" t="s">
        <v>5270</v>
      </c>
      <c r="H7" s="441" t="s">
        <v>5271</v>
      </c>
      <c r="I7" s="4" t="s">
        <v>169</v>
      </c>
      <c r="J7" s="492" t="s">
        <v>5260</v>
      </c>
      <c r="K7" s="4"/>
      <c r="L7" s="103">
        <v>500000</v>
      </c>
      <c r="M7" s="6"/>
      <c r="P7" s="34" t="s">
        <v>5239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22"/>
      <c r="B8" s="439" t="s">
        <v>5401</v>
      </c>
      <c r="C8" s="4" t="s">
        <v>19</v>
      </c>
      <c r="D8" s="4" t="s">
        <v>25</v>
      </c>
      <c r="E8" s="4" t="s">
        <v>308</v>
      </c>
      <c r="F8" s="499" t="s">
        <v>5402</v>
      </c>
      <c r="G8" s="17" t="s">
        <v>265</v>
      </c>
      <c r="H8" s="441" t="s">
        <v>5403</v>
      </c>
      <c r="I8" s="4" t="s">
        <v>5255</v>
      </c>
      <c r="J8" s="4" t="s">
        <v>5256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22"/>
      <c r="B9" s="722" t="s">
        <v>1139</v>
      </c>
      <c r="C9" s="722"/>
      <c r="D9" s="722"/>
      <c r="E9" s="722"/>
      <c r="F9" s="722"/>
      <c r="G9" s="722"/>
      <c r="H9" s="722"/>
      <c r="I9" s="722"/>
      <c r="J9" s="722"/>
      <c r="K9" s="722"/>
      <c r="L9" s="103">
        <f>SUM(L4:L8)</f>
        <v>3000000</v>
      </c>
      <c r="M9" s="49"/>
    </row>
    <row r="10" spans="1:21" ht="25.5" customHeight="1">
      <c r="A10" s="588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4772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5268</v>
      </c>
    </row>
    <row r="11" spans="1:21" ht="25.5" customHeight="1">
      <c r="A11" s="589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5257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5268</v>
      </c>
      <c r="N11" s="449"/>
    </row>
    <row r="12" spans="1:21" ht="25.5" customHeight="1">
      <c r="A12" s="589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5247</v>
      </c>
      <c r="I12" s="493"/>
      <c r="J12" s="505" t="s">
        <v>5288</v>
      </c>
      <c r="K12" s="495" t="s">
        <v>15</v>
      </c>
      <c r="L12" s="100">
        <v>500000</v>
      </c>
      <c r="M12" s="6" t="s">
        <v>5268</v>
      </c>
    </row>
    <row r="13" spans="1:21" ht="25.5" customHeight="1">
      <c r="A13" s="589"/>
      <c r="B13" s="439">
        <v>46074</v>
      </c>
      <c r="C13" s="492" t="s">
        <v>21</v>
      </c>
      <c r="D13" s="492" t="s">
        <v>14</v>
      </c>
      <c r="E13" s="493" t="s">
        <v>5284</v>
      </c>
      <c r="F13" s="488">
        <v>222003</v>
      </c>
      <c r="G13" s="494" t="s">
        <v>5285</v>
      </c>
      <c r="H13" s="488" t="s">
        <v>5286</v>
      </c>
      <c r="I13" s="493"/>
      <c r="J13" s="499" t="s">
        <v>5283</v>
      </c>
      <c r="K13" s="495" t="s">
        <v>15</v>
      </c>
      <c r="L13" s="100">
        <v>300000</v>
      </c>
      <c r="M13" s="6" t="s">
        <v>5268</v>
      </c>
      <c r="N13" s="449"/>
    </row>
    <row r="14" spans="1:21" ht="25.5" customHeight="1">
      <c r="A14" s="590"/>
      <c r="B14" s="785" t="s">
        <v>1138</v>
      </c>
      <c r="C14" s="786"/>
      <c r="D14" s="786"/>
      <c r="E14" s="786"/>
      <c r="F14" s="786"/>
      <c r="G14" s="786"/>
      <c r="H14" s="786"/>
      <c r="I14" s="786"/>
      <c r="J14" s="786"/>
      <c r="K14" s="78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88" t="s">
        <v>62</v>
      </c>
      <c r="B15" s="788"/>
      <c r="C15" s="788"/>
      <c r="D15" s="788"/>
      <c r="E15" s="788"/>
      <c r="F15" s="788"/>
      <c r="G15" s="788"/>
      <c r="H15" s="788"/>
      <c r="I15" s="788"/>
      <c r="J15" s="788"/>
      <c r="K15" s="78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81" t="s">
        <v>3351</v>
      </c>
      <c r="B30" s="439">
        <v>46069</v>
      </c>
      <c r="C30" s="4"/>
      <c r="D30" s="4"/>
      <c r="E30" s="310"/>
      <c r="F30" s="498"/>
      <c r="G30" s="17"/>
      <c r="H30" s="459" t="s">
        <v>5086</v>
      </c>
      <c r="I30" s="498"/>
      <c r="J30" s="498"/>
      <c r="K30" s="133"/>
      <c r="L30" s="17"/>
      <c r="M30" s="8"/>
    </row>
    <row r="31" spans="1:27" ht="33" customHeight="1">
      <c r="A31" s="782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782"/>
      <c r="B32" s="439">
        <v>46070</v>
      </c>
      <c r="C32" s="4"/>
      <c r="D32" s="4"/>
      <c r="E32" s="498"/>
      <c r="F32" s="498"/>
      <c r="G32" s="17"/>
      <c r="H32" s="459" t="s">
        <v>5086</v>
      </c>
      <c r="I32" s="498"/>
      <c r="J32" s="499"/>
      <c r="K32" s="133"/>
      <c r="L32" s="17"/>
      <c r="M32" s="8"/>
    </row>
    <row r="33" spans="1:28" ht="33" customHeight="1">
      <c r="A33" s="782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782"/>
      <c r="B34" s="439">
        <v>46071</v>
      </c>
      <c r="C34" s="4"/>
      <c r="D34" s="4"/>
      <c r="E34" s="498"/>
      <c r="F34" s="498"/>
      <c r="G34" s="17"/>
      <c r="H34" s="459" t="s">
        <v>5086</v>
      </c>
      <c r="I34" s="498"/>
      <c r="J34" s="499"/>
      <c r="K34" s="133"/>
      <c r="L34" s="17"/>
      <c r="M34" s="8"/>
    </row>
    <row r="35" spans="1:28" ht="33" customHeight="1">
      <c r="A35" s="782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782"/>
      <c r="B36" s="439">
        <v>46072</v>
      </c>
      <c r="C36" s="4" t="s">
        <v>21</v>
      </c>
      <c r="D36" s="4" t="s">
        <v>17</v>
      </c>
      <c r="E36" s="310" t="s">
        <v>5229</v>
      </c>
      <c r="F36" s="498">
        <v>3307</v>
      </c>
      <c r="G36" s="17" t="s">
        <v>813</v>
      </c>
      <c r="H36" s="488" t="s">
        <v>5236</v>
      </c>
      <c r="I36" s="498" t="s">
        <v>5230</v>
      </c>
      <c r="J36" s="498" t="s">
        <v>5231</v>
      </c>
      <c r="K36" s="133"/>
      <c r="L36" s="17">
        <v>2</v>
      </c>
      <c r="M36" s="484" t="s">
        <v>5272</v>
      </c>
    </row>
    <row r="37" spans="1:28" ht="33" customHeight="1">
      <c r="A37" s="782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5273</v>
      </c>
    </row>
    <row r="38" spans="1:28" ht="33" customHeight="1">
      <c r="A38" s="782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5241</v>
      </c>
      <c r="I38" s="493" t="s">
        <v>90</v>
      </c>
      <c r="J38" s="488" t="s">
        <v>5244</v>
      </c>
      <c r="K38" s="495" t="s">
        <v>15</v>
      </c>
      <c r="L38" s="494">
        <v>4</v>
      </c>
      <c r="M38" s="506" t="s">
        <v>5274</v>
      </c>
    </row>
    <row r="39" spans="1:28" ht="33" customHeight="1">
      <c r="A39" s="782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4772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782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5247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783"/>
      <c r="B41" s="440"/>
      <c r="C41" s="4" t="s">
        <v>312</v>
      </c>
      <c r="D41" s="4" t="s">
        <v>321</v>
      </c>
      <c r="E41" s="498" t="s">
        <v>5276</v>
      </c>
      <c r="F41" s="498">
        <v>222003</v>
      </c>
      <c r="G41" s="17" t="s">
        <v>3152</v>
      </c>
      <c r="H41" s="499" t="s">
        <v>5282</v>
      </c>
      <c r="I41" s="499"/>
      <c r="J41" s="499" t="s">
        <v>5279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5144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5177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5188</v>
      </c>
      <c r="H4" s="441" t="s">
        <v>5190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22"/>
      <c r="B5" s="439" t="s">
        <v>5178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5189</v>
      </c>
      <c r="H5" s="441" t="s">
        <v>5191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722"/>
      <c r="B6" s="439" t="s">
        <v>5177</v>
      </c>
      <c r="C6" s="4" t="s">
        <v>125</v>
      </c>
      <c r="D6" s="4" t="s">
        <v>152</v>
      </c>
      <c r="E6" s="4" t="s">
        <v>308</v>
      </c>
      <c r="F6" s="155" t="s">
        <v>5181</v>
      </c>
      <c r="G6" s="17" t="s">
        <v>5182</v>
      </c>
      <c r="H6" s="441" t="s">
        <v>5183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5179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22"/>
      <c r="B7" s="439" t="s">
        <v>5178</v>
      </c>
      <c r="C7" s="4" t="s">
        <v>125</v>
      </c>
      <c r="D7" s="4" t="s">
        <v>152</v>
      </c>
      <c r="E7" s="4" t="s">
        <v>308</v>
      </c>
      <c r="F7" s="207" t="s">
        <v>5070</v>
      </c>
      <c r="G7" s="17" t="s">
        <v>265</v>
      </c>
      <c r="H7" s="441" t="s">
        <v>5183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5180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22"/>
      <c r="B8" s="439" t="s">
        <v>5176</v>
      </c>
      <c r="C8" s="4" t="s">
        <v>125</v>
      </c>
      <c r="D8" s="4" t="s">
        <v>152</v>
      </c>
      <c r="E8" s="4" t="s">
        <v>308</v>
      </c>
      <c r="F8" s="207" t="s">
        <v>5184</v>
      </c>
      <c r="G8" s="17" t="s">
        <v>5185</v>
      </c>
      <c r="H8" s="441" t="s">
        <v>5186</v>
      </c>
      <c r="I8" s="4" t="s">
        <v>169</v>
      </c>
      <c r="J8" s="4" t="s">
        <v>5187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22"/>
      <c r="B9" s="722" t="s">
        <v>1139</v>
      </c>
      <c r="C9" s="722"/>
      <c r="D9" s="722"/>
      <c r="E9" s="722"/>
      <c r="F9" s="722"/>
      <c r="G9" s="722"/>
      <c r="H9" s="722"/>
      <c r="I9" s="722"/>
      <c r="J9" s="722"/>
      <c r="K9" s="722"/>
      <c r="L9" s="103">
        <f>SUM(L4:L8)</f>
        <v>3750000</v>
      </c>
      <c r="M9" s="49"/>
    </row>
    <row r="10" spans="1:20" ht="25.5" customHeight="1">
      <c r="A10" s="588" t="s">
        <v>21</v>
      </c>
      <c r="B10" s="439">
        <v>46057</v>
      </c>
      <c r="C10" s="4" t="s">
        <v>21</v>
      </c>
      <c r="D10" s="4" t="s">
        <v>17</v>
      </c>
      <c r="E10" s="34" t="s">
        <v>5141</v>
      </c>
      <c r="F10" s="207">
        <v>222003</v>
      </c>
      <c r="G10" s="17" t="s">
        <v>5142</v>
      </c>
      <c r="H10" s="334" t="s">
        <v>5145</v>
      </c>
      <c r="I10" s="34"/>
      <c r="J10" s="34" t="s">
        <v>5143</v>
      </c>
      <c r="K10" s="133" t="s">
        <v>15</v>
      </c>
      <c r="L10" s="100">
        <v>250000</v>
      </c>
      <c r="M10" s="6" t="s">
        <v>5146</v>
      </c>
    </row>
    <row r="11" spans="1:20" ht="25.5" customHeight="1">
      <c r="A11" s="589"/>
      <c r="B11" s="439">
        <v>46058</v>
      </c>
      <c r="C11" s="4" t="s">
        <v>21</v>
      </c>
      <c r="D11" s="4" t="s">
        <v>14</v>
      </c>
      <c r="E11" s="34" t="s">
        <v>5005</v>
      </c>
      <c r="F11" s="34" t="s">
        <v>2840</v>
      </c>
      <c r="G11" s="17" t="s">
        <v>5120</v>
      </c>
      <c r="H11" s="207" t="s">
        <v>5148</v>
      </c>
      <c r="I11" s="34"/>
      <c r="J11" s="34" t="s">
        <v>5149</v>
      </c>
      <c r="K11" s="133" t="s">
        <v>32</v>
      </c>
      <c r="L11" s="100">
        <v>500000</v>
      </c>
      <c r="M11" s="6" t="s">
        <v>5146</v>
      </c>
    </row>
    <row r="12" spans="1:20" ht="25.5" customHeight="1">
      <c r="A12" s="589"/>
      <c r="B12" s="439">
        <v>46059</v>
      </c>
      <c r="C12" s="4" t="s">
        <v>21</v>
      </c>
      <c r="D12" s="4" t="s">
        <v>14</v>
      </c>
      <c r="E12" s="34" t="s">
        <v>5005</v>
      </c>
      <c r="F12" s="34" t="s">
        <v>2840</v>
      </c>
      <c r="G12" s="17" t="s">
        <v>1395</v>
      </c>
      <c r="H12" s="334" t="s">
        <v>5155</v>
      </c>
      <c r="I12" s="34"/>
      <c r="J12" s="34" t="s">
        <v>5160</v>
      </c>
      <c r="K12" s="133" t="s">
        <v>32</v>
      </c>
      <c r="L12" s="100">
        <v>250000</v>
      </c>
      <c r="M12" s="6" t="s">
        <v>5161</v>
      </c>
    </row>
    <row r="13" spans="1:20" ht="25.5" customHeight="1">
      <c r="A13" s="58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5167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5192</v>
      </c>
      <c r="N13" s="449"/>
    </row>
    <row r="14" spans="1:20" ht="25.5" customHeight="1">
      <c r="A14" s="58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5027</v>
      </c>
      <c r="G14" s="485" t="s">
        <v>5026</v>
      </c>
      <c r="H14" s="207" t="s">
        <v>5166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5193</v>
      </c>
    </row>
    <row r="15" spans="1:20" ht="25.5" customHeight="1">
      <c r="A15" s="589"/>
      <c r="B15" s="439">
        <v>46066</v>
      </c>
      <c r="C15" s="4" t="s">
        <v>21</v>
      </c>
      <c r="D15" s="4" t="s">
        <v>14</v>
      </c>
      <c r="E15" s="334" t="s">
        <v>5196</v>
      </c>
      <c r="F15" s="34" t="s">
        <v>5197</v>
      </c>
      <c r="G15" s="17" t="s">
        <v>5198</v>
      </c>
      <c r="H15" s="334" t="s">
        <v>5199</v>
      </c>
      <c r="I15" s="34" t="s">
        <v>5195</v>
      </c>
      <c r="J15" s="34" t="s">
        <v>5200</v>
      </c>
      <c r="K15" s="133" t="s">
        <v>32</v>
      </c>
      <c r="L15" s="100">
        <v>550000</v>
      </c>
      <c r="M15" s="6" t="s">
        <v>5192</v>
      </c>
    </row>
    <row r="16" spans="1:20" ht="25.5" customHeight="1">
      <c r="A16" s="58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5001</v>
      </c>
      <c r="I16" s="34"/>
      <c r="J16" s="34" t="s">
        <v>489</v>
      </c>
      <c r="K16" s="133" t="s">
        <v>32</v>
      </c>
      <c r="L16" s="100">
        <v>500000</v>
      </c>
      <c r="M16" s="6" t="s">
        <v>5194</v>
      </c>
    </row>
    <row r="17" spans="1:27" ht="25.5" customHeight="1">
      <c r="A17" s="590"/>
      <c r="B17" s="785" t="s">
        <v>1138</v>
      </c>
      <c r="C17" s="786"/>
      <c r="D17" s="786"/>
      <c r="E17" s="786"/>
      <c r="F17" s="786"/>
      <c r="G17" s="786"/>
      <c r="H17" s="786"/>
      <c r="I17" s="786"/>
      <c r="J17" s="786"/>
      <c r="K17" s="78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88" t="s">
        <v>62</v>
      </c>
      <c r="B18" s="788"/>
      <c r="C18" s="788"/>
      <c r="D18" s="788"/>
      <c r="E18" s="788"/>
      <c r="F18" s="788"/>
      <c r="G18" s="788"/>
      <c r="H18" s="788"/>
      <c r="I18" s="788"/>
      <c r="J18" s="788"/>
      <c r="K18" s="78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81" t="s">
        <v>5165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4738</v>
      </c>
      <c r="G33" s="17" t="s">
        <v>4721</v>
      </c>
      <c r="H33" s="207" t="s">
        <v>5066</v>
      </c>
      <c r="I33" s="34" t="s">
        <v>203</v>
      </c>
      <c r="J33" s="207" t="s">
        <v>5064</v>
      </c>
      <c r="K33" s="133" t="s">
        <v>15</v>
      </c>
      <c r="L33" s="17"/>
      <c r="M33" s="484" t="s">
        <v>5169</v>
      </c>
    </row>
    <row r="34" spans="1:21" ht="33" customHeight="1">
      <c r="A34" s="78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5170</v>
      </c>
    </row>
    <row r="35" spans="1:21" ht="33" customHeight="1">
      <c r="A35" s="78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5063</v>
      </c>
      <c r="I35" s="34" t="s">
        <v>90</v>
      </c>
      <c r="J35" s="207" t="s">
        <v>5064</v>
      </c>
      <c r="K35" s="133" t="s">
        <v>15</v>
      </c>
      <c r="L35" s="17"/>
      <c r="M35" s="8" t="s">
        <v>5171</v>
      </c>
    </row>
    <row r="36" spans="1:21" ht="33" customHeight="1">
      <c r="A36" s="78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5168</v>
      </c>
      <c r="I36" s="34" t="s">
        <v>5158</v>
      </c>
      <c r="J36" s="34" t="s">
        <v>3636</v>
      </c>
      <c r="K36" s="133" t="s">
        <v>15</v>
      </c>
      <c r="L36" s="17"/>
      <c r="M36" s="8" t="s">
        <v>5172</v>
      </c>
    </row>
    <row r="37" spans="1:21" ht="33" customHeight="1">
      <c r="A37" s="78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5063</v>
      </c>
      <c r="I37" s="34" t="s">
        <v>203</v>
      </c>
      <c r="J37" s="207" t="s">
        <v>5064</v>
      </c>
      <c r="K37" s="133" t="s">
        <v>15</v>
      </c>
      <c r="L37" s="17"/>
      <c r="M37" s="8" t="s">
        <v>5174</v>
      </c>
    </row>
    <row r="38" spans="1:21" ht="33" customHeight="1">
      <c r="A38" s="78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5167</v>
      </c>
      <c r="I38" s="34" t="s">
        <v>90</v>
      </c>
      <c r="J38" s="207" t="s">
        <v>3162</v>
      </c>
      <c r="K38" s="133" t="s">
        <v>32</v>
      </c>
      <c r="L38" s="17"/>
      <c r="M38" s="321" t="s">
        <v>5173</v>
      </c>
    </row>
    <row r="39" spans="1:21" ht="33" customHeight="1">
      <c r="A39" s="78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4738</v>
      </c>
      <c r="G39" s="17" t="s">
        <v>4721</v>
      </c>
      <c r="H39" s="207" t="s">
        <v>5067</v>
      </c>
      <c r="I39" s="34" t="s">
        <v>203</v>
      </c>
      <c r="J39" s="207" t="s">
        <v>5064</v>
      </c>
      <c r="K39" s="133" t="s">
        <v>15</v>
      </c>
      <c r="L39" s="17"/>
      <c r="M39" s="321" t="s">
        <v>5175</v>
      </c>
    </row>
    <row r="40" spans="1:21" ht="33" customHeight="1">
      <c r="A40" s="78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8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5027</v>
      </c>
      <c r="G41" s="467" t="s">
        <v>5026</v>
      </c>
      <c r="H41" s="207" t="s">
        <v>5166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8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5001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82"/>
      <c r="B43" s="444"/>
      <c r="C43" s="4" t="s">
        <v>21</v>
      </c>
      <c r="D43" s="4" t="s">
        <v>14</v>
      </c>
      <c r="E43" s="334" t="s">
        <v>5196</v>
      </c>
      <c r="F43" s="34" t="s">
        <v>5197</v>
      </c>
      <c r="G43" s="17" t="s">
        <v>5198</v>
      </c>
      <c r="H43" s="334" t="s">
        <v>5199</v>
      </c>
      <c r="I43" s="34" t="s">
        <v>5195</v>
      </c>
      <c r="J43" s="34" t="s">
        <v>5200</v>
      </c>
      <c r="K43" s="133" t="s">
        <v>32</v>
      </c>
      <c r="L43" s="17"/>
      <c r="M43" s="8"/>
    </row>
    <row r="44" spans="1:21" ht="33" customHeight="1">
      <c r="A44" s="78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8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4938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4995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4996</v>
      </c>
      <c r="I4" s="4" t="s">
        <v>4998</v>
      </c>
      <c r="J4" s="4" t="s">
        <v>4997</v>
      </c>
      <c r="K4" s="4"/>
      <c r="L4" s="103">
        <v>1000000</v>
      </c>
      <c r="M4" s="6" t="s">
        <v>5000</v>
      </c>
    </row>
    <row r="5" spans="1:20" ht="27.75" customHeight="1">
      <c r="A5" s="722"/>
      <c r="B5" s="439" t="s">
        <v>5060</v>
      </c>
      <c r="C5" s="4" t="s">
        <v>125</v>
      </c>
      <c r="D5" s="4" t="s">
        <v>152</v>
      </c>
      <c r="E5" s="4" t="s">
        <v>308</v>
      </c>
      <c r="F5" s="207" t="s">
        <v>5070</v>
      </c>
      <c r="G5" s="17" t="s">
        <v>5071</v>
      </c>
      <c r="H5" s="441" t="s">
        <v>5072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22"/>
      <c r="B6" s="439" t="s">
        <v>5061</v>
      </c>
      <c r="C6" s="4" t="s">
        <v>125</v>
      </c>
      <c r="D6" s="4" t="s">
        <v>152</v>
      </c>
      <c r="E6" s="4" t="s">
        <v>308</v>
      </c>
      <c r="F6" s="155" t="s">
        <v>5075</v>
      </c>
      <c r="G6" s="17" t="s">
        <v>5074</v>
      </c>
      <c r="H6" s="441" t="s">
        <v>5073</v>
      </c>
      <c r="I6" s="4" t="s">
        <v>169</v>
      </c>
      <c r="J6" s="4" t="s">
        <v>5059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722"/>
      <c r="B7" s="439" t="s">
        <v>5062</v>
      </c>
      <c r="C7" s="4" t="s">
        <v>125</v>
      </c>
      <c r="D7" s="4" t="s">
        <v>152</v>
      </c>
      <c r="E7" s="4" t="s">
        <v>308</v>
      </c>
      <c r="F7" s="207" t="s">
        <v>5076</v>
      </c>
      <c r="G7" s="17" t="s">
        <v>5077</v>
      </c>
      <c r="H7" s="441" t="s">
        <v>5078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22"/>
      <c r="B8" s="439" t="s">
        <v>5061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5079</v>
      </c>
      <c r="H8" s="441" t="s">
        <v>5080</v>
      </c>
      <c r="I8" s="4" t="s">
        <v>169</v>
      </c>
      <c r="J8" s="4" t="s">
        <v>4726</v>
      </c>
      <c r="K8" s="4"/>
      <c r="L8" s="103">
        <v>500000</v>
      </c>
      <c r="M8" s="6"/>
      <c r="P8" s="34" t="s">
        <v>4781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22"/>
      <c r="B9" s="439" t="s">
        <v>5062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5081</v>
      </c>
      <c r="H9" s="441" t="s">
        <v>5073</v>
      </c>
      <c r="I9" s="4" t="s">
        <v>169</v>
      </c>
      <c r="J9" s="4" t="s">
        <v>4725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22"/>
      <c r="B10" s="722" t="s">
        <v>1139</v>
      </c>
      <c r="C10" s="722"/>
      <c r="D10" s="722"/>
      <c r="E10" s="722"/>
      <c r="F10" s="722"/>
      <c r="G10" s="722"/>
      <c r="H10" s="722"/>
      <c r="I10" s="722"/>
      <c r="J10" s="722"/>
      <c r="K10" s="722"/>
      <c r="L10" s="103">
        <f>SUM(L4:L9)</f>
        <v>4750000</v>
      </c>
      <c r="M10" s="49"/>
    </row>
    <row r="11" spans="1:20" ht="25.5" customHeight="1">
      <c r="A11" s="58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5056</v>
      </c>
      <c r="I11" s="207"/>
      <c r="J11" s="207" t="s">
        <v>5030</v>
      </c>
      <c r="K11" s="133" t="s">
        <v>15</v>
      </c>
      <c r="L11" s="100">
        <v>500000</v>
      </c>
      <c r="M11" s="6" t="s">
        <v>5095</v>
      </c>
    </row>
    <row r="12" spans="1:20" ht="25.5" customHeight="1">
      <c r="A12" s="58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5057</v>
      </c>
      <c r="I12" s="207"/>
      <c r="J12" s="207" t="s">
        <v>5030</v>
      </c>
      <c r="K12" s="133" t="s">
        <v>15</v>
      </c>
      <c r="L12" s="100">
        <v>500000</v>
      </c>
      <c r="M12" s="6" t="s">
        <v>5096</v>
      </c>
    </row>
    <row r="13" spans="1:20" ht="25.5" customHeight="1">
      <c r="A13" s="589"/>
      <c r="B13" s="439">
        <v>46057</v>
      </c>
      <c r="C13" s="4" t="s">
        <v>21</v>
      </c>
      <c r="D13" s="4" t="s">
        <v>14</v>
      </c>
      <c r="E13" s="34" t="s">
        <v>5005</v>
      </c>
      <c r="F13" s="34" t="s">
        <v>2840</v>
      </c>
      <c r="G13" s="17" t="s">
        <v>4854</v>
      </c>
      <c r="H13" s="334" t="s">
        <v>5054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5097</v>
      </c>
    </row>
    <row r="14" spans="1:20" ht="25.5" customHeight="1">
      <c r="A14" s="589"/>
      <c r="B14" s="439">
        <v>46057</v>
      </c>
      <c r="C14" s="4" t="s">
        <v>21</v>
      </c>
      <c r="D14" s="4" t="s">
        <v>14</v>
      </c>
      <c r="E14" s="34" t="s">
        <v>5005</v>
      </c>
      <c r="F14" s="34" t="s">
        <v>2840</v>
      </c>
      <c r="G14" s="17" t="s">
        <v>4854</v>
      </c>
      <c r="H14" s="334" t="s">
        <v>5055</v>
      </c>
      <c r="I14" s="34" t="s">
        <v>90</v>
      </c>
      <c r="J14" s="34" t="s">
        <v>5058</v>
      </c>
      <c r="K14" s="133" t="s">
        <v>32</v>
      </c>
      <c r="L14" s="100">
        <v>300000</v>
      </c>
      <c r="M14" s="6" t="s">
        <v>5097</v>
      </c>
      <c r="N14" s="449"/>
    </row>
    <row r="15" spans="1:20" ht="25.5" customHeight="1">
      <c r="A15" s="589"/>
      <c r="B15" s="439" t="s">
        <v>5082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5112</v>
      </c>
      <c r="I15" s="34"/>
      <c r="J15" s="34" t="s">
        <v>489</v>
      </c>
      <c r="K15" s="133" t="s">
        <v>15</v>
      </c>
      <c r="L15" s="100">
        <v>500000</v>
      </c>
      <c r="M15" s="6" t="s">
        <v>5096</v>
      </c>
    </row>
    <row r="16" spans="1:20" ht="25.5" customHeight="1">
      <c r="A16" s="589"/>
      <c r="B16" s="439" t="s">
        <v>5082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5100</v>
      </c>
      <c r="I16" s="34"/>
      <c r="J16" s="34" t="s">
        <v>5083</v>
      </c>
      <c r="K16" s="133" t="s">
        <v>15</v>
      </c>
      <c r="L16" s="100">
        <v>600000</v>
      </c>
      <c r="M16" s="6" t="s">
        <v>5098</v>
      </c>
      <c r="N16" s="449"/>
    </row>
    <row r="17" spans="1:27" ht="25.5" customHeight="1">
      <c r="A17" s="589"/>
      <c r="B17" s="439" t="s">
        <v>5082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5096</v>
      </c>
    </row>
    <row r="18" spans="1:27" ht="25.5" customHeight="1">
      <c r="A18" s="480"/>
      <c r="B18" s="785" t="s">
        <v>1138</v>
      </c>
      <c r="C18" s="786"/>
      <c r="D18" s="786"/>
      <c r="E18" s="786"/>
      <c r="F18" s="786"/>
      <c r="G18" s="786"/>
      <c r="H18" s="786"/>
      <c r="I18" s="786"/>
      <c r="J18" s="786"/>
      <c r="K18" s="78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88" t="s">
        <v>62</v>
      </c>
      <c r="B19" s="788"/>
      <c r="C19" s="788"/>
      <c r="D19" s="788"/>
      <c r="E19" s="788"/>
      <c r="F19" s="788"/>
      <c r="G19" s="788"/>
      <c r="H19" s="788"/>
      <c r="I19" s="788"/>
      <c r="J19" s="788"/>
      <c r="K19" s="78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81" t="s">
        <v>5043</v>
      </c>
      <c r="B34" s="439">
        <v>46055</v>
      </c>
      <c r="C34" s="4" t="s">
        <v>312</v>
      </c>
      <c r="D34" s="4" t="s">
        <v>677</v>
      </c>
      <c r="E34" s="6" t="s">
        <v>5032</v>
      </c>
      <c r="F34" s="6">
        <v>1017</v>
      </c>
      <c r="G34" s="296" t="s">
        <v>349</v>
      </c>
      <c r="H34" s="207" t="s">
        <v>5093</v>
      </c>
      <c r="I34" s="207"/>
      <c r="J34" s="207" t="s">
        <v>694</v>
      </c>
      <c r="K34" s="133" t="s">
        <v>310</v>
      </c>
      <c r="L34" s="17">
        <v>2</v>
      </c>
      <c r="M34" s="8" t="s">
        <v>5031</v>
      </c>
    </row>
    <row r="35" spans="1:20" ht="35.25" customHeight="1">
      <c r="A35" s="782"/>
      <c r="B35" s="444"/>
      <c r="C35" s="4" t="s">
        <v>312</v>
      </c>
      <c r="D35" s="4" t="s">
        <v>321</v>
      </c>
      <c r="E35" s="334" t="s">
        <v>2613</v>
      </c>
      <c r="F35" s="207" t="s">
        <v>5033</v>
      </c>
      <c r="G35" s="17" t="s">
        <v>3200</v>
      </c>
      <c r="H35" s="207" t="s">
        <v>5034</v>
      </c>
      <c r="I35" s="34" t="s">
        <v>640</v>
      </c>
      <c r="J35" s="34"/>
      <c r="K35" s="133" t="s">
        <v>310</v>
      </c>
      <c r="L35" s="17">
        <v>1</v>
      </c>
      <c r="M35" s="321" t="s">
        <v>5042</v>
      </c>
    </row>
    <row r="36" spans="1:20" ht="35.25" customHeight="1">
      <c r="A36" s="782"/>
      <c r="B36" s="439">
        <v>46056</v>
      </c>
      <c r="C36" s="4" t="s">
        <v>312</v>
      </c>
      <c r="D36" s="4" t="s">
        <v>677</v>
      </c>
      <c r="E36" s="6" t="s">
        <v>5032</v>
      </c>
      <c r="F36" s="6">
        <v>1017</v>
      </c>
      <c r="G36" s="296" t="s">
        <v>349</v>
      </c>
      <c r="H36" s="207" t="s">
        <v>5099</v>
      </c>
      <c r="I36" s="207"/>
      <c r="J36" s="207" t="s">
        <v>694</v>
      </c>
      <c r="K36" s="133" t="s">
        <v>310</v>
      </c>
      <c r="L36" s="17">
        <v>2</v>
      </c>
      <c r="M36" s="8" t="s">
        <v>5044</v>
      </c>
    </row>
    <row r="37" spans="1:20" ht="35.25" customHeight="1">
      <c r="A37" s="782"/>
      <c r="B37" s="444"/>
      <c r="C37" s="4" t="s">
        <v>312</v>
      </c>
      <c r="D37" s="4" t="s">
        <v>321</v>
      </c>
      <c r="E37" s="34" t="s">
        <v>2613</v>
      </c>
      <c r="F37" s="34" t="s">
        <v>5035</v>
      </c>
      <c r="G37" s="17"/>
      <c r="H37" s="207" t="s">
        <v>5036</v>
      </c>
      <c r="I37" s="207" t="s">
        <v>5037</v>
      </c>
      <c r="J37" s="207"/>
      <c r="K37" s="133" t="s">
        <v>310</v>
      </c>
      <c r="L37" s="17">
        <v>3</v>
      </c>
      <c r="M37" s="8"/>
    </row>
    <row r="38" spans="1:20" ht="35.25" customHeight="1">
      <c r="A38" s="78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82"/>
      <c r="B39" s="444"/>
      <c r="C39" s="4" t="s">
        <v>312</v>
      </c>
      <c r="D39" s="4" t="s">
        <v>677</v>
      </c>
      <c r="E39" s="34" t="s">
        <v>5084</v>
      </c>
      <c r="F39" s="34">
        <v>3006</v>
      </c>
      <c r="G39" s="17" t="s">
        <v>349</v>
      </c>
      <c r="H39" s="207" t="s">
        <v>5101</v>
      </c>
      <c r="I39" s="34"/>
      <c r="J39" s="34" t="s">
        <v>5085</v>
      </c>
      <c r="K39" s="133" t="s">
        <v>310</v>
      </c>
      <c r="L39" s="17">
        <v>2</v>
      </c>
      <c r="M39" s="8"/>
    </row>
    <row r="40" spans="1:20" ht="35.25" customHeight="1">
      <c r="A40" s="782"/>
      <c r="B40" s="439">
        <v>46057</v>
      </c>
      <c r="C40" s="4" t="s">
        <v>312</v>
      </c>
      <c r="D40" s="4" t="s">
        <v>321</v>
      </c>
      <c r="E40" s="34" t="s">
        <v>5038</v>
      </c>
      <c r="F40" s="207" t="s">
        <v>5039</v>
      </c>
      <c r="G40" s="17" t="s">
        <v>5040</v>
      </c>
      <c r="H40" s="334" t="s">
        <v>5091</v>
      </c>
      <c r="I40" s="34" t="s">
        <v>640</v>
      </c>
      <c r="J40" s="34" t="s">
        <v>5041</v>
      </c>
      <c r="K40" s="133" t="s">
        <v>310</v>
      </c>
      <c r="L40" s="17">
        <v>3</v>
      </c>
      <c r="M40" s="321" t="s">
        <v>5045</v>
      </c>
    </row>
    <row r="41" spans="1:20" ht="35.25" customHeight="1">
      <c r="A41" s="782"/>
      <c r="B41" s="444"/>
      <c r="C41" s="4" t="s">
        <v>312</v>
      </c>
      <c r="D41" s="4" t="s">
        <v>677</v>
      </c>
      <c r="E41" s="34" t="s">
        <v>5084</v>
      </c>
      <c r="F41" s="310">
        <v>3006</v>
      </c>
      <c r="G41" s="17" t="s">
        <v>349</v>
      </c>
      <c r="H41" s="207" t="s">
        <v>5101</v>
      </c>
      <c r="I41" s="34"/>
      <c r="J41" s="207" t="s">
        <v>5052</v>
      </c>
      <c r="K41" s="133" t="s">
        <v>310</v>
      </c>
      <c r="L41" s="17">
        <v>2</v>
      </c>
      <c r="M41" s="321" t="s">
        <v>5046</v>
      </c>
    </row>
    <row r="42" spans="1:20" ht="35.25" customHeight="1">
      <c r="A42" s="78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5047</v>
      </c>
    </row>
    <row r="43" spans="1:20" ht="35.25" customHeight="1">
      <c r="A43" s="78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5048</v>
      </c>
    </row>
    <row r="44" spans="1:20" ht="35.25" customHeight="1">
      <c r="A44" s="78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5049</v>
      </c>
    </row>
    <row r="45" spans="1:20" ht="35.25" customHeight="1">
      <c r="A45" s="78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5050</v>
      </c>
      <c r="O45" s="18"/>
    </row>
    <row r="46" spans="1:20" ht="35.25" customHeight="1">
      <c r="A46" s="78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8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4937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4939</v>
      </c>
      <c r="C4" s="4" t="s">
        <v>4932</v>
      </c>
      <c r="D4" s="4" t="s">
        <v>4933</v>
      </c>
      <c r="E4" s="4" t="s">
        <v>308</v>
      </c>
      <c r="F4" s="207" t="s">
        <v>3367</v>
      </c>
      <c r="G4" s="17" t="s">
        <v>23</v>
      </c>
      <c r="H4" s="441" t="s">
        <v>4946</v>
      </c>
      <c r="I4" s="4" t="s">
        <v>4934</v>
      </c>
      <c r="J4" s="4" t="s">
        <v>4981</v>
      </c>
      <c r="K4" s="4"/>
      <c r="L4" s="103">
        <v>1250000</v>
      </c>
      <c r="M4" s="6" t="s">
        <v>4999</v>
      </c>
    </row>
    <row r="5" spans="1:20" ht="27.75" customHeight="1">
      <c r="A5" s="722"/>
      <c r="B5" s="439" t="s">
        <v>4927</v>
      </c>
      <c r="C5" s="4" t="s">
        <v>19</v>
      </c>
      <c r="D5" s="4" t="s">
        <v>4933</v>
      </c>
      <c r="E5" s="4" t="s">
        <v>308</v>
      </c>
      <c r="F5" s="155" t="s">
        <v>4951</v>
      </c>
      <c r="G5" s="17" t="s">
        <v>3501</v>
      </c>
      <c r="H5" s="441" t="s">
        <v>4950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72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4947</v>
      </c>
      <c r="I6" s="4" t="s">
        <v>3658</v>
      </c>
      <c r="J6" s="4" t="s">
        <v>4930</v>
      </c>
      <c r="K6" s="4"/>
      <c r="L6" s="103">
        <v>250000</v>
      </c>
      <c r="M6" s="6"/>
    </row>
    <row r="7" spans="1:20" ht="27.75" customHeight="1">
      <c r="A7" s="722"/>
      <c r="B7" s="439" t="s">
        <v>4929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4948</v>
      </c>
      <c r="H7" s="441" t="s">
        <v>4949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722"/>
      <c r="B8" s="439" t="s">
        <v>4928</v>
      </c>
      <c r="C8" s="4" t="s">
        <v>307</v>
      </c>
      <c r="D8" s="4" t="s">
        <v>323</v>
      </c>
      <c r="E8" s="4" t="s">
        <v>308</v>
      </c>
      <c r="F8" s="207" t="s">
        <v>4943</v>
      </c>
      <c r="G8" s="133" t="s">
        <v>4945</v>
      </c>
      <c r="H8" s="441" t="s">
        <v>3548</v>
      </c>
      <c r="I8" s="4" t="s">
        <v>3658</v>
      </c>
      <c r="J8" s="4" t="s">
        <v>4726</v>
      </c>
      <c r="K8" s="4"/>
      <c r="L8" s="103">
        <v>750000</v>
      </c>
      <c r="M8" s="6"/>
    </row>
    <row r="9" spans="1:20" ht="27.75" customHeight="1">
      <c r="A9" s="722"/>
      <c r="B9" s="439" t="s">
        <v>4942</v>
      </c>
      <c r="C9" s="4" t="s">
        <v>307</v>
      </c>
      <c r="D9" s="4" t="s">
        <v>323</v>
      </c>
      <c r="E9" s="4" t="s">
        <v>308</v>
      </c>
      <c r="F9" s="207" t="s">
        <v>4944</v>
      </c>
      <c r="G9" s="133" t="s">
        <v>171</v>
      </c>
      <c r="H9" s="441" t="s">
        <v>2990</v>
      </c>
      <c r="I9" s="4" t="s">
        <v>3658</v>
      </c>
      <c r="J9" s="4" t="s">
        <v>4941</v>
      </c>
      <c r="K9" s="4"/>
      <c r="L9" s="103">
        <v>500000</v>
      </c>
      <c r="M9" s="6"/>
    </row>
    <row r="10" spans="1:20" ht="26.25" customHeight="1">
      <c r="A10" s="722"/>
      <c r="B10" s="722" t="s">
        <v>1139</v>
      </c>
      <c r="C10" s="722"/>
      <c r="D10" s="722"/>
      <c r="E10" s="722"/>
      <c r="F10" s="722"/>
      <c r="G10" s="722"/>
      <c r="H10" s="722"/>
      <c r="I10" s="722"/>
      <c r="J10" s="722"/>
      <c r="K10" s="72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8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4868</v>
      </c>
      <c r="H11" s="207" t="s">
        <v>4869</v>
      </c>
      <c r="I11" s="34"/>
      <c r="J11" s="34" t="s">
        <v>4871</v>
      </c>
      <c r="K11" s="133" t="s">
        <v>15</v>
      </c>
      <c r="L11" s="100">
        <v>500000</v>
      </c>
      <c r="M11" s="6" t="s">
        <v>4870</v>
      </c>
      <c r="P11" s="34" t="s">
        <v>4963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8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4863</v>
      </c>
      <c r="H12" s="207" t="s">
        <v>4872</v>
      </c>
      <c r="I12" s="34"/>
      <c r="J12" s="34" t="s">
        <v>4865</v>
      </c>
      <c r="K12" s="133" t="s">
        <v>15</v>
      </c>
      <c r="L12" s="100">
        <v>300000</v>
      </c>
      <c r="M12" s="6" t="s">
        <v>4870</v>
      </c>
      <c r="N12" s="449"/>
      <c r="P12" s="34" t="s">
        <v>4964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8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4844</v>
      </c>
      <c r="I13" s="34"/>
      <c r="J13" s="34" t="s">
        <v>508</v>
      </c>
      <c r="K13" s="133" t="s">
        <v>15</v>
      </c>
      <c r="L13" s="100">
        <v>750000</v>
      </c>
      <c r="M13" s="6" t="s">
        <v>4845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89"/>
      <c r="B14" s="439" t="s">
        <v>4924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5004</v>
      </c>
      <c r="I14" s="34"/>
      <c r="J14" s="34" t="s">
        <v>4923</v>
      </c>
      <c r="K14" s="133" t="s">
        <v>15</v>
      </c>
      <c r="L14" s="100">
        <v>1000000</v>
      </c>
      <c r="M14" s="6" t="s">
        <v>4952</v>
      </c>
    </row>
    <row r="15" spans="1:20" ht="25.5" customHeight="1">
      <c r="A15" s="58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4859</v>
      </c>
      <c r="I15" s="34" t="s">
        <v>4700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8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4935</v>
      </c>
      <c r="I16" s="34" t="s">
        <v>4902</v>
      </c>
      <c r="J16" s="34" t="s">
        <v>3003</v>
      </c>
      <c r="K16" s="133" t="s">
        <v>15</v>
      </c>
      <c r="L16" s="100">
        <v>250000</v>
      </c>
      <c r="M16" s="6" t="s">
        <v>4954</v>
      </c>
    </row>
    <row r="17" spans="1:27" ht="25.5" customHeight="1">
      <c r="A17" s="589"/>
      <c r="B17" s="439" t="s">
        <v>4925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4908</v>
      </c>
      <c r="I17" s="34"/>
      <c r="J17" s="34" t="s">
        <v>4926</v>
      </c>
      <c r="K17" s="133" t="s">
        <v>42</v>
      </c>
      <c r="L17" s="100">
        <v>1500000</v>
      </c>
      <c r="M17" s="6" t="s">
        <v>4953</v>
      </c>
    </row>
    <row r="18" spans="1:27" ht="25.5" customHeight="1">
      <c r="A18" s="58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4854</v>
      </c>
      <c r="H18" s="310" t="s">
        <v>4921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4953</v>
      </c>
      <c r="N18" s="449"/>
    </row>
    <row r="19" spans="1:27" ht="25.5" customHeight="1">
      <c r="A19" s="480"/>
      <c r="B19" s="785" t="s">
        <v>1138</v>
      </c>
      <c r="C19" s="786"/>
      <c r="D19" s="786"/>
      <c r="E19" s="786"/>
      <c r="F19" s="786"/>
      <c r="G19" s="786"/>
      <c r="H19" s="786"/>
      <c r="I19" s="786"/>
      <c r="J19" s="786"/>
      <c r="K19" s="78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88" t="s">
        <v>62</v>
      </c>
      <c r="B20" s="788"/>
      <c r="C20" s="788"/>
      <c r="D20" s="788"/>
      <c r="E20" s="788"/>
      <c r="F20" s="788"/>
      <c r="G20" s="788"/>
      <c r="H20" s="788"/>
      <c r="I20" s="788"/>
      <c r="J20" s="788"/>
      <c r="K20" s="78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89" t="s">
        <v>4917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4767</v>
      </c>
      <c r="I35" s="34"/>
      <c r="J35" s="34" t="s">
        <v>3062</v>
      </c>
      <c r="K35" s="133" t="s">
        <v>15</v>
      </c>
      <c r="L35" s="17"/>
      <c r="M35" s="8" t="s">
        <v>4955</v>
      </c>
    </row>
    <row r="36" spans="1:20" ht="28.5" customHeight="1">
      <c r="A36" s="79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4919</v>
      </c>
      <c r="I36" s="34" t="s">
        <v>4835</v>
      </c>
      <c r="J36" s="34"/>
      <c r="K36" s="133" t="s">
        <v>15</v>
      </c>
      <c r="L36" s="17"/>
      <c r="M36" s="8" t="s">
        <v>4956</v>
      </c>
    </row>
    <row r="37" spans="1:20" ht="28.5" customHeight="1">
      <c r="A37" s="79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4767</v>
      </c>
      <c r="I37" s="34"/>
      <c r="J37" s="34" t="s">
        <v>3062</v>
      </c>
      <c r="K37" s="133" t="s">
        <v>15</v>
      </c>
      <c r="L37" s="17"/>
      <c r="M37" s="8" t="s">
        <v>4957</v>
      </c>
    </row>
    <row r="38" spans="1:20" ht="28.5" customHeight="1">
      <c r="A38" s="79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4859</v>
      </c>
      <c r="I38" s="34" t="s">
        <v>4700</v>
      </c>
      <c r="J38" s="34" t="s">
        <v>3044</v>
      </c>
      <c r="K38" s="133" t="s">
        <v>15</v>
      </c>
      <c r="L38" s="17"/>
      <c r="M38" s="8"/>
    </row>
    <row r="39" spans="1:20" ht="28.5" customHeight="1">
      <c r="A39" s="79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4922</v>
      </c>
      <c r="I39" s="34" t="s">
        <v>4918</v>
      </c>
      <c r="J39" s="207"/>
      <c r="K39" s="133" t="s">
        <v>15</v>
      </c>
      <c r="L39" s="17"/>
      <c r="M39" s="8" t="s">
        <v>4958</v>
      </c>
    </row>
    <row r="40" spans="1:20" ht="28.5" customHeight="1">
      <c r="A40" s="79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4936</v>
      </c>
      <c r="I40" s="34" t="s">
        <v>4902</v>
      </c>
      <c r="J40" s="34" t="s">
        <v>3003</v>
      </c>
      <c r="K40" s="133" t="s">
        <v>15</v>
      </c>
      <c r="L40" s="17"/>
      <c r="M40" s="8" t="s">
        <v>4959</v>
      </c>
    </row>
    <row r="41" spans="1:20" ht="28.5" customHeight="1">
      <c r="A41" s="79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4908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9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4920</v>
      </c>
      <c r="I42" s="34" t="s">
        <v>90</v>
      </c>
      <c r="J42" s="34"/>
      <c r="K42" s="133" t="s">
        <v>15</v>
      </c>
      <c r="L42" s="17"/>
      <c r="M42" s="8" t="s">
        <v>4960</v>
      </c>
    </row>
    <row r="43" spans="1:20" ht="28.5" customHeight="1">
      <c r="A43" s="79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4908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9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4854</v>
      </c>
      <c r="H44" s="310" t="s">
        <v>4921</v>
      </c>
      <c r="I44" s="34" t="s">
        <v>90</v>
      </c>
      <c r="J44" s="34" t="s">
        <v>3161</v>
      </c>
      <c r="K44" s="133" t="s">
        <v>15</v>
      </c>
      <c r="L44" s="17"/>
      <c r="M44" s="8" t="s">
        <v>4961</v>
      </c>
      <c r="O44" s="18"/>
    </row>
    <row r="45" spans="1:20" ht="28.5" customHeight="1">
      <c r="A45" s="79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4908</v>
      </c>
      <c r="I45" s="34"/>
      <c r="J45" s="34" t="s">
        <v>4376</v>
      </c>
      <c r="K45" s="133" t="s">
        <v>42</v>
      </c>
      <c r="L45" s="17"/>
      <c r="M45" s="8" t="s">
        <v>4962</v>
      </c>
      <c r="O45" s="18"/>
      <c r="P45" s="18"/>
      <c r="Q45" s="18"/>
      <c r="R45" s="18"/>
      <c r="S45" s="18"/>
      <c r="T45" s="18"/>
    </row>
    <row r="46" spans="1:20" ht="28.5" customHeight="1">
      <c r="A46" s="79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9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4691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4743</v>
      </c>
      <c r="G4" s="17" t="s">
        <v>4764</v>
      </c>
      <c r="H4" s="441" t="s">
        <v>4439</v>
      </c>
      <c r="I4" s="4" t="s">
        <v>4739</v>
      </c>
      <c r="J4" s="4" t="s">
        <v>4742</v>
      </c>
      <c r="K4" s="4"/>
      <c r="L4" s="103">
        <v>250000</v>
      </c>
      <c r="M4" s="6" t="s">
        <v>4740</v>
      </c>
    </row>
    <row r="5" spans="1:20" ht="27.75" customHeight="1">
      <c r="A5" s="72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4777</v>
      </c>
      <c r="G5" s="17" t="s">
        <v>4778</v>
      </c>
      <c r="H5" s="441" t="s">
        <v>5002</v>
      </c>
      <c r="I5" s="4" t="s">
        <v>4825</v>
      </c>
      <c r="J5" s="4" t="s">
        <v>4763</v>
      </c>
      <c r="K5" s="4"/>
      <c r="L5" s="103">
        <v>500000</v>
      </c>
      <c r="M5" s="6" t="s">
        <v>4940</v>
      </c>
      <c r="N5" s="479" t="s">
        <v>4765</v>
      </c>
    </row>
    <row r="6" spans="1:20" ht="27.75" customHeight="1">
      <c r="A6" s="722"/>
      <c r="B6" s="439" t="s">
        <v>4795</v>
      </c>
      <c r="C6" s="4" t="s">
        <v>307</v>
      </c>
      <c r="D6" s="4" t="s">
        <v>323</v>
      </c>
      <c r="E6" s="4" t="s">
        <v>308</v>
      </c>
      <c r="F6" s="207" t="s">
        <v>4814</v>
      </c>
      <c r="G6" s="17" t="s">
        <v>4815</v>
      </c>
      <c r="H6" s="441" t="s">
        <v>4816</v>
      </c>
      <c r="I6" s="4" t="s">
        <v>4825</v>
      </c>
      <c r="J6" s="4" t="s">
        <v>4794</v>
      </c>
      <c r="K6" s="4"/>
      <c r="L6" s="103">
        <v>1250000</v>
      </c>
      <c r="M6" s="6"/>
    </row>
    <row r="7" spans="1:20" ht="27.75" customHeight="1">
      <c r="A7" s="722"/>
      <c r="B7" s="439" t="s">
        <v>4796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4817</v>
      </c>
      <c r="H7" s="441" t="s">
        <v>4818</v>
      </c>
      <c r="I7" s="4" t="s">
        <v>4825</v>
      </c>
      <c r="J7" s="4" t="s">
        <v>2861</v>
      </c>
      <c r="K7" s="4"/>
      <c r="L7" s="103">
        <v>500000</v>
      </c>
      <c r="M7" s="6"/>
    </row>
    <row r="8" spans="1:20" ht="27.75" customHeight="1">
      <c r="A8" s="722"/>
      <c r="B8" s="439" t="s">
        <v>4797</v>
      </c>
      <c r="C8" s="4" t="s">
        <v>307</v>
      </c>
      <c r="D8" s="4" t="s">
        <v>323</v>
      </c>
      <c r="E8" s="4" t="s">
        <v>308</v>
      </c>
      <c r="F8" s="207" t="s">
        <v>4819</v>
      </c>
      <c r="G8" s="17" t="s">
        <v>4820</v>
      </c>
      <c r="H8" s="441" t="s">
        <v>4818</v>
      </c>
      <c r="I8" s="4" t="s">
        <v>4825</v>
      </c>
      <c r="J8" s="4" t="s">
        <v>3074</v>
      </c>
      <c r="K8" s="4"/>
      <c r="L8" s="103">
        <v>750000</v>
      </c>
      <c r="M8" s="6"/>
    </row>
    <row r="9" spans="1:20" ht="27.75" customHeight="1">
      <c r="A9" s="722"/>
      <c r="B9" s="439" t="s">
        <v>4798</v>
      </c>
      <c r="C9" s="4" t="s">
        <v>307</v>
      </c>
      <c r="D9" s="4" t="s">
        <v>323</v>
      </c>
      <c r="E9" s="4" t="s">
        <v>308</v>
      </c>
      <c r="F9" s="207" t="s">
        <v>4821</v>
      </c>
      <c r="G9" s="133" t="s">
        <v>4822</v>
      </c>
      <c r="H9" s="441" t="s">
        <v>4824</v>
      </c>
      <c r="I9" s="4" t="s">
        <v>4825</v>
      </c>
      <c r="J9" s="4" t="s">
        <v>4725</v>
      </c>
      <c r="K9" s="4"/>
      <c r="L9" s="103">
        <v>750000</v>
      </c>
      <c r="M9" s="6"/>
    </row>
    <row r="10" spans="1:20" ht="27.75" customHeight="1">
      <c r="A10" s="722"/>
      <c r="B10" s="439" t="s">
        <v>4799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4823</v>
      </c>
      <c r="I10" s="4" t="s">
        <v>4825</v>
      </c>
      <c r="J10" s="4" t="s">
        <v>4726</v>
      </c>
      <c r="K10" s="4"/>
      <c r="L10" s="103">
        <v>500000</v>
      </c>
      <c r="M10" s="6"/>
    </row>
    <row r="11" spans="1:20" ht="26.25" customHeight="1">
      <c r="A11" s="722"/>
      <c r="B11" s="722" t="s">
        <v>1139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88" t="s">
        <v>21</v>
      </c>
      <c r="B12" s="439">
        <v>46036</v>
      </c>
      <c r="C12" s="4" t="s">
        <v>21</v>
      </c>
      <c r="D12" s="4" t="s">
        <v>4753</v>
      </c>
      <c r="E12" s="334" t="s">
        <v>4748</v>
      </c>
      <c r="F12" s="34" t="s">
        <v>4747</v>
      </c>
      <c r="G12" s="17" t="s">
        <v>4752</v>
      </c>
      <c r="H12" s="207" t="s">
        <v>4749</v>
      </c>
      <c r="I12" s="34" t="s">
        <v>4750</v>
      </c>
      <c r="J12" s="34" t="s">
        <v>4751</v>
      </c>
      <c r="K12" s="133" t="s">
        <v>15</v>
      </c>
      <c r="L12" s="100">
        <v>250000</v>
      </c>
      <c r="M12" s="6" t="s">
        <v>4755</v>
      </c>
      <c r="P12" s="34" t="s">
        <v>4792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89"/>
      <c r="B13" s="439" t="s">
        <v>4757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4744</v>
      </c>
      <c r="I13" s="207"/>
      <c r="J13" s="207" t="s">
        <v>4758</v>
      </c>
      <c r="K13" s="133" t="s">
        <v>15</v>
      </c>
      <c r="L13" s="100">
        <v>1000000</v>
      </c>
      <c r="M13" s="6" t="s">
        <v>4755</v>
      </c>
      <c r="P13" s="34" t="s">
        <v>4793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8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4745</v>
      </c>
      <c r="I14" s="34"/>
      <c r="J14" s="207" t="s">
        <v>4214</v>
      </c>
      <c r="K14" s="133" t="s">
        <v>15</v>
      </c>
      <c r="L14" s="100">
        <v>600000</v>
      </c>
      <c r="M14" s="6" t="s">
        <v>4800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8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4775</v>
      </c>
      <c r="I15" s="34"/>
      <c r="J15" s="34" t="s">
        <v>643</v>
      </c>
      <c r="K15" s="133" t="s">
        <v>15</v>
      </c>
      <c r="L15" s="100">
        <v>500000</v>
      </c>
      <c r="M15" s="6" t="s">
        <v>4801</v>
      </c>
    </row>
    <row r="16" spans="1:20" ht="25.5" customHeight="1">
      <c r="A16" s="589"/>
      <c r="B16" s="439">
        <v>46042</v>
      </c>
      <c r="C16" s="4" t="s">
        <v>21</v>
      </c>
      <c r="D16" s="4" t="s">
        <v>17</v>
      </c>
      <c r="E16" s="207" t="s">
        <v>4762</v>
      </c>
      <c r="F16" s="207" t="s">
        <v>4761</v>
      </c>
      <c r="G16" s="17" t="s">
        <v>23</v>
      </c>
      <c r="H16" s="207" t="s">
        <v>5003</v>
      </c>
      <c r="I16" s="34"/>
      <c r="J16" s="34" t="s">
        <v>489</v>
      </c>
      <c r="K16" s="133" t="s">
        <v>15</v>
      </c>
      <c r="L16" s="100">
        <v>500000</v>
      </c>
      <c r="M16" s="6" t="s">
        <v>4802</v>
      </c>
    </row>
    <row r="17" spans="1:27" ht="25.5" customHeight="1">
      <c r="A17" s="58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4803</v>
      </c>
      <c r="N17" s="449"/>
    </row>
    <row r="18" spans="1:27" ht="25.5" customHeight="1">
      <c r="A18" s="58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4829</v>
      </c>
      <c r="H18" s="334" t="s">
        <v>4831</v>
      </c>
      <c r="I18" s="34" t="s">
        <v>90</v>
      </c>
      <c r="J18" s="133" t="s">
        <v>4828</v>
      </c>
      <c r="K18" s="133" t="s">
        <v>15</v>
      </c>
      <c r="L18" s="100">
        <v>250000</v>
      </c>
      <c r="M18" s="6" t="s">
        <v>4804</v>
      </c>
    </row>
    <row r="19" spans="1:27" ht="25.5" customHeight="1">
      <c r="A19" s="58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4714</v>
      </c>
      <c r="H19" s="334" t="s">
        <v>4788</v>
      </c>
      <c r="I19" s="34" t="s">
        <v>90</v>
      </c>
      <c r="J19" s="34" t="s">
        <v>4789</v>
      </c>
      <c r="K19" s="133" t="s">
        <v>15</v>
      </c>
      <c r="L19" s="100">
        <v>500000</v>
      </c>
      <c r="M19" s="6" t="s">
        <v>4804</v>
      </c>
    </row>
    <row r="20" spans="1:27" ht="25.5" customHeight="1">
      <c r="A20" s="58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4791</v>
      </c>
      <c r="H20" s="334" t="s">
        <v>4787</v>
      </c>
      <c r="I20" s="34" t="s">
        <v>90</v>
      </c>
      <c r="J20" s="34" t="s">
        <v>4790</v>
      </c>
      <c r="K20" s="133" t="s">
        <v>15</v>
      </c>
      <c r="L20" s="100">
        <v>300000</v>
      </c>
      <c r="M20" s="6" t="s">
        <v>4804</v>
      </c>
      <c r="N20" s="449"/>
    </row>
    <row r="21" spans="1:27" ht="25.5" customHeight="1">
      <c r="A21" s="58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4772</v>
      </c>
      <c r="I21" s="133" t="s">
        <v>90</v>
      </c>
      <c r="J21" s="207" t="s">
        <v>4771</v>
      </c>
      <c r="K21" s="133" t="s">
        <v>15</v>
      </c>
      <c r="L21" s="100">
        <v>500000</v>
      </c>
      <c r="M21" s="49" t="s">
        <v>4803</v>
      </c>
      <c r="P21" s="18"/>
      <c r="Q21" s="18"/>
      <c r="R21" s="18"/>
      <c r="S21" s="18"/>
      <c r="T21" s="18"/>
    </row>
    <row r="22" spans="1:27" ht="25.5" customHeight="1">
      <c r="A22" s="480"/>
      <c r="B22" s="785" t="s">
        <v>1138</v>
      </c>
      <c r="C22" s="786"/>
      <c r="D22" s="786"/>
      <c r="E22" s="786"/>
      <c r="F22" s="786"/>
      <c r="G22" s="786"/>
      <c r="H22" s="786"/>
      <c r="I22" s="786"/>
      <c r="J22" s="786"/>
      <c r="K22" s="78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88" t="s">
        <v>62</v>
      </c>
      <c r="B23" s="788"/>
      <c r="C23" s="788"/>
      <c r="D23" s="788"/>
      <c r="E23" s="788"/>
      <c r="F23" s="788"/>
      <c r="G23" s="788"/>
      <c r="H23" s="788"/>
      <c r="I23" s="788"/>
      <c r="J23" s="788"/>
      <c r="K23" s="78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89" t="s">
        <v>4779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4745</v>
      </c>
      <c r="I38" s="34"/>
      <c r="J38" s="207" t="s">
        <v>4214</v>
      </c>
      <c r="K38" s="133" t="s">
        <v>15</v>
      </c>
      <c r="L38" s="17">
        <v>2</v>
      </c>
      <c r="M38" s="8" t="s">
        <v>4805</v>
      </c>
    </row>
    <row r="39" spans="1:27" ht="28.5" customHeight="1">
      <c r="A39" s="79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4784</v>
      </c>
      <c r="I39" s="34" t="s">
        <v>4770</v>
      </c>
      <c r="J39" s="34"/>
      <c r="K39" s="133" t="s">
        <v>15</v>
      </c>
      <c r="L39" s="17">
        <v>2</v>
      </c>
      <c r="M39" s="8" t="s">
        <v>4806</v>
      </c>
    </row>
    <row r="40" spans="1:27" ht="28.5" customHeight="1">
      <c r="A40" s="79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4775</v>
      </c>
      <c r="I40" s="34"/>
      <c r="J40" s="34" t="s">
        <v>643</v>
      </c>
      <c r="K40" s="133" t="s">
        <v>15</v>
      </c>
      <c r="L40" s="17">
        <v>2</v>
      </c>
      <c r="M40" s="8" t="s">
        <v>4807</v>
      </c>
    </row>
    <row r="41" spans="1:27" ht="28.5" customHeight="1">
      <c r="A41" s="790"/>
      <c r="B41" s="439">
        <v>46042</v>
      </c>
      <c r="C41" s="4" t="s">
        <v>21</v>
      </c>
      <c r="D41" s="4" t="s">
        <v>17</v>
      </c>
      <c r="E41" s="207" t="s">
        <v>4762</v>
      </c>
      <c r="F41" s="207" t="s">
        <v>4761</v>
      </c>
      <c r="G41" s="17" t="s">
        <v>23</v>
      </c>
      <c r="H41" s="207" t="s">
        <v>4826</v>
      </c>
      <c r="I41" s="34"/>
      <c r="J41" s="34" t="s">
        <v>489</v>
      </c>
      <c r="K41" s="133" t="s">
        <v>15</v>
      </c>
      <c r="L41" s="17">
        <v>2</v>
      </c>
      <c r="M41" s="8" t="s">
        <v>4808</v>
      </c>
    </row>
    <row r="42" spans="1:27" ht="28.5" customHeight="1">
      <c r="A42" s="79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4809</v>
      </c>
    </row>
    <row r="43" spans="1:27" ht="28.5" customHeight="1">
      <c r="A43" s="79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4832</v>
      </c>
      <c r="I43" s="34" t="s">
        <v>640</v>
      </c>
      <c r="J43" s="133" t="s">
        <v>4830</v>
      </c>
      <c r="K43" s="133" t="s">
        <v>15</v>
      </c>
      <c r="L43" s="17">
        <v>2</v>
      </c>
      <c r="M43" s="8"/>
    </row>
    <row r="44" spans="1:27" ht="28.5" customHeight="1">
      <c r="A44" s="79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4714</v>
      </c>
      <c r="H44" s="334" t="s">
        <v>4785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4810</v>
      </c>
    </row>
    <row r="45" spans="1:27" ht="28.5" customHeight="1">
      <c r="A45" s="79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9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4786</v>
      </c>
      <c r="I46" s="34" t="s">
        <v>4700</v>
      </c>
      <c r="J46" s="34"/>
      <c r="K46" s="133" t="s">
        <v>15</v>
      </c>
      <c r="L46" s="17">
        <v>2</v>
      </c>
      <c r="M46" s="8" t="s">
        <v>4811</v>
      </c>
    </row>
    <row r="47" spans="1:27" ht="28.5" customHeight="1">
      <c r="A47" s="79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9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4772</v>
      </c>
      <c r="I48" s="133" t="s">
        <v>90</v>
      </c>
      <c r="J48" s="207" t="s">
        <v>4771</v>
      </c>
      <c r="K48" s="133" t="s">
        <v>15</v>
      </c>
      <c r="L48" s="17">
        <v>3</v>
      </c>
      <c r="M48" s="8" t="s">
        <v>4812</v>
      </c>
      <c r="O48" s="18"/>
    </row>
    <row r="49" spans="1:28" ht="28.5" customHeight="1">
      <c r="A49" s="79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4813</v>
      </c>
      <c r="O49" s="18"/>
      <c r="P49" s="18"/>
      <c r="Q49" s="18"/>
      <c r="R49" s="18"/>
      <c r="S49" s="18"/>
      <c r="T49" s="18"/>
    </row>
    <row r="50" spans="1:28" ht="28.5" customHeight="1">
      <c r="A50" s="79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9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3349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72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4692</v>
      </c>
      <c r="K5" s="4"/>
      <c r="L5" s="103">
        <v>250000</v>
      </c>
      <c r="M5" s="6" t="s">
        <v>4609</v>
      </c>
    </row>
    <row r="6" spans="1:20" ht="27.75" customHeight="1">
      <c r="A6" s="722"/>
      <c r="B6" s="439" t="s">
        <v>4653</v>
      </c>
      <c r="C6" s="4" t="s">
        <v>307</v>
      </c>
      <c r="D6" s="4" t="s">
        <v>323</v>
      </c>
      <c r="E6" s="4" t="s">
        <v>308</v>
      </c>
      <c r="F6" s="207" t="s">
        <v>4729</v>
      </c>
      <c r="G6" s="133" t="s">
        <v>4730</v>
      </c>
      <c r="H6" s="441" t="s">
        <v>4731</v>
      </c>
      <c r="I6" s="4" t="s">
        <v>169</v>
      </c>
      <c r="J6" s="4" t="s">
        <v>4669</v>
      </c>
      <c r="K6" s="4"/>
      <c r="L6" s="103">
        <v>1000000</v>
      </c>
      <c r="M6" s="6"/>
    </row>
    <row r="7" spans="1:20" ht="27.75" customHeight="1">
      <c r="A7" s="722"/>
      <c r="B7" s="439" t="s">
        <v>4654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4666</v>
      </c>
      <c r="H7" s="441" t="s">
        <v>4667</v>
      </c>
      <c r="I7" s="4" t="s">
        <v>169</v>
      </c>
      <c r="J7" s="4" t="s">
        <v>4656</v>
      </c>
      <c r="K7" s="4"/>
      <c r="L7" s="103">
        <v>500000</v>
      </c>
      <c r="M7" s="6"/>
    </row>
    <row r="8" spans="1:20" ht="27.75" customHeight="1">
      <c r="A8" s="722"/>
      <c r="B8" s="439" t="s">
        <v>4655</v>
      </c>
      <c r="C8" s="4" t="s">
        <v>307</v>
      </c>
      <c r="D8" s="4" t="s">
        <v>323</v>
      </c>
      <c r="E8" s="4" t="s">
        <v>308</v>
      </c>
      <c r="F8" s="207" t="s">
        <v>4736</v>
      </c>
      <c r="G8" s="133" t="s">
        <v>4668</v>
      </c>
      <c r="H8" s="441" t="s">
        <v>4737</v>
      </c>
      <c r="I8" s="4" t="s">
        <v>169</v>
      </c>
      <c r="J8" s="4" t="s">
        <v>4657</v>
      </c>
      <c r="K8" s="4"/>
      <c r="L8" s="103">
        <v>750000</v>
      </c>
      <c r="M8" s="6"/>
    </row>
    <row r="9" spans="1:20" ht="27.75" customHeight="1">
      <c r="A9" s="722"/>
      <c r="B9" s="439" t="s">
        <v>4727</v>
      </c>
      <c r="C9" s="4" t="s">
        <v>307</v>
      </c>
      <c r="D9" s="4" t="s">
        <v>323</v>
      </c>
      <c r="E9" s="4" t="s">
        <v>308</v>
      </c>
      <c r="F9" s="207" t="s">
        <v>4732</v>
      </c>
      <c r="G9" s="133" t="s">
        <v>4733</v>
      </c>
      <c r="H9" s="441" t="s">
        <v>4734</v>
      </c>
      <c r="I9" s="4" t="s">
        <v>169</v>
      </c>
      <c r="J9" s="4" t="s">
        <v>4725</v>
      </c>
      <c r="K9" s="4"/>
      <c r="L9" s="103">
        <v>750000</v>
      </c>
      <c r="M9" s="6"/>
    </row>
    <row r="10" spans="1:20" ht="27.75" customHeight="1">
      <c r="A10" s="722"/>
      <c r="B10" s="439" t="s">
        <v>4728</v>
      </c>
      <c r="C10" s="4" t="s">
        <v>307</v>
      </c>
      <c r="D10" s="4" t="s">
        <v>323</v>
      </c>
      <c r="E10" s="4" t="s">
        <v>308</v>
      </c>
      <c r="F10" s="207" t="s">
        <v>4665</v>
      </c>
      <c r="G10" s="133" t="s">
        <v>3961</v>
      </c>
      <c r="H10" s="441" t="s">
        <v>4735</v>
      </c>
      <c r="I10" s="4" t="s">
        <v>169</v>
      </c>
      <c r="J10" s="4" t="s">
        <v>4726</v>
      </c>
      <c r="K10" s="4"/>
      <c r="L10" s="103">
        <v>500000</v>
      </c>
      <c r="M10" s="6"/>
    </row>
    <row r="11" spans="1:20" ht="27.75" customHeight="1">
      <c r="A11" s="722"/>
      <c r="B11" s="439" t="s">
        <v>4711</v>
      </c>
      <c r="C11" s="4" t="s">
        <v>307</v>
      </c>
      <c r="D11" s="4" t="s">
        <v>323</v>
      </c>
      <c r="E11" s="4" t="s">
        <v>308</v>
      </c>
      <c r="F11" s="207" t="s">
        <v>4665</v>
      </c>
      <c r="G11" s="133" t="s">
        <v>4386</v>
      </c>
      <c r="H11" s="441" t="s">
        <v>4712</v>
      </c>
      <c r="I11" s="4" t="s">
        <v>169</v>
      </c>
      <c r="J11" s="4" t="s">
        <v>4713</v>
      </c>
      <c r="K11" s="4"/>
      <c r="L11" s="103">
        <v>1000000</v>
      </c>
      <c r="M11" s="6"/>
    </row>
    <row r="12" spans="1:20" ht="26.25" customHeight="1">
      <c r="A12" s="722"/>
      <c r="B12" s="722" t="s">
        <v>1139</v>
      </c>
      <c r="C12" s="722"/>
      <c r="D12" s="722"/>
      <c r="E12" s="722"/>
      <c r="F12" s="722"/>
      <c r="G12" s="722"/>
      <c r="H12" s="722"/>
      <c r="I12" s="722"/>
      <c r="J12" s="722"/>
      <c r="K12" s="72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8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4680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4652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8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4681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4651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8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4684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8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4685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8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8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4646</v>
      </c>
    </row>
    <row r="19" spans="1:26" ht="25.5" customHeight="1">
      <c r="A19" s="589"/>
      <c r="B19" s="439" t="s">
        <v>4663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4664</v>
      </c>
      <c r="K19" s="133" t="s">
        <v>15</v>
      </c>
      <c r="L19" s="100">
        <v>1000000</v>
      </c>
      <c r="M19" s="478" t="s">
        <v>4931</v>
      </c>
    </row>
    <row r="20" spans="1:26" ht="25.5" customHeight="1">
      <c r="A20" s="58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4647</v>
      </c>
    </row>
    <row r="21" spans="1:26" ht="25.5" customHeight="1">
      <c r="A21" s="58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4648</v>
      </c>
      <c r="N21" s="449"/>
    </row>
    <row r="22" spans="1:26" ht="25.5" customHeight="1">
      <c r="A22" s="58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4686</v>
      </c>
      <c r="I22" s="34"/>
      <c r="J22" s="207" t="s">
        <v>3161</v>
      </c>
      <c r="K22" s="133" t="s">
        <v>15</v>
      </c>
      <c r="L22" s="100">
        <v>300000</v>
      </c>
      <c r="M22" s="6" t="s">
        <v>4648</v>
      </c>
      <c r="N22" s="449"/>
    </row>
    <row r="23" spans="1:26" ht="25.5" customHeight="1">
      <c r="A23" s="58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4659</v>
      </c>
      <c r="I23" s="207"/>
      <c r="J23" s="207" t="s">
        <v>4662</v>
      </c>
      <c r="K23" s="133" t="s">
        <v>15</v>
      </c>
      <c r="L23" s="100">
        <v>500000</v>
      </c>
      <c r="M23" s="6" t="s">
        <v>4648</v>
      </c>
    </row>
    <row r="24" spans="1:26" ht="25.5" customHeight="1">
      <c r="A24" s="58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4649</v>
      </c>
    </row>
    <row r="25" spans="1:26" ht="25.5" customHeight="1">
      <c r="A25" s="58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4650</v>
      </c>
      <c r="N25" s="449"/>
      <c r="P25" s="18"/>
      <c r="Q25" s="18"/>
      <c r="R25" s="18"/>
      <c r="S25" s="18"/>
      <c r="T25" s="18"/>
    </row>
    <row r="26" spans="1:26" ht="25.5" customHeight="1">
      <c r="A26" s="590"/>
      <c r="B26" s="785" t="s">
        <v>1138</v>
      </c>
      <c r="C26" s="786"/>
      <c r="D26" s="786"/>
      <c r="E26" s="786"/>
      <c r="F26" s="786"/>
      <c r="G26" s="786"/>
      <c r="H26" s="786"/>
      <c r="I26" s="786"/>
      <c r="J26" s="786"/>
      <c r="K26" s="78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88" t="s">
        <v>62</v>
      </c>
      <c r="B27" s="788"/>
      <c r="C27" s="788"/>
      <c r="D27" s="788"/>
      <c r="E27" s="788"/>
      <c r="F27" s="788"/>
      <c r="G27" s="788"/>
      <c r="H27" s="788"/>
      <c r="I27" s="788"/>
      <c r="J27" s="788"/>
      <c r="K27" s="78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8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4670</v>
      </c>
    </row>
    <row r="43" spans="1:27" ht="28.5" customHeight="1">
      <c r="A43" s="79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4671</v>
      </c>
    </row>
    <row r="44" spans="1:27" ht="28.5" customHeight="1">
      <c r="A44" s="79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4679</v>
      </c>
      <c r="L44" s="17">
        <v>2</v>
      </c>
      <c r="M44" s="8" t="s">
        <v>4672</v>
      </c>
    </row>
    <row r="45" spans="1:27" ht="28.5" customHeight="1">
      <c r="A45" s="79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4687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9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4673</v>
      </c>
    </row>
    <row r="47" spans="1:27" ht="28.5" customHeight="1">
      <c r="A47" s="79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4683</v>
      </c>
      <c r="I47" s="34"/>
      <c r="J47" s="34" t="s">
        <v>489</v>
      </c>
      <c r="K47" s="133" t="s">
        <v>4679</v>
      </c>
      <c r="L47" s="17">
        <v>2</v>
      </c>
      <c r="M47" s="8" t="s">
        <v>4674</v>
      </c>
    </row>
    <row r="48" spans="1:27" ht="28.5" customHeight="1">
      <c r="A48" s="79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4682</v>
      </c>
      <c r="I48" s="34"/>
      <c r="J48" s="207" t="s">
        <v>3161</v>
      </c>
      <c r="K48" s="133" t="s">
        <v>15</v>
      </c>
      <c r="L48" s="17">
        <v>1</v>
      </c>
      <c r="M48" s="8" t="s">
        <v>4675</v>
      </c>
    </row>
    <row r="49" spans="1:28" ht="28.5" customHeight="1">
      <c r="A49" s="79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4658</v>
      </c>
      <c r="J49" s="207"/>
      <c r="K49" s="133" t="s">
        <v>15</v>
      </c>
      <c r="L49" s="17">
        <v>3</v>
      </c>
      <c r="M49" s="8" t="s">
        <v>4676</v>
      </c>
    </row>
    <row r="50" spans="1:28" ht="28.5" customHeight="1">
      <c r="A50" s="79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4659</v>
      </c>
      <c r="I50" s="207"/>
      <c r="J50" s="207" t="s">
        <v>4661</v>
      </c>
      <c r="K50" s="133" t="s">
        <v>15</v>
      </c>
      <c r="L50" s="17">
        <v>2</v>
      </c>
      <c r="M50" s="8" t="s">
        <v>4677</v>
      </c>
    </row>
    <row r="51" spans="1:28" ht="28.5" customHeight="1">
      <c r="A51" s="79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4678</v>
      </c>
    </row>
    <row r="52" spans="1:28" ht="28.5" customHeight="1">
      <c r="A52" s="79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9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9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3604</v>
      </c>
      <c r="B2" s="780" t="s">
        <v>1</v>
      </c>
      <c r="C2" s="780" t="s">
        <v>2</v>
      </c>
      <c r="D2" s="780" t="s">
        <v>3</v>
      </c>
      <c r="E2" s="455" t="s">
        <v>3486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3488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72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2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2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72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2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2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72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2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2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72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2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72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722"/>
      <c r="B18" s="785" t="s">
        <v>3550</v>
      </c>
      <c r="C18" s="786"/>
      <c r="D18" s="786"/>
      <c r="E18" s="786"/>
      <c r="F18" s="786"/>
      <c r="G18" s="786"/>
      <c r="H18" s="786"/>
      <c r="I18" s="786"/>
      <c r="J18" s="786"/>
      <c r="K18" s="78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88" t="s">
        <v>62</v>
      </c>
      <c r="B19" s="788"/>
      <c r="C19" s="788"/>
      <c r="D19" s="788"/>
      <c r="E19" s="788"/>
      <c r="F19" s="788"/>
      <c r="G19" s="788"/>
      <c r="H19" s="788"/>
      <c r="I19" s="788"/>
      <c r="J19" s="788"/>
      <c r="K19" s="78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8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8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8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8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8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8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8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8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8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8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8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8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8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3485</v>
      </c>
      <c r="B2" s="780" t="s">
        <v>1</v>
      </c>
      <c r="C2" s="780" t="s">
        <v>2</v>
      </c>
      <c r="D2" s="780" t="s">
        <v>3</v>
      </c>
      <c r="E2" s="455" t="s">
        <v>3486</v>
      </c>
      <c r="F2" s="780" t="s">
        <v>5</v>
      </c>
      <c r="G2" s="780" t="s">
        <v>6</v>
      </c>
      <c r="H2" s="780" t="s">
        <v>3487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3488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72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72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72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72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72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72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722"/>
      <c r="B11" s="722" t="s">
        <v>3505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72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2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2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2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72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72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72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72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72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72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72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72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72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722"/>
      <c r="B25" s="785" t="s">
        <v>3550</v>
      </c>
      <c r="C25" s="786"/>
      <c r="D25" s="786"/>
      <c r="E25" s="786"/>
      <c r="F25" s="786"/>
      <c r="G25" s="786"/>
      <c r="H25" s="786"/>
      <c r="I25" s="786"/>
      <c r="J25" s="786"/>
      <c r="K25" s="78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88" t="s">
        <v>62</v>
      </c>
      <c r="B26" s="788"/>
      <c r="C26" s="788"/>
      <c r="D26" s="788"/>
      <c r="E26" s="788"/>
      <c r="F26" s="788"/>
      <c r="G26" s="788"/>
      <c r="H26" s="788"/>
      <c r="I26" s="788"/>
      <c r="J26" s="788"/>
      <c r="K26" s="78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8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8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8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8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8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8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8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8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8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8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8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8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8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80" t="s">
        <v>1956</v>
      </c>
      <c r="B2" s="792" t="s">
        <v>1</v>
      </c>
      <c r="C2" s="792" t="s">
        <v>2</v>
      </c>
      <c r="D2" s="792" t="s">
        <v>3</v>
      </c>
      <c r="E2" s="350" t="s">
        <v>2636</v>
      </c>
      <c r="F2" s="792" t="s">
        <v>5</v>
      </c>
      <c r="G2" s="792" t="s">
        <v>6</v>
      </c>
      <c r="H2" s="792" t="s">
        <v>2638</v>
      </c>
      <c r="I2" s="792" t="s">
        <v>55</v>
      </c>
      <c r="J2" s="792" t="s">
        <v>9</v>
      </c>
      <c r="K2" s="794" t="s">
        <v>56</v>
      </c>
      <c r="L2" s="792" t="s">
        <v>57</v>
      </c>
      <c r="M2" s="792" t="s">
        <v>58</v>
      </c>
    </row>
    <row r="3" spans="1:13">
      <c r="A3" s="780"/>
      <c r="B3" s="793"/>
      <c r="C3" s="793"/>
      <c r="D3" s="793"/>
      <c r="E3" s="351" t="s">
        <v>2637</v>
      </c>
      <c r="F3" s="793"/>
      <c r="G3" s="793"/>
      <c r="H3" s="793"/>
      <c r="I3" s="793"/>
      <c r="J3" s="793"/>
      <c r="K3" s="795"/>
      <c r="L3" s="793"/>
      <c r="M3" s="793"/>
    </row>
    <row r="4" spans="1:13" ht="26.25" customHeight="1">
      <c r="A4" s="72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2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2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2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2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2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2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22"/>
      <c r="B11" s="722" t="s">
        <v>1139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4500000</v>
      </c>
      <c r="M11" s="49"/>
    </row>
    <row r="12" spans="1:13" ht="25.5" customHeight="1">
      <c r="A12" s="58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8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8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8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8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8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8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8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90"/>
      <c r="B20" s="722" t="s">
        <v>1138</v>
      </c>
      <c r="C20" s="722"/>
      <c r="D20" s="722"/>
      <c r="E20" s="722"/>
      <c r="F20" s="722"/>
      <c r="G20" s="722"/>
      <c r="H20" s="722"/>
      <c r="I20" s="722"/>
      <c r="J20" s="722"/>
      <c r="K20" s="722"/>
      <c r="L20" s="103">
        <v>2150000</v>
      </c>
      <c r="M20" s="49"/>
    </row>
    <row r="21" spans="1:13" ht="20.100000000000001" customHeight="1">
      <c r="A21" s="788" t="s">
        <v>62</v>
      </c>
      <c r="B21" s="788"/>
      <c r="C21" s="788"/>
      <c r="D21" s="788"/>
      <c r="E21" s="788"/>
      <c r="F21" s="788"/>
      <c r="G21" s="788"/>
      <c r="H21" s="788"/>
      <c r="I21" s="788"/>
      <c r="J21" s="788"/>
      <c r="K21" s="78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9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9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9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9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9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9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9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9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9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9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9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9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2026-02-26T08:14:39Z</dcterms:modified>
</cp:coreProperties>
</file>