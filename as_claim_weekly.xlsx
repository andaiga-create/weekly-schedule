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(12)'!$A$1:$M$22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4" i="129" l="1"/>
  <c r="L20" i="129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5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1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<sst xmlns="http://schemas.openxmlformats.org/spreadsheetml/2006/main" count="26221" uniqueCount="6674">
  <si>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</si>
  <si>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</si>
  <si>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</si>
  <si>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</si>
  <si>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</si>
  <si>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</si>
  <si>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</si>
  <si>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</si>
  <si>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</si>
  <si>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</si>
  <si>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</si>
  <si>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</si>
  <si>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</si>
  <si>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</si>
  <si>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</si>
  <si>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</si>
  <si>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</si>
  <si>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</si>
  <si>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</si>
  <si>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</si>
  <si>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</si>
  <si>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</si>
  <si>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</si>
  <si>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</si>
  <si>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</si>
  <si>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</si>
  <si>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</si>
  <si>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</si>
  <si>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</si>
  <si>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</si>
  <si>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</si>
  <si>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</si>
  <si>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</si>
  <si>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</si>
  <si>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</si>
  <si>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</si>
  <si>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</si>
  <si>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</si>
  <si>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</si>
  <si>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</si>
  <si>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</si>
  <si>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</si>
  <si>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</si>
  <si>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</si>
  <si>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</si>
  <si>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</si>
  <si>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</si>
  <si>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</si>
  <si>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</si>
  <si>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</si>
  <si>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</si>
  <si>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</si>
  <si>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</si>
  <si>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</si>
  <si>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</si>
  <si>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</si>
  <si>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</si>
  <si>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</si>
  <si>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</si>
  <si>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</si>
  <si>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</si>
  <si>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</si>
  <si>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</si>
  <si>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</si>
  <si>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</si>
  <si>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</si>
  <si>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</si>
  <si>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</si>
  <si>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</si>
  <si>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</si>
  <si>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</si>
  <si>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</si>
  <si>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</si>
  <si>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</si>
  <si>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</si>
  <si>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</si>
  <si>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</si>
  <si>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</si>
  <si>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</si>
  <si>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</si>
  <si>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</si>
  <si>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</si>
  <si>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</si>
  <si>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</si>
  <si>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</si>
  <si>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</si>
  <si>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</si>
  <si>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</si>
  <si>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</si>
  <si>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</si>
  <si>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</si>
  <si>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</si>
  <si>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</si>
  <si>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</si>
  <si>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</si>
  <si>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</si>
  <si>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</si>
  <si>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</si>
  <si>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</si>
  <si>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</si>
  <si>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</si>
  <si>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</si>
  <si>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</si>
  <si>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</si>
  <si>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</si>
  <si>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</si>
  <si>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</si>
  <si>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</si>
  <si>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</si>
  <si>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</si>
  <si>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</si>
  <si>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</si>
  <si>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</si>
  <si>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</si>
  <si>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</si>
  <si>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</si>
  <si>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</si>
  <si>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</si>
  <si>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</si>
  <si>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</si>
  <si>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</si>
  <si>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</si>
  <si>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</si>
  <si>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</si>
  <si>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</si>
  <si>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</si>
  <si>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</si>
  <si>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</si>
  <si>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</si>
  <si>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</si>
  <si>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</si>
  <si>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</si>
  <si>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</si>
  <si>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</si>
  <si>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</si>
  <si>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</si>
  <si>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</si>
  <si>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</si>
  <si>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</si>
  <si>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</si>
  <si>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</si>
  <si>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</si>
  <si>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</si>
  <si>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</si>
  <si>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</si>
  <si>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</si>
  <si>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</si>
  <si>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</si>
  <si>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</si>
  <si>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</si>
  <si>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</si>
  <si>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</si>
  <si>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</si>
  <si>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</si>
  <si>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</si>
  <si>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</si>
  <si>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</si>
  <si>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</si>
  <si>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</si>
  <si>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</si>
  <si>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</si>
  <si>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</si>
  <si>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</si>
  <si>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</si>
  <si>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</si>
  <si>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</si>
  <si>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</si>
  <si>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</si>
  <si>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</si>
  <si>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</si>
  <si>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</si>
  <si>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</si>
  <si>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</si>
  <si>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</si>
  <si>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</si>
  <si>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</si>
  <si>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</si>
  <si>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</si>
  <si>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</si>
  <si>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</si>
  <si>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</si>
  <si>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</si>
  <si>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</si>
  <si>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</si>
  <si>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</si>
  <si>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</si>
  <si>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</si>
  <si>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</si>
  <si>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</si>
  <si>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</si>
  <si>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</si>
  <si>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</si>
  <si>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</si>
  <si>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</si>
  <si>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</si>
  <si>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</si>
  <si>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</si>
  <si>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</si>
  <si>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</si>
  <si>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</si>
  <si>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</si>
  <si>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</si>
  <si>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</si>
  <si>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</si>
  <si>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</si>
  <si>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</si>
  <si>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</si>
  <si>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</si>
  <si>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</si>
  <si>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</si>
  <si>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</si>
  <si>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</si>
  <si>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</si>
  <si>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</si>
  <si>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</si>
  <si>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</si>
  <si>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</si>
  <si>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</si>
  <si>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</si>
  <si>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</si>
  <si>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</si>
  <si>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</si>
  <si>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</si>
  <si>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</si>
  <si>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</si>
  <si>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</si>
  <si>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</si>
  <si>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</si>
  <si>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</si>
  <si>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</si>
  <si>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</si>
  <si>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</si>
  <si>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</si>
  <si>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</si>
  <si>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</si>
  <si>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</si>
  <si>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</si>
  <si>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</si>
  <si>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</si>
  <si>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</si>
  <si>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</si>
  <si>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</si>
  <si>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</si>
  <si>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</si>
  <si>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</si>
  <si>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</si>
  <si>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</si>
  <si>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</si>
  <si>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</si>
  <si>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</si>
  <si>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</si>
  <si>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</si>
  <si>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</si>
  <si>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</si>
  <si>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</si>
  <si>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</si>
  <si>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</si>
  <si>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</si>
  <si>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</si>
  <si>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</si>
  <si>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</si>
  <si>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</si>
  <si>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</si>
  <si>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</si>
  <si>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</si>
  <si>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</si>
  <si>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</si>
  <si>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</si>
  <si>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</si>
  <si>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</si>
  <si>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</si>
  <si>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</si>
  <si>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</si>
  <si>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</si>
  <si>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</si>
  <si>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</si>
  <si>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</si>
  <si>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</si>
  <si>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</si>
  <si>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</si>
  <si>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</si>
  <si>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</si>
  <si>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</si>
  <si>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</si>
  <si>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</si>
  <si>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</si>
  <si>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</si>
  <si>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</si>
  <si>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</si>
  <si>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</si>
  <si>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</si>
  <si>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</si>
  <si>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</si>
  <si>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</si>
  <si>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</si>
  <si>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</si>
  <si>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</si>
  <si>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</si>
  <si>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</si>
  <si>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</si>
  <si>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</si>
  <si>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</si>
  <si>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</si>
  <si>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</si>
  <si>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</si>
  <si>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</si>
  <si>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</si>
  <si>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</si>
  <si>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</si>
  <si>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</si>
  <si>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</si>
  <si>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</si>
  <si>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</si>
  <si>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</si>
  <si>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</si>
  <si>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</si>
  <si>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</si>
  <si>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</si>
  <si>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</si>
  <si>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</si>
  <si>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</si>
  <si>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</si>
  <si>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</si>
  <si>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</si>
  <si>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</si>
  <si>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</si>
  <si>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</si>
  <si>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</si>
  <si>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</si>
  <si>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</si>
  <si>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</si>
  <si>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</si>
  <si>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</si>
  <si>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</si>
  <si>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</si>
  <si>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</si>
  <si>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</si>
  <si>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</si>
  <si>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</si>
  <si>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</si>
  <si>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</si>
  <si>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</si>
  <si>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</si>
  <si>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</si>
  <si>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</si>
  <si>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</si>
  <si>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</si>
  <si>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</si>
  <si>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</si>
  <si>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</si>
  <si>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</si>
  <si>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</si>
  <si>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</si>
  <si>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</si>
  <si>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</si>
  <si>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</si>
  <si>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</si>
  <si>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</si>
  <si>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</si>
  <si>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</si>
  <si>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</si>
  <si>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</si>
  <si>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</si>
  <si>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</si>
  <si>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</si>
  <si>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</si>
  <si>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</si>
  <si>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</si>
  <si>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</si>
  <si>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</si>
  <si>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</si>
  <si>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</si>
  <si>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</si>
  <si>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</si>
  <si>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</si>
  <si>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</si>
  <si>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</si>
  <si>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</si>
  <si>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</si>
  <si>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</si>
  <si>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</si>
  <si>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</si>
  <si>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</si>
  <si>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</si>
  <si>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</si>
  <si>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</si>
  <si>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</si>
  <si>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</si>
  <si>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</si>
  <si>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</si>
  <si>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</si>
  <si>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</si>
  <si>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</si>
  <si>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</si>
  <si>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</si>
  <si>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</si>
  <si>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</si>
  <si>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</si>
  <si>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</si>
  <si>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</si>
  <si>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</si>
  <si>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</si>
  <si>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</si>
  <si>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</si>
  <si>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</si>
  <si>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</si>
  <si>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</si>
  <si>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</si>
  <si>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</si>
  <si>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</si>
  <si>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</si>
  <si>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</si>
  <si>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</si>
  <si>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</si>
  <si>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</si>
  <si>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</si>
  <si>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</si>
  <si>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</si>
  <si>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</si>
  <si>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</si>
  <si>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</si>
  <si>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</si>
  <si>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</si>
  <si>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</si>
  <si>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</si>
  <si>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</si>
  <si>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</si>
  <si>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</si>
  <si>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</si>
  <si>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</si>
  <si>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</si>
  <si>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</si>
  <si>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</si>
  <si>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</si>
  <si>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</si>
  <si>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</si>
  <si>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</si>
  <si>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</si>
  <si>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</si>
  <si>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</si>
  <si>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</si>
  <si>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</si>
  <si>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</si>
  <si>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</si>
  <si>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</si>
  <si>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</si>
  <si>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</si>
  <si>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</si>
  <si>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</si>
  <si>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</si>
  <si>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</si>
  <si>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</si>
  <si>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</si>
  <si>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</si>
  <si>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</si>
  <si>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</si>
  <si>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</si>
  <si>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</si>
  <si>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</si>
  <si>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</si>
  <si>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</si>
  <si>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</si>
  <si>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</si>
  <si>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</si>
  <si>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</si>
  <si>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</si>
  <si>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</si>
  <si>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</si>
  <si>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</si>
  <si>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</si>
  <si>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</si>
  <si>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</si>
  <si>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</si>
  <si>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</si>
  <si>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</si>
  <si>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</si>
  <si>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</si>
  <si>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</si>
  <si>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</si>
  <si>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</si>
  <si>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</si>
  <si>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</si>
  <si>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</si>
  <si>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</si>
  <si>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</si>
  <si>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</si>
  <si>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</si>
  <si>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</si>
  <si>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</si>
  <si>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</si>
  <si>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</si>
  <si>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</si>
  <si>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</si>
  <si>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</si>
  <si>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</si>
  <si>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</si>
  <si>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</si>
  <si>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</si>
  <si>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</si>
  <si>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</si>
  <si>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</si>
  <si>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</si>
  <si>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</si>
  <si>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</si>
  <si>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</si>
  <si>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</si>
  <si>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</si>
  <si>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</si>
  <si>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</si>
  <si>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</si>
  <si>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</si>
  <si>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</si>
  <si>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</si>
  <si>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</si>
  <si>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</si>
  <si>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</si>
  <si>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</si>
  <si>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</si>
  <si>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</si>
  <si>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</si>
  <si>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</si>
  <si>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</si>
  <si>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</si>
  <si>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</si>
  <si>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</si>
  <si>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</si>
  <si>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</si>
  <si>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</si>
  <si>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</si>
  <si>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</si>
  <si>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</si>
  <si>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</si>
  <si>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</si>
  <si>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</si>
  <si>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</si>
  <si>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</si>
  <si>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</si>
  <si>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</si>
  <si>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</si>
  <si>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</si>
  <si>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</si>
  <si>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</si>
  <si>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</si>
  <si>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</si>
  <si>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</si>
  <si>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</si>
  <si>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</si>
  <si>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</si>
  <si>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</si>
  <si>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</si>
  <si>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</si>
  <si>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</si>
  <si>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</si>
  <si>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</si>
  <si>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</si>
  <si>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</si>
  <si>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</si>
  <si>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</si>
  <si>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</si>
  <si>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</si>
  <si>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</si>
  <si>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</si>
  <si>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</si>
  <si>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</si>
  <si>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</si>
  <si>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</si>
  <si>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</si>
  <si>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</si>
  <si>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</si>
  <si>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</si>
  <si>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</si>
  <si>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</si>
  <si>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</si>
  <si>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</si>
  <si>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</si>
  <si>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</si>
  <si>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</si>
  <si>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</si>
  <si>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</si>
  <si>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</si>
  <si>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</si>
  <si>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</si>
  <si>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</si>
  <si>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</si>
  <si>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</si>
  <si>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</si>
  <si>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</si>
  <si>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</si>
  <si>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</si>
  <si>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</si>
  <si>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</si>
  <si>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</si>
  <si>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</si>
  <si>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</si>
  <si>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</si>
  <si>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</si>
  <si>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</si>
  <si>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</si>
  <si>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</si>
  <si>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</si>
  <si>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</si>
  <si>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</si>
  <si>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</si>
  <si>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</si>
  <si>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</si>
  <si>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</si>
  <si>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</si>
  <si>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</si>
  <si>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</si>
  <si>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</si>
  <si>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</si>
  <si>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</si>
  <si>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</si>
  <si>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</si>
  <si>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</si>
  <si>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</si>
  <si>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</si>
  <si>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</si>
  <si>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</si>
  <si>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</si>
  <si>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</si>
  <si>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</si>
  <si>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</si>
  <si>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</si>
  <si>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</si>
  <si>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</si>
  <si>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</si>
  <si>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</si>
  <si>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</si>
  <si>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</si>
  <si>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</si>
  <si>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</si>
  <si>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</si>
  <si>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</si>
  <si>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</si>
  <si>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</si>
  <si>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</si>
  <si>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</si>
  <si>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</si>
  <si>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</si>
  <si>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</si>
  <si>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</si>
  <si>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</si>
  <si>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</si>
  <si>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</si>
  <si>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</si>
  <si>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</si>
  <si>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</si>
  <si>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</si>
  <si>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</si>
  <si>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</si>
  <si>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</si>
  <si>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</si>
  <si>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</si>
  <si>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</si>
  <si>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</si>
  <si>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</si>
  <si>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</si>
  <si>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</si>
  <si>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</si>
  <si>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</si>
  <si>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</si>
  <si>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</si>
  <si>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</si>
  <si>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</si>
  <si>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</si>
  <si>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</si>
  <si>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</si>
  <si>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</si>
  <si>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</si>
  <si>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</si>
  <si>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</si>
  <si>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</si>
  <si>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</si>
  <si>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</si>
  <si>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</si>
  <si>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</si>
  <si>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</si>
  <si>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</si>
  <si>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</si>
  <si>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</si>
  <si>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</si>
  <si>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</si>
  <si>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</si>
  <si>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</si>
  <si>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</si>
  <si>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</si>
  <si>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</si>
  <si>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</si>
  <si>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</si>
  <si>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</si>
  <si>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</si>
  <si>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</si>
  <si>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</si>
  <si>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</si>
  <si>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</si>
  <si>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</si>
  <si>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</si>
  <si>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</si>
  <si>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</si>
  <si>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</si>
  <si>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</si>
  <si>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</si>
  <si>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</si>
  <si>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</si>
  <si>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</si>
  <si>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</si>
  <si>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</si>
  <si>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</si>
  <si>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</si>
  <si>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</si>
  <si>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</si>
  <si>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</si>
  <si>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</si>
  <si>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</si>
  <si>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</si>
  <si>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</si>
  <si>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</si>
  <si>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</si>
  <si>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</si>
  <si>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</si>
  <si>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</si>
  <si>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</si>
  <si>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</si>
  <si>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</si>
  <si>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</si>
  <si>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</si>
  <si>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</si>
  <si>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</si>
  <si>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</si>
  <si>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</si>
  <si>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</si>
  <si>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</si>
  <si>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</si>
  <si>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</si>
  <si>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</si>
  <si>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</si>
  <si>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</si>
  <si>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</si>
  <si>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</si>
  <si>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</si>
  <si>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</si>
  <si>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</si>
  <si>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</si>
  <si>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</si>
  <si>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</si>
  <si>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</si>
  <si>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</si>
  <si>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</si>
  <si>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</si>
  <si>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</si>
  <si>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</si>
  <si>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</si>
  <si>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</si>
  <si>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</si>
  <si>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</si>
  <si>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</si>
  <si>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</si>
  <si>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</si>
  <si>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</si>
  <si>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</si>
  <si>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</si>
  <si>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</si>
  <si>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</si>
  <si>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</si>
  <si>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</si>
  <si>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</si>
  <si>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</si>
  <si>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</si>
  <si>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</si>
  <si>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</si>
  <si>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</si>
  <si>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</si>
  <si>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</si>
  <si>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</si>
  <si>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</si>
  <si>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</si>
  <si>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</si>
  <si>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</si>
  <si>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</si>
  <si>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</si>
  <si>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</si>
  <si>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</si>
  <si>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</si>
  <si>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</si>
  <si>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</si>
  <si>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</si>
  <si>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</si>
  <si>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</si>
  <si>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</si>
  <si>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</si>
  <si>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</si>
  <si>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</si>
  <si>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</si>
  <si>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</si>
  <si>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</si>
  <si>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</si>
  <si>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</si>
  <si>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</si>
  <si>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</si>
  <si>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</si>
  <si>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</si>
  <si>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</si>
  <si>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</si>
  <si>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</si>
  <si>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</si>
  <si>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</si>
  <si>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</si>
  <si>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</si>
  <si>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</si>
  <si>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</si>
  <si>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</si>
  <si>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</si>
  <si>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</si>
  <si>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</si>
  <si>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</si>
  <si>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</si>
  <si>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</si>
  <si>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</si>
  <si>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</si>
  <si>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</si>
  <si>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</si>
  <si>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</si>
  <si>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</si>
  <si>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</si>
  <si>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</si>
  <si>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</si>
  <si>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</si>
  <si>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</si>
  <si>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</si>
  <si>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</si>
  <si>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</si>
  <si>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</si>
  <si>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</si>
  <si>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</si>
  <si>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</si>
  <si>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</si>
  <si>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</si>
  <si>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</si>
  <si>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</si>
  <si>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</si>
  <si>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</si>
  <si>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</si>
  <si>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</si>
  <si>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</si>
  <si>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</si>
  <si>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</si>
  <si>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</si>
  <si>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</si>
  <si>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</si>
  <si>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</si>
  <si>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</si>
  <si>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</si>
  <si>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</si>
  <si>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</si>
  <si>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</si>
  <si>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</si>
  <si>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</si>
  <si>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</si>
  <si>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</si>
  <si>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</si>
  <si>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</si>
  <si>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</si>
  <si>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</si>
  <si>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</si>
  <si>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</si>
  <si>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</si>
  <si>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</si>
  <si>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</si>
  <si>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</si>
  <si>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</si>
  <si>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</si>
  <si>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</si>
  <si>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</si>
  <si>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</si>
  <si>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</si>
  <si>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</si>
  <si>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</si>
  <si>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</si>
  <si>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</si>
  <si>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</si>
  <si>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</si>
  <si>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</si>
  <si>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</si>
  <si>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</si>
  <si>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</si>
  <si>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</si>
  <si>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</si>
  <si>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</si>
  <si>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</si>
  <si>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</si>
  <si>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</si>
  <si>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</si>
  <si>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</si>
  <si>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</si>
  <si>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</si>
  <si>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</si>
  <si>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</si>
  <si>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</si>
  <si>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</si>
  <si>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</si>
  <si>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</si>
  <si>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</si>
  <si>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</si>
  <si>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</si>
  <si>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</si>
  <si>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</si>
  <si>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</si>
  <si>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</si>
  <si>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</si>
  <si>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</si>
  <si>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</si>
  <si>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</si>
  <si>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</si>
  <si>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</si>
  <si>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</si>
  <si>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</si>
  <si>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</si>
  <si>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</si>
  <si>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</si>
  <si>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</si>
  <si>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</si>
  <si>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</si>
  <si>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</si>
  <si>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</si>
  <si>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</si>
  <si>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</si>
  <si>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</si>
  <si>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</si>
  <si>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</si>
  <si>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</si>
  <si>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</si>
  <si>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</si>
  <si>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</si>
  <si>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</si>
  <si>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</si>
  <si>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</si>
  <si>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</si>
  <si>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</si>
  <si>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</si>
  <si>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</si>
  <si>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</si>
  <si>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</si>
  <si>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</si>
  <si>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</si>
  <si>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</si>
  <si>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</si>
  <si>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</si>
  <si>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</si>
  <si>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</si>
  <si>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</si>
  <si>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</si>
  <si>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</si>
  <si>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</si>
  <si>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</si>
  <si>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</si>
  <si>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</si>
  <si>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</si>
  <si>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</si>
  <si>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</si>
  <si>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</si>
  <si>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</si>
  <si>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</si>
  <si>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</si>
  <si>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</si>
  <si>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</si>
  <si>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</si>
  <si>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</si>
  <si>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</si>
  <si>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</si>
  <si>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</si>
  <si>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</si>
  <si>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</si>
  <si>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</si>
  <si>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</si>
  <si>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</si>
  <si>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</si>
  <si>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</si>
  <si>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</si>
  <si>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</si>
  <si>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</si>
  <si>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</si>
  <si>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</si>
  <si>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</si>
  <si>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</si>
  <si>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</si>
  <si>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</si>
  <si>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</si>
  <si>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</si>
  <si>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</si>
  <si>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</si>
  <si>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</si>
  <si>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</si>
  <si>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</si>
  <si>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</si>
  <si>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</si>
  <si>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</si>
  <si>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</si>
  <si>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</si>
  <si>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</si>
  <si>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</si>
  <si>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</si>
  <si>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</si>
  <si>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</si>
  <si>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</si>
  <si>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</si>
  <si>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</si>
  <si>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</si>
  <si>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</si>
  <si>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</si>
  <si>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</si>
  <si>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</si>
  <si>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</si>
  <si>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</si>
  <si>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</si>
  <si>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</si>
  <si>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</si>
  <si>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</si>
  <si>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</si>
  <si>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</si>
  <si>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</si>
  <si>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</si>
  <si>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</si>
  <si>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</si>
  <si>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</si>
  <si>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</si>
  <si>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</si>
  <si>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</si>
  <si>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</si>
  <si>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</si>
  <si>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</si>
  <si>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</si>
  <si>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</si>
  <si>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</si>
  <si>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</si>
  <si>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</si>
  <si>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</si>
  <si>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</si>
  <si>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</si>
  <si>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</si>
  <si>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</si>
  <si>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</si>
  <si>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</si>
  <si>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</si>
  <si>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</si>
  <si>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</si>
  <si>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</si>
  <si>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</si>
  <si>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</si>
  <si>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</si>
  <si>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</si>
  <si>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</si>
  <si>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</si>
  <si>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</si>
  <si>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</si>
  <si>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</si>
  <si>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</si>
  <si>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</si>
  <si>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</si>
  <si>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</si>
  <si>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</si>
  <si>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</si>
  <si>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</si>
  <si>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</si>
  <si>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</si>
  <si>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</si>
  <si>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</si>
  <si>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</si>
  <si>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</si>
  <si>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</si>
  <si>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</si>
  <si>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</si>
  <si>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</si>
  <si>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</si>
  <si>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</si>
  <si>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</si>
  <si>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</si>
  <si>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</si>
  <si>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</si>
  <si>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</si>
  <si>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</si>
  <si>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</si>
  <si>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</si>
  <si>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</si>
  <si>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</si>
  <si>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</si>
  <si>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</si>
  <si>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</si>
  <si>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</si>
  <si>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</si>
  <si>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</si>
  <si>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</si>
  <si>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</si>
  <si>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</si>
  <si>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</si>
  <si>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</si>
  <si>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</si>
  <si>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</si>
  <si>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</si>
  <si>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</si>
  <si>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</si>
  <si>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</si>
  <si>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</si>
  <si>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</si>
  <si>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</si>
  <si>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</si>
  <si>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</si>
  <si>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</si>
  <si>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</si>
  <si>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</si>
  <si>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</si>
  <si>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</si>
  <si>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</si>
  <si>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</si>
  <si>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</si>
  <si>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</si>
  <si>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</si>
  <si>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</si>
  <si>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</si>
  <si>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</si>
  <si>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</si>
  <si>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</si>
  <si>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</si>
  <si>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</si>
  <si>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</si>
  <si>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</si>
  <si>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</si>
  <si>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</si>
  <si>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</si>
  <si>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</si>
  <si>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</si>
  <si>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</si>
  <si>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</si>
  <si>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</si>
  <si>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</si>
  <si>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</si>
  <si>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</si>
  <si>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</si>
  <si>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</si>
  <si>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</si>
  <si>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</si>
  <si>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</si>
  <si>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</si>
  <si>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</si>
  <si>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</si>
  <si>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</si>
  <si>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</si>
  <si>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</si>
  <si>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</si>
  <si>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</si>
  <si>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</si>
  <si>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</si>
  <si>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</si>
  <si>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</si>
  <si>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</si>
  <si>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</si>
  <si>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</si>
  <si>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</si>
  <si>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</si>
  <si>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</si>
  <si>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</si>
  <si>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</si>
  <si>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</si>
  <si>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</si>
  <si>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</si>
  <si>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</si>
  <si>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</si>
  <si>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</si>
  <si>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</si>
  <si>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</si>
  <si>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</si>
  <si>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</si>
  <si>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</si>
  <si>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</si>
  <si>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</si>
  <si>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</si>
  <si>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</si>
  <si>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</si>
  <si>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</si>
  <si>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</si>
  <si>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</si>
  <si>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</si>
  <si>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</si>
  <si>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</si>
  <si>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</si>
  <si>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</si>
  <si>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</si>
  <si>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</si>
  <si>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</si>
  <si>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</si>
  <si>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</si>
  <si>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</si>
  <si>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</si>
  <si>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</si>
  <si>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</si>
  <si>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</si>
  <si>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</si>
  <si>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</si>
  <si>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</si>
  <si>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</si>
  <si>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</si>
  <si>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</si>
  <si>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</si>
  <si>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</si>
  <si>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</si>
  <si>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</si>
  <si>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</si>
  <si>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</si>
  <si>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</si>
  <si>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</si>
  <si>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</si>
  <si>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</si>
  <si>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</si>
  <si>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</si>
  <si>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</si>
  <si>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</si>
  <si>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</si>
  <si>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</si>
  <si>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</si>
  <si>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</si>
  <si>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</si>
  <si>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</si>
  <si>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</si>
  <si>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</si>
  <si>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</si>
  <si>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</si>
  <si>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</si>
  <si>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</si>
  <si>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</si>
  <si>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</si>
  <si>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</si>
  <si>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</si>
  <si>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</si>
  <si>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</si>
  <si>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</si>
  <si>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</si>
  <si>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</si>
  <si>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</si>
  <si>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</si>
  <si>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</si>
  <si>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</si>
  <si>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</si>
  <si>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</si>
  <si>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</si>
  <si>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</si>
  <si>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</si>
  <si>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</si>
  <si>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</si>
  <si>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</si>
  <si>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</si>
  <si>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</si>
  <si>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</si>
  <si>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</si>
  <si>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</si>
  <si>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</si>
  <si>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</si>
  <si>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</si>
  <si>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</si>
  <si>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</si>
  <si>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</si>
  <si>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</si>
  <si>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</si>
  <si>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</si>
  <si>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</si>
  <si>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</si>
  <si>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</si>
  <si>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</si>
  <si>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</si>
  <si>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</si>
  <si>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</si>
  <si>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</si>
  <si>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</si>
  <si>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</si>
  <si>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</si>
  <si>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</si>
  <si>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</si>
  <si>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</si>
  <si>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</si>
  <si>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</si>
  <si>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</si>
  <si>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</si>
  <si>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</si>
  <si>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</si>
  <si>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</si>
  <si>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</si>
  <si>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</si>
  <si>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</si>
  <si>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</si>
  <si>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</si>
  <si>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</si>
  <si>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</si>
  <si>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</si>
  <si>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</si>
  <si>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</si>
  <si>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</si>
  <si>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</si>
  <si>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</si>
  <si>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</si>
  <si>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</si>
  <si>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</si>
  <si>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</si>
  <si>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</si>
  <si>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</si>
  <si>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</si>
  <si>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</si>
  <si>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</si>
  <si>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</si>
  <si>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</si>
  <si>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</si>
  <si>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</si>
  <si>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</si>
  <si>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</si>
  <si>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</si>
  <si>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</si>
  <si>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</si>
  <si>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</si>
  <si>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</si>
  <si>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</si>
  <si>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</si>
  <si>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</si>
  <si>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</si>
  <si>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</si>
  <si>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</si>
  <si>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</si>
  <si>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</si>
  <si>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</si>
  <si>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</si>
  <si>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</si>
  <si>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</si>
  <si>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</si>
  <si>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</si>
  <si>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</si>
  <si>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</si>
  <si>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</si>
  <si>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</si>
  <si>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</si>
  <si>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</si>
  <si>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</si>
  <si>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</si>
  <si>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</si>
  <si>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</si>
  <si>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</si>
  <si>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</si>
  <si>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</si>
  <si>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</si>
  <si>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</si>
  <si>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</si>
  <si>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</si>
  <si>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</si>
  <si>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</si>
  <si>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</si>
  <si>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</si>
  <si>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</si>
  <si>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</si>
  <si>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</si>
  <si>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</si>
  <si>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</si>
  <si>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</si>
  <si>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</si>
  <si>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</si>
  <si>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</si>
  <si>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</si>
  <si>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</si>
  <si>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</si>
  <si>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</si>
  <si>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</si>
  <si>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</si>
  <si>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</si>
  <si>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</si>
  <si>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</si>
  <si>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</si>
  <si>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</si>
  <si>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</si>
  <si>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</si>
  <si>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</si>
  <si>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</si>
  <si>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</si>
  <si>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</si>
  <si>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</si>
  <si>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</si>
  <si>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</si>
  <si>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</si>
  <si>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</si>
  <si>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</si>
  <si>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</si>
  <si>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</si>
  <si>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</si>
  <si>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</si>
  <si>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</si>
  <si>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</si>
  <si>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</si>
  <si>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</si>
  <si>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</si>
  <si>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</si>
  <si>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</si>
  <si>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</si>
  <si>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</si>
  <si>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</si>
  <si>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</si>
  <si>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</si>
  <si>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</si>
  <si>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</si>
  <si>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</si>
  <si>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</si>
  <si>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</si>
  <si>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</si>
  <si>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</si>
  <si>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</si>
  <si>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</si>
  <si>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</si>
  <si>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</si>
  <si>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</si>
  <si>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</si>
  <si>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</si>
  <si>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</si>
  <si>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</si>
  <si>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</si>
  <si>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</si>
  <si>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</si>
  <si>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</si>
  <si>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</si>
  <si>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</si>
  <si>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</si>
  <si>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</si>
  <si>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</si>
  <si>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</si>
  <si>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</si>
  <si>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</si>
  <si>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</si>
  <si>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</si>
  <si>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</si>
  <si>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</si>
  <si>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</si>
  <si>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</si>
  <si>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</si>
  <si>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</si>
  <si>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</si>
  <si>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</si>
  <si>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</si>
  <si>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</si>
  <si>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</si>
  <si>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</si>
  <si>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</si>
  <si>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</si>
  <si>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</si>
  <si>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</si>
  <si>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</si>
  <si>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</si>
  <si>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</si>
  <si>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</si>
  <si>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</si>
  <si>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</si>
  <si>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</si>
  <si>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</si>
  <si>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</si>
  <si>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</si>
  <si>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</si>
  <si>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</si>
  <si>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</si>
  <si>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</si>
  <si>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</si>
  <si>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</si>
  <si>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</si>
  <si>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</si>
  <si>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</si>
  <si>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</si>
  <si>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</si>
  <si>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</si>
  <si>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</si>
  <si>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</si>
  <si>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</si>
  <si>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</si>
  <si>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</si>
  <si>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</si>
  <si>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</si>
  <si>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</si>
  <si>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</si>
  <si>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</si>
  <si>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</si>
  <si>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</si>
  <si>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</si>
  <si>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</si>
  <si>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</si>
  <si>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</si>
  <si>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</si>
  <si>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</si>
  <si>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</si>
  <si>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</si>
  <si>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</si>
  <si>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</si>
  <si>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</si>
  <si>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</si>
  <si>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</si>
  <si>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</si>
  <si>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</si>
  <si>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</si>
  <si>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</si>
  <si>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</si>
  <si>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</si>
  <si>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</si>
  <si>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</si>
  <si>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</si>
  <si>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</si>
  <si>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</si>
  <si>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</si>
  <si>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</si>
  <si>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</si>
  <si>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</si>
  <si>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</si>
  <si>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</si>
  <si>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</si>
  <si>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</si>
  <si>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</si>
  <si>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</si>
  <si>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</si>
  <si>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</si>
  <si>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</si>
  <si>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</si>
  <si>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</si>
  <si>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</si>
  <si>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</si>
  <si>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</si>
  <si>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</si>
  <si>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</si>
  <si>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</si>
  <si>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</si>
  <si>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</si>
  <si>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</si>
  <si>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</si>
  <si>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</si>
  <si>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</si>
  <si>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</si>
  <si>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</si>
  <si>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</si>
  <si>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</si>
  <si>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</si>
  <si>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</si>
  <si>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</si>
  <si>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</si>
  <si>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</si>
  <si>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</si>
  <si>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</si>
  <si>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</si>
  <si>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</si>
  <si>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</si>
  <si>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</si>
  <si>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</si>
  <si>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</si>
  <si>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</si>
  <si>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</si>
  <si>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</si>
  <si>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</si>
  <si>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</si>
  <si>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</si>
  <si>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</si>
  <si>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</si>
  <si>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</si>
  <si>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</si>
  <si>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</si>
  <si>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</si>
  <si>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</si>
  <si>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</si>
  <si>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</si>
  <si>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</si>
  <si>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</si>
  <si>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</si>
  <si>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</si>
  <si>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</si>
  <si>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</si>
  <si>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</si>
  <si>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</si>
  <si>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</si>
  <si>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</si>
  <si>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</si>
  <si>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</si>
  <si>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</si>
  <si>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</si>
  <si>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</si>
  <si>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</si>
  <si>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</si>
  <si>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</si>
  <si>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</si>
  <si>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</si>
  <si>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</si>
  <si>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</si>
  <si>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</si>
  <si>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</si>
  <si>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</si>
  <si>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</si>
  <si>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</si>
  <si>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</si>
  <si>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</si>
  <si>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</si>
  <si>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</si>
  <si>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</si>
  <si>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</si>
  <si>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</si>
  <si>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</si>
  <si>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</si>
  <si>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</si>
  <si>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</si>
  <si>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</si>
  <si>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</si>
  <si>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</si>
  <si>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</si>
  <si>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</si>
  <si>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</si>
  <si>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</si>
  <si>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</si>
  <si>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</si>
  <si>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</si>
  <si>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</si>
  <si>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</si>
  <si>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</si>
  <si>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</si>
  <si>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</si>
  <si>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</si>
  <si>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</si>
  <si>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</si>
  <si>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</si>
  <si>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</si>
  <si>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</si>
  <si>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</si>
  <si>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</si>
  <si>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</si>
  <si>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</si>
  <si>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</si>
  <si>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</si>
  <si>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</si>
  <si>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</si>
  <si>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</si>
  <si>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</si>
  <si>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</si>
  <si>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</si>
  <si>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</si>
  <si>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</si>
  <si>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</si>
  <si>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</si>
  <si>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</si>
  <si>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</si>
  <si>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</si>
  <si>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</si>
  <si>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</si>
  <si>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</si>
  <si>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</si>
  <si>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</si>
  <si>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</si>
  <si>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</si>
  <si>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</si>
  <si>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</si>
  <si>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</si>
  <si>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</si>
  <si>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</si>
  <si>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</si>
  <si>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</si>
  <si>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</si>
  <si>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</si>
  <si>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</si>
  <si>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</si>
  <si>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</si>
  <si>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</si>
  <si>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</si>
  <si>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</si>
  <si>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</si>
  <si>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</si>
  <si>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</si>
  <si>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</si>
  <si>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</si>
  <si>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</si>
  <si>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</si>
  <si>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</si>
  <si>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</si>
  <si>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</si>
  <si>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</si>
  <si>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</si>
  <si>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</si>
  <si>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</si>
  <si>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</si>
  <si>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</si>
  <si>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</si>
  <si>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</si>
  <si>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</si>
  <si>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</si>
  <si>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</si>
  <si>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</si>
  <si>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</si>
  <si>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</si>
  <si>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</si>
  <si>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</si>
  <si>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</si>
  <si>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</si>
  <si>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</si>
  <si>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</si>
  <si>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</si>
  <si>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</si>
  <si>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</si>
  <si>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</si>
  <si>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</si>
  <si>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</si>
  <si>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</si>
  <si>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</si>
  <si>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</si>
  <si>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</si>
  <si>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</si>
  <si>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</si>
  <si>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</si>
  <si>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</si>
  <si>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</si>
  <si>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</si>
  <si>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</si>
  <si>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</si>
  <si>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</si>
  <si>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</si>
  <si>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</si>
  <si>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</si>
  <si>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</si>
  <si>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</si>
  <si>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</si>
  <si>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</si>
  <si>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</si>
  <si>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</si>
  <si>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</si>
  <si>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</si>
  <si>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</si>
  <si>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</si>
  <si>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</si>
  <si>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</si>
  <si>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</si>
  <si>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</si>
  <si>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</si>
  <si>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</si>
  <si>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</si>
  <si>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</si>
  <si>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</si>
  <si>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</si>
  <si>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</si>
  <si>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</si>
  <si>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</si>
  <si>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</si>
  <si>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</si>
  <si>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</si>
  <si>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</si>
  <si>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</si>
  <si>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</si>
  <si>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</si>
  <si>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</si>
  <si>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</si>
  <si>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</si>
  <si>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</si>
  <si>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</si>
  <si>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</si>
  <si>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</si>
  <si>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</si>
  <si>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</si>
  <si>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</si>
  <si>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</si>
  <si>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</si>
  <si>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</si>
  <si>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</si>
  <si>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</si>
  <si>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</si>
  <si>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</si>
  <si>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</si>
  <si>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</si>
  <si>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</si>
  <si>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</si>
  <si>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</si>
  <si>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</si>
  <si>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</si>
  <si>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</si>
  <si>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</si>
  <si>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</si>
  <si>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</si>
  <si>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</si>
  <si>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</si>
  <si>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</si>
  <si>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</si>
  <si>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</si>
  <si>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</si>
  <si>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</si>
  <si>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</si>
  <si>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</si>
  <si>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</si>
  <si>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</si>
  <si>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</si>
  <si>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</si>
  <si>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</si>
  <si>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</si>
  <si>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</si>
  <si>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</si>
  <si>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</si>
  <si>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</si>
  <si>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</si>
  <si>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</si>
  <si>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</si>
  <si>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</si>
  <si>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</si>
  <si>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</si>
  <si>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</si>
  <si>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</si>
  <si>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</si>
  <si>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</si>
  <si>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</si>
  <si>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</si>
  <si>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</si>
  <si>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</si>
  <si>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</si>
  <si>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</si>
  <si>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</si>
  <si>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</si>
  <si>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</si>
  <si>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</si>
  <si>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</si>
  <si>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</si>
  <si>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</si>
  <si>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</si>
  <si>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</si>
  <si>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</si>
  <si>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</si>
  <si>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</si>
  <si>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</si>
  <si>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</si>
  <si>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</si>
  <si>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</si>
  <si>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</si>
  <si>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</si>
  <si>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</si>
  <si>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</si>
  <si>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</si>
  <si>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</si>
  <si>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</si>
  <si>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</si>
  <si>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</si>
  <si>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</si>
  <si>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</si>
  <si>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</si>
  <si>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</si>
  <si>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</si>
  <si>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</si>
  <si>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</si>
  <si>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</si>
  <si>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</si>
  <si>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</si>
  <si>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</si>
  <si>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</si>
  <si>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</si>
  <si>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</si>
  <si>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</si>
  <si>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</si>
  <si>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</si>
  <si>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</si>
  <si>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</si>
  <si>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</si>
  <si>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</si>
  <si>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</si>
  <si>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</si>
  <si>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</si>
  <si>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</si>
  <si>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</si>
  <si>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</si>
  <si>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</si>
  <si>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</si>
  <si>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</si>
  <si>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</si>
  <si>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</si>
  <si>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</si>
  <si>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</si>
  <si>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</si>
  <si>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</si>
  <si>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</si>
  <si>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</si>
  <si>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</si>
  <si>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</si>
  <si>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</si>
  <si>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</si>
  <si>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</si>
  <si>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</si>
  <si>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</si>
  <si>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</si>
  <si>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</si>
  <si>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</si>
  <si>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</si>
  <si>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</si>
  <si>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</si>
  <si>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</si>
  <si>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</si>
  <si>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</si>
  <si>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</si>
  <si>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</si>
  <si>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</si>
  <si>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</si>
  <si>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</si>
  <si>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</si>
  <si>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</si>
  <si>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</si>
  <si>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</si>
  <si>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</si>
  <si>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</si>
  <si>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</si>
  <si>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</si>
  <si>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</si>
  <si>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</si>
  <si>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</si>
  <si>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</si>
  <si>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</si>
  <si>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</si>
  <si>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</si>
  <si>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</si>
  <si>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</si>
  <si>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</si>
  <si>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</si>
  <si>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</si>
  <si>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</si>
  <si>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</si>
  <si>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</si>
  <si>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</si>
  <si>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</si>
  <si>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</si>
  <si>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</si>
  <si>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</si>
  <si>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</si>
  <si>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</si>
  <si>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</si>
  <si>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</si>
  <si>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</si>
  <si>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</si>
  <si>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</si>
  <si>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</si>
  <si>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</si>
  <si>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</si>
  <si>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</si>
  <si>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</si>
  <si>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</si>
  <si>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</si>
  <si>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</si>
  <si>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</si>
  <si>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</si>
  <si>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</si>
  <si>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</si>
  <si>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</si>
  <si>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</si>
  <si>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</si>
  <si>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</si>
  <si>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</si>
  <si>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</si>
  <si>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</si>
  <si>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</si>
  <si>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</si>
  <si>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</si>
  <si>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</si>
  <si>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</si>
  <si>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</si>
  <si>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</si>
  <si>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</si>
  <si>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</si>
  <si>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</si>
  <si>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</si>
  <si>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</si>
  <si>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</si>
  <si>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</si>
  <si>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</si>
  <si>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</si>
  <si>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</si>
  <si>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</si>
  <si>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</si>
  <si>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</si>
  <si>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</si>
  <si>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</si>
  <si>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</si>
  <si>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</si>
  <si>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</si>
  <si>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</si>
  <si>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</si>
  <si>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</si>
  <si>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</si>
  <si>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</si>
  <si>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</si>
  <si>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</si>
  <si>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</si>
  <si>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</si>
  <si>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</si>
  <si>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</si>
  <si>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</si>
  <si>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</si>
  <si>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</si>
  <si>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</si>
  <si>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</si>
  <si>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</si>
  <si>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</si>
  <si>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</si>
  <si>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</si>
  <si>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</si>
  <si>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</si>
  <si>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</si>
  <si>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</si>
  <si>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</si>
  <si>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</si>
  <si>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</si>
  <si>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</si>
  <si>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</si>
  <si>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</si>
  <si>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</si>
  <si>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</si>
  <si>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</si>
  <si>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</si>
  <si>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</si>
  <si>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</si>
  <si>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</si>
  <si>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</si>
  <si>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</si>
  <si>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</si>
  <si>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</si>
  <si>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</si>
  <si>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</si>
  <si>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</si>
  <si>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</si>
  <si>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</si>
  <si>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</si>
  <si>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</si>
  <si>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</si>
  <si>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</si>
  <si>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</si>
  <si>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</si>
  <si>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</si>
  <si>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</si>
  <si>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</si>
  <si>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</si>
  <si>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</si>
  <si>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</si>
  <si>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</si>
  <si>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</si>
  <si>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</si>
  <si>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</si>
  <si>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</si>
  <si>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</si>
  <si>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</si>
  <si>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</si>
  <si>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</si>
  <si>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</si>
  <si>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</si>
  <si>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</si>
  <si>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</si>
  <si>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</si>
  <si>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</si>
  <si>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</si>
  <si>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</si>
  <si>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</si>
  <si>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</si>
  <si>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</si>
  <si>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</si>
  <si>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</si>
  <si>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</si>
  <si>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</si>
  <si>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</si>
  <si>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</si>
  <si>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</si>
  <si>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</si>
  <si>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</si>
  <si>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</si>
  <si>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</si>
  <si>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</si>
  <si>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</si>
  <si>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</si>
  <si>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</si>
  <si>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</si>
  <si>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</si>
  <si>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</si>
  <si>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</si>
  <si>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</si>
  <si>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</si>
  <si>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</si>
  <si>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</si>
  <si>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</si>
  <si>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</si>
  <si>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</si>
  <si>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</si>
  <si>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</si>
  <si>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</si>
  <si>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</si>
  <si>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</si>
  <si>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</si>
  <si>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</si>
  <si>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</si>
  <si>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</si>
  <si>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</si>
  <si>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</si>
  <si>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</si>
  <si>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</si>
  <si>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</si>
  <si>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</si>
  <si>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</si>
  <si>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</si>
  <si>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</si>
  <si>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</si>
  <si>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</si>
  <si>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</si>
  <si>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</si>
  <si>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</si>
  <si>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</si>
  <si>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</si>
  <si>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</si>
  <si>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</si>
  <si>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</si>
  <si>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</si>
  <si>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</si>
  <si>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</si>
  <si>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</si>
  <si>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</si>
  <si>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</si>
  <si>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</si>
  <si>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</si>
  <si>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</si>
  <si>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</si>
  <si>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</si>
  <si>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</si>
  <si>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</si>
  <si>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</si>
  <si>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</si>
  <si>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</si>
  <si>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</si>
  <si>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</si>
  <si>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</si>
  <si>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</si>
  <si>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</si>
  <si>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</si>
  <si>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</si>
  <si>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</si>
  <si>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</si>
  <si>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</si>
  <si>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</si>
  <si>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</si>
  <si>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</si>
  <si>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</si>
  <si>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</si>
  <si>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</si>
  <si>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</si>
  <si>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</si>
  <si>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</si>
  <si>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</si>
  <si>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</si>
  <si>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</si>
  <si>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</si>
  <si>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</si>
  <si>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</si>
  <si>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</si>
  <si>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</si>
  <si>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</si>
  <si>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</si>
  <si>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</si>
  <si>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</si>
  <si>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</si>
  <si>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</si>
  <si>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</si>
  <si>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</si>
  <si>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</si>
  <si>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</si>
  <si>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</si>
  <si>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</si>
  <si>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</si>
  <si>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</si>
  <si>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</si>
  <si>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</si>
  <si>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</si>
  <si>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</si>
  <si>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</si>
  <si>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</si>
  <si>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</si>
  <si>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</si>
  <si>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</si>
  <si>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</si>
  <si>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</si>
  <si>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</si>
  <si>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</si>
  <si>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</si>
  <si>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</si>
  <si>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</si>
  <si>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</si>
  <si>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</si>
  <si>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</si>
  <si>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</si>
  <si>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</si>
  <si>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</si>
  <si>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</si>
  <si>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</si>
  <si>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</si>
  <si>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</si>
  <si>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</si>
  <si>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</si>
  <si>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</si>
  <si>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</si>
  <si>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</si>
  <si>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</si>
  <si>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</si>
  <si>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</si>
  <si>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</si>
  <si>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</si>
  <si>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</si>
  <si>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</si>
  <si>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</si>
  <si>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</si>
  <si>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</si>
  <si>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</si>
  <si>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</si>
  <si>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</si>
  <si>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</si>
  <si>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</si>
  <si>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</si>
  <si>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</si>
  <si>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</si>
  <si>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</si>
  <si>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</si>
  <si>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</si>
  <si>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</si>
  <si>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</si>
  <si>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</si>
  <si>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</si>
  <si>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</si>
  <si>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</si>
  <si>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</si>
  <si>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</si>
  <si>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</si>
  <si>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</si>
  <si>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</si>
  <si>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</si>
  <si>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</si>
  <si>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</si>
  <si>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</si>
  <si>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</si>
  <si>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</si>
  <si>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</si>
  <si>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</si>
  <si>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</si>
  <si>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</si>
  <si>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</si>
  <si>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</si>
  <si>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</si>
  <si>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</si>
  <si>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</si>
  <si>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</si>
  <si>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</si>
  <si>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</si>
  <si>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</si>
  <si>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</si>
  <si>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</si>
  <si>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</si>
  <si>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</si>
  <si>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</si>
  <si>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</si>
  <si>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</si>
  <si>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</si>
  <si>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</si>
  <si>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</si>
  <si>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</si>
  <si>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</si>
  <si>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</si>
  <si>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</si>
  <si>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</si>
  <si>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</si>
  <si>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</si>
  <si>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</si>
  <si>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</si>
  <si>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</si>
  <si>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</si>
  <si>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</si>
  <si>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</si>
  <si>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</si>
  <si>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</si>
  <si>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</si>
  <si>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</si>
  <si>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</si>
  <si>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</si>
  <si>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</si>
  <si>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</si>
  <si>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</si>
  <si>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</si>
  <si>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</si>
  <si>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</si>
  <si>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</si>
  <si>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</si>
  <si>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</si>
  <si>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</si>
  <si>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</si>
  <si>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</si>
  <si>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</si>
  <si>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</si>
  <si>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</si>
  <si>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</si>
  <si>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</si>
  <si>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</si>
  <si>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</si>
  <si>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</si>
  <si>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</si>
  <si>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</si>
  <si>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</si>
  <si>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</si>
  <si>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</si>
  <si>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</si>
  <si>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</si>
  <si>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</si>
  <si>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</si>
  <si>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</si>
  <si>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</si>
  <si>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</si>
  <si>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</si>
  <si>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</si>
  <si>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</si>
  <si>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</si>
  <si>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</si>
  <si>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</si>
  <si>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</si>
  <si>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</si>
  <si>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</si>
  <si>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</si>
  <si>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</si>
  <si>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</si>
  <si>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</si>
  <si>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</si>
  <si>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</si>
  <si>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</si>
  <si>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</si>
  <si>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</si>
  <si>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</si>
  <si>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</si>
  <si>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</si>
  <si>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</si>
  <si>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</si>
  <si>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</si>
  <si>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</si>
  <si>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</si>
  <si>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</si>
  <si>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</si>
  <si>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</si>
  <si>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</si>
  <si>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</si>
  <si>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</si>
  <si>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</si>
  <si>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</si>
  <si>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</si>
  <si>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</si>
  <si>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</si>
  <si>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</si>
  <si>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</si>
  <si>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</si>
  <si>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</si>
  <si>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</si>
  <si>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</si>
  <si>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</si>
  <si>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</si>
  <si>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</si>
  <si>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</si>
  <si>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</si>
  <si>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</si>
  <si>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</si>
  <si>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</si>
  <si>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</si>
  <si>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</si>
  <si>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</si>
  <si>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</si>
  <si>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</si>
  <si>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</si>
  <si>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</si>
  <si>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</si>
  <si>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</si>
  <si>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</si>
  <si>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</si>
  <si>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</si>
  <si>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</si>
  <si>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</si>
  <si>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</si>
  <si>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</si>
  <si>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</si>
  <si>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</si>
  <si>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</si>
  <si>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</si>
  <si>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</si>
  <si>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</si>
  <si>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</si>
  <si>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</si>
  <si>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</si>
  <si>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</si>
  <si>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</si>
  <si>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</si>
  <si>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</si>
  <si>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</si>
  <si>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</si>
  <si>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</si>
  <si>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</si>
  <si>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</si>
  <si>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</si>
  <si>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</si>
  <si>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</si>
  <si>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</si>
  <si>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</si>
  <si>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</si>
  <si>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</si>
  <si>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</si>
  <si>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</si>
  <si>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</si>
  <si>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</si>
  <si>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</si>
  <si>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</si>
  <si>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</si>
  <si>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</si>
  <si>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</si>
  <si>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</si>
  <si>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</si>
  <si>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</si>
  <si>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</si>
  <si>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</si>
  <si>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</si>
  <si>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</si>
  <si>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</si>
  <si>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</si>
  <si>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</si>
  <si>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</si>
  <si>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</si>
  <si>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</si>
  <si>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</si>
  <si>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</si>
  <si>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</si>
  <si>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</si>
  <si>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</si>
  <si>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</si>
  <si>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</si>
  <si>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</si>
  <si>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</si>
  <si>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</si>
  <si>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</si>
  <si>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</si>
  <si>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</si>
  <si>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</si>
  <si>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</si>
  <si>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</si>
  <si>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</si>
  <si>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</si>
  <si>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</si>
  <si>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</si>
  <si>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</si>
  <si>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</si>
  <si>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</si>
  <si>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</si>
  <si>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</si>
  <si>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</si>
  <si>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</si>
  <si>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</si>
  <si>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</si>
  <si>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</si>
  <si>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</si>
  <si>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</si>
  <si>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</si>
  <si>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</si>
  <si>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</si>
  <si>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</si>
  <si>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</si>
  <si>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</si>
  <si>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</si>
  <si>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</si>
  <si>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</si>
  <si>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</si>
  <si>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</si>
  <si>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</si>
  <si>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</si>
  <si>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</si>
  <si>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</si>
  <si>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</si>
  <si>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</si>
  <si>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</si>
  <si>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</si>
  <si>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</si>
  <si>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</si>
  <si>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</si>
  <si>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</si>
  <si>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</si>
  <si>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</si>
  <si>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</si>
  <si>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</si>
  <si>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</si>
  <si>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</si>
  <si>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</si>
  <si>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</si>
  <si>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</si>
  <si>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</si>
  <si>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</si>
  <si>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</si>
  <si>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</si>
  <si>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</si>
  <si>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</si>
  <si>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</si>
  <si>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</si>
  <si>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</si>
  <si>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</si>
  <si>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</si>
  <si>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</si>
  <si>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</si>
  <si>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</si>
  <si>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</si>
  <si>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</si>
  <si>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</si>
  <si>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</si>
  <si>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</si>
  <si>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</si>
  <si>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</si>
  <si>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</si>
  <si>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</si>
  <si>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</si>
  <si>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</si>
  <si>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</si>
  <si>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</si>
  <si>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</si>
  <si>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</si>
  <si>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</si>
  <si>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</si>
  <si>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</si>
  <si>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</si>
  <si>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</si>
  <si>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</si>
  <si>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</si>
  <si>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</si>
  <si>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</si>
  <si>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</si>
  <si>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</si>
  <si>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</si>
  <si>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</si>
  <si>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</si>
  <si>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</si>
  <si>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</si>
  <si>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</si>
  <si>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</si>
  <si>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</si>
  <si>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</si>
  <si>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</si>
  <si>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</si>
  <si>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</si>
  <si>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</si>
  <si>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</si>
  <si>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</si>
  <si>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</si>
  <si>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</si>
  <si>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</si>
  <si>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</si>
  <si>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</si>
  <si>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</si>
  <si>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</si>
  <si>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</si>
  <si>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</si>
  <si>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</si>
  <si>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</si>
  <si>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</si>
  <si>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</si>
  <si>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</si>
  <si>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</si>
  <si>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</si>
  <si>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</si>
  <si>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</si>
  <si>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</si>
  <si>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</si>
  <si>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</si>
  <si>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</si>
  <si>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</si>
  <si>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</si>
  <si>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</si>
  <si>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</si>
  <si>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</si>
  <si>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</si>
  <si>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</si>
  <si>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</si>
  <si>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</si>
  <si>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</si>
  <si>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</si>
  <si>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</si>
  <si>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</si>
  <si>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</si>
  <si>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</si>
  <si>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</si>
  <si>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</si>
  <si>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</si>
  <si>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</si>
  <si>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</si>
  <si>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</si>
  <si>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</si>
  <si>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</si>
  <si>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</si>
  <si>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</si>
  <si>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</si>
  <si>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</si>
  <si>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</si>
  <si>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</si>
  <si>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</si>
  <si>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</si>
  <si>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</si>
  <si>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</si>
  <si>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</si>
  <si>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</si>
  <si>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</si>
  <si>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</si>
  <si>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</si>
  <si>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</si>
  <si>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</si>
  <si>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</si>
  <si>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</si>
  <si>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</si>
  <si>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</si>
  <si>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</si>
  <si>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</si>
  <si>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</si>
  <si>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</si>
  <si>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</si>
  <si>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</si>
  <si>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</si>
  <si>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</si>
  <si>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</si>
  <si>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</si>
  <si>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</si>
  <si>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</si>
  <si>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</si>
  <si>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</si>
  <si>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</si>
  <si>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</si>
  <si>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</si>
  <si>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</si>
  <si>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</si>
  <si>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</si>
  <si>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</si>
  <si>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</si>
  <si>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</si>
  <si>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</si>
  <si>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</si>
  <si>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</si>
  <si>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</si>
  <si>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</si>
  <si>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</si>
  <si>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</si>
  <si>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</si>
  <si>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</si>
  <si>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</si>
  <si>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</si>
  <si>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</si>
  <si>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</si>
  <si>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</si>
  <si>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</si>
  <si>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</si>
  <si>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</si>
  <si>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</si>
  <si>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</si>
  <si>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</si>
  <si>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</si>
  <si>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</si>
  <si>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</si>
  <si>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</si>
  <si>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</si>
  <si>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</si>
  <si>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</si>
  <si>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</si>
  <si>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</si>
  <si>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</si>
  <si>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</si>
  <si>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</si>
  <si>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</si>
  <si>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</si>
  <si>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</si>
  <si>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</si>
  <si>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</si>
  <si>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</si>
  <si>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</si>
  <si>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</si>
  <si>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</si>
  <si>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</si>
  <si>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</si>
  <si>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</si>
  <si>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</si>
  <si>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</si>
  <si>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</si>
  <si>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</si>
  <si>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</si>
  <si>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</si>
  <si>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</si>
  <si>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</si>
  <si>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</si>
  <si>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</si>
  <si>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</si>
  <si>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</si>
  <si>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</si>
  <si>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</si>
  <si>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</si>
  <si>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</si>
  <si>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</si>
  <si>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</si>
  <si>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</si>
  <si>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</si>
  <si>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</si>
  <si>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</si>
  <si>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</si>
  <si>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</si>
  <si>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</si>
  <si>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</si>
  <si>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</si>
  <si>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</si>
  <si>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</si>
  <si>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</si>
  <si>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</si>
  <si>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</si>
  <si>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</si>
  <si>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</si>
  <si>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</si>
  <si>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</si>
  <si>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</si>
  <si>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</si>
  <si>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</si>
  <si>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</si>
  <si>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</si>
  <si>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</si>
  <si>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</si>
  <si>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</si>
  <si>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</si>
  <si>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</si>
  <si>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</si>
  <si>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</si>
  <si>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</si>
  <si>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</si>
  <si>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</si>
  <si>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</si>
  <si>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</si>
  <si>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</si>
  <si>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</si>
  <si>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</si>
  <si>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</si>
  <si>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</si>
  <si>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</si>
  <si>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</si>
  <si>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</si>
  <si>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</si>
  <si>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</si>
  <si>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</si>
  <si>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</si>
  <si>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</si>
  <si>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</si>
  <si>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</si>
  <si>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</si>
  <si>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</si>
  <si>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</si>
  <si>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</si>
  <si>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</si>
  <si>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</si>
  <si>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</si>
  <si>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</si>
  <si>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</si>
  <si>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</si>
  <si>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</si>
  <si>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</si>
  <si>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</si>
  <si>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</si>
  <si>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</si>
  <si>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</si>
  <si>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</si>
  <si>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</si>
  <si>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</si>
  <si>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</si>
  <si>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</si>
  <si>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</si>
  <si>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</si>
  <si>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</si>
  <si>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</si>
  <si>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</si>
  <si>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</si>
  <si>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</si>
  <si>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</si>
  <si>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</si>
  <si>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</si>
  <si>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</si>
  <si>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</si>
  <si>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</si>
  <si>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</si>
  <si>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</si>
  <si>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</si>
  <si>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</si>
  <si>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</si>
  <si>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</si>
  <si>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</si>
  <si>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</si>
  <si>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</si>
  <si>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</si>
  <si>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</si>
  <si>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</si>
  <si>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</si>
  <si>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</si>
  <si>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</si>
  <si>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</si>
  <si>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</si>
  <si>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</si>
  <si>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</si>
  <si>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</si>
  <si>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</si>
  <si>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</si>
  <si>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</si>
  <si>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</si>
  <si>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</si>
  <si>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</si>
  <si>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</si>
  <si>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</si>
  <si>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</si>
  <si>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</si>
  <si>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</si>
  <si>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</si>
  <si>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</si>
  <si>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</si>
  <si>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</si>
  <si>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</si>
  <si>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</si>
  <si>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</si>
  <si>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</si>
  <si>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</si>
  <si>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</si>
  <si>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</si>
  <si>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</si>
  <si>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</si>
  <si>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</si>
  <si>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</si>
  <si>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</si>
  <si>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</si>
  <si>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</si>
  <si>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</si>
  <si>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</si>
  <si>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</si>
  <si>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</si>
  <si>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</si>
  <si>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</si>
  <si>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</si>
  <si>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</si>
  <si>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</si>
  <si>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</si>
  <si>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</si>
  <si>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</si>
  <si>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</si>
  <si>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</si>
  <si>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</si>
  <si>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</si>
  <si>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</si>
  <si>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</si>
  <si>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</si>
  <si>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</si>
  <si>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</si>
  <si>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</si>
  <si>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</si>
  <si>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</si>
  <si>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</si>
  <si>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</si>
  <si>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</si>
  <si>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</si>
  <si>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</si>
  <si>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</si>
  <si>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</si>
  <si>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</si>
  <si>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</si>
  <si>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</si>
  <si>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</si>
  <si>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</si>
  <si>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</si>
  <si>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</si>
  <si>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</si>
  <si>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</si>
  <si>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</si>
  <si>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</si>
  <si>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</si>
  <si>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</si>
  <si>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</si>
  <si>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</si>
  <si>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</si>
  <si>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</si>
  <si>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</si>
  <si>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</si>
  <si>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</si>
  <si>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</si>
  <si>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</si>
  <si>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</si>
  <si>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</si>
  <si>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</si>
  <si>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</si>
  <si>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</si>
  <si>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</si>
  <si>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</si>
  <si>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</si>
  <si>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</si>
  <si>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</si>
  <si>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</si>
  <si>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</si>
  <si>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</si>
  <si>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</si>
  <si>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</si>
  <si>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</si>
  <si>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</si>
  <si>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</si>
  <si>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</si>
  <si>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</si>
  <si>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</si>
  <si>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</si>
  <si>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</si>
  <si>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</si>
  <si>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</si>
  <si>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</si>
  <si>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</si>
  <si>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</si>
  <si>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</si>
  <si>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</si>
  <si>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</si>
  <si>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</si>
  <si>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</si>
  <si>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</si>
  <si>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</si>
  <si>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</si>
  <si>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</si>
  <si>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</si>
  <si>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</si>
  <si>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</si>
  <si>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</si>
  <si>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</si>
  <si>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</si>
  <si>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</si>
  <si>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</si>
  <si>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</si>
  <si>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</si>
  <si>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</si>
  <si>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</si>
  <si>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</si>
  <si>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</si>
  <si>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</si>
  <si>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</si>
  <si>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</si>
  <si>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</si>
  <si>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</si>
  <si>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</si>
  <si>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</si>
  <si>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</si>
  <si>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</si>
  <si>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</si>
  <si>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</si>
  <si>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</si>
  <si>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</si>
  <si>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</si>
  <si>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</si>
  <si>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</si>
  <si>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</si>
  <si>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</si>
  <si>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</si>
  <si>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</si>
  <si>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</si>
  <si>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</si>
  <si>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</si>
  <si>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</si>
  <si>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</si>
  <si>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</si>
  <si>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</si>
  <si>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</si>
  <si>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</si>
  <si>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</si>
  <si>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</si>
  <si>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</si>
  <si>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</si>
  <si>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</si>
  <si>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</si>
  <si>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</si>
  <si>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</si>
  <si>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</si>
  <si>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</si>
  <si>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</si>
  <si>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</si>
  <si>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</si>
  <si>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</si>
  <si>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</si>
  <si>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</si>
  <si>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</si>
  <si>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</si>
  <si>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</si>
  <si>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</si>
  <si>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</si>
  <si>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</si>
  <si>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</si>
  <si>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</si>
  <si>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</si>
  <si>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</si>
  <si>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</si>
  <si>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</si>
  <si>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</si>
  <si>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</si>
  <si>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</si>
  <si>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</si>
  <si>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</si>
  <si>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</si>
  <si>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</si>
  <si>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</si>
  <si>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</si>
  <si>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</si>
  <si>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</si>
  <si>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</si>
  <si>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</si>
  <si>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</si>
  <si>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</si>
  <si>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</si>
  <si>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</si>
  <si>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</si>
  <si>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</si>
  <si>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</si>
  <si>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</si>
  <si>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</si>
  <si>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</si>
  <si>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</si>
  <si>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</si>
  <si>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</si>
  <si>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</si>
  <si>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</si>
  <si>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</si>
  <si>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</si>
  <si>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</si>
  <si>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</si>
  <si>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</si>
  <si>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</si>
  <si>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</si>
  <si>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</si>
  <si>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</si>
  <si>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</si>
  <si>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</si>
  <si>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</si>
  <si>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</si>
  <si>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</si>
  <si>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</si>
  <si>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</si>
  <si>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</si>
  <si>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</si>
  <si>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</si>
  <si>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</si>
  <si>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</si>
  <si>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</si>
  <si>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</si>
  <si>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</si>
  <si>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</si>
  <si>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</si>
  <si>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</si>
  <si>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</si>
  <si>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</si>
  <si>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</si>
  <si>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</si>
  <si>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</si>
  <si>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</si>
  <si>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</si>
  <si>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</si>
  <si>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</si>
  <si>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</si>
  <si>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</si>
  <si>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</si>
  <si>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</si>
  <si>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</si>
  <si>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</si>
  <si>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</si>
  <si>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</si>
  <si>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</si>
  <si>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</si>
  <si>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</si>
  <si>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</si>
  <si>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</si>
  <si>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</si>
  <si>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</si>
  <si>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</si>
  <si>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</si>
  <si>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</si>
  <si>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</si>
  <si>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</si>
  <si>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</si>
  <si>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</si>
  <si>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</si>
  <si>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</si>
  <si>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</si>
  <si>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</si>
  <si>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</si>
  <si>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</si>
  <si>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</si>
  <si>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</si>
  <si>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</si>
  <si>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</si>
  <si>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</si>
  <si>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</si>
  <si>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</si>
  <si>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</si>
  <si>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</si>
  <si>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</si>
  <si>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</si>
  <si>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</si>
  <si>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</si>
  <si>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</si>
  <si>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</si>
  <si>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</si>
  <si>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</si>
  <si>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</si>
  <si>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</si>
  <si>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</si>
  <si>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</si>
  <si>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</si>
  <si>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</si>
  <si>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</si>
  <si>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</si>
  <si>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</si>
  <si>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</si>
  <si>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</si>
  <si>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</si>
  <si>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</si>
  <si>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</si>
  <si>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</si>
  <si>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</si>
  <si>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</si>
  <si>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</si>
  <si>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</si>
  <si>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</si>
  <si>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</si>
  <si>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</si>
  <si>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</si>
  <si>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</si>
  <si>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</si>
  <si>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</si>
  <si>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</si>
  <si>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</si>
  <si>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</si>
  <si>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</si>
  <si>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</si>
  <si>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</si>
  <si>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</si>
  <si>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</si>
  <si>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</si>
  <si>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</si>
  <si>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</si>
  <si>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</si>
  <si>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</si>
  <si>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</si>
  <si>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</si>
  <si>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</si>
  <si>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</si>
  <si>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</si>
  <si>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</si>
  <si>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</si>
  <si>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</si>
  <si>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</si>
  <si>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</si>
  <si>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</si>
  <si>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</si>
  <si>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</si>
  <si>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</si>
  <si>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</si>
  <si>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</si>
  <si>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</si>
  <si>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</si>
  <si>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</si>
  <si>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</si>
  <si>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</si>
  <si>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</si>
  <si>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</si>
  <si>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</si>
  <si>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</si>
  <si>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</si>
  <si>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</si>
  <si>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</si>
  <si>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</si>
  <si>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</si>
  <si>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</si>
  <si>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</si>
  <si>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</si>
  <si>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</si>
  <si>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</si>
  <si>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</si>
  <si>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</si>
  <si>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</si>
  <si>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</si>
  <si>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</si>
  <si>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</si>
  <si>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</si>
  <si>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</si>
  <si>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</si>
  <si>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</si>
  <si>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</si>
  <si>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</si>
  <si>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</si>
  <si>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</si>
  <si>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</si>
  <si>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</si>
  <si>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</si>
  <si>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</si>
  <si>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</si>
  <si>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</si>
  <si>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</si>
  <si>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</si>
  <si>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</si>
  <si>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</si>
  <si>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</si>
  <si>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</si>
  <si>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</si>
  <si>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</si>
  <si>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</si>
  <si>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</si>
  <si>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</si>
  <si>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</si>
  <si>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</si>
  <si>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</si>
  <si>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</si>
  <si>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</si>
  <si>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</si>
  <si>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</si>
  <si>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</si>
  <si>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</si>
  <si>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</si>
  <si>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</si>
  <si>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</si>
  <si>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</si>
  <si>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</si>
  <si>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</si>
  <si>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</si>
  <si>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</si>
  <si>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</si>
  <si>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</si>
  <si>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</si>
  <si>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</si>
  <si>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</si>
  <si>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</si>
  <si>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</si>
  <si>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</si>
  <si>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</si>
  <si>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</si>
  <si>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</si>
  <si>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</si>
  <si>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</si>
  <si>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</si>
  <si>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</si>
  <si>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</si>
  <si>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</si>
  <si>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</si>
  <si>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</si>
  <si>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</si>
  <si>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</si>
  <si>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</si>
  <si>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</si>
  <si>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</si>
  <si>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</si>
  <si>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</si>
  <si>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</si>
  <si>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</si>
  <si>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</si>
  <si>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</si>
  <si>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</si>
  <si>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</si>
  <si>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</si>
  <si>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</si>
  <si>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</si>
  <si>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</si>
  <si>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</si>
  <si>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</si>
  <si>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</si>
  <si>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</si>
  <si>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</si>
  <si>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</si>
  <si>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</si>
  <si>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</si>
  <si>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</si>
  <si>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</si>
  <si>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</si>
  <si>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</si>
  <si>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</si>
  <si>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</si>
  <si>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</si>
  <si>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</si>
  <si>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</si>
  <si>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</si>
  <si>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</si>
  <si>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</si>
  <si>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</si>
  <si>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</si>
  <si>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</si>
  <si>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</si>
  <si>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</si>
  <si>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</si>
  <si>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</si>
  <si>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</si>
  <si>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</si>
  <si>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</si>
  <si>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</si>
  <si>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</si>
  <si>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</si>
  <si>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</si>
  <si>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</si>
  <si>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</si>
  <si>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</si>
  <si>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</si>
  <si>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</si>
  <si>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</si>
  <si>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</si>
  <si>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</si>
  <si>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</si>
  <si>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</si>
  <si>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</si>
  <si>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</si>
  <si>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</si>
  <si>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</si>
  <si>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</si>
  <si>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</si>
  <si>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</si>
  <si>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</si>
  <si>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</si>
  <si>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</si>
  <si>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</si>
  <si>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</si>
  <si>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</si>
  <si>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</si>
  <si>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</si>
  <si>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</si>
  <si>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</si>
  <si>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</si>
  <si>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</si>
  <si>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</si>
  <si>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</si>
  <si>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</si>
  <si>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</si>
  <si>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</si>
  <si>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</si>
  <si>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</si>
  <si>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</si>
  <si>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</si>
  <si>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</si>
  <si>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</si>
  <si>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</si>
  <si>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</si>
  <si>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</si>
  <si>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</si>
  <si>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</si>
  <si>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</si>
  <si>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</si>
  <si>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</si>
  <si>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</si>
  <si>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</si>
  <si>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</si>
  <si>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</si>
  <si>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</si>
  <si>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</si>
  <si>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</si>
  <si>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</si>
  <si>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</si>
  <si>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</si>
  <si>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</si>
  <si>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</si>
  <si>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</si>
  <si>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</si>
  <si>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</si>
  <si>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</si>
  <si>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</si>
  <si>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</si>
  <si>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</si>
  <si>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</si>
  <si>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</si>
  <si>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</si>
  <si>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</si>
  <si>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</si>
  <si>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</si>
  <si>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</si>
  <si>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</si>
  <si>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</si>
  <si>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</si>
  <si>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</si>
  <si>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</si>
  <si>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</si>
  <si>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</si>
  <si>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</si>
  <si>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</si>
  <si>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</si>
  <si>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</si>
  <si>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</si>
  <si>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</si>
  <si>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</si>
  <si>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</si>
  <si>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</si>
  <si>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</si>
  <si>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</si>
  <si>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</si>
  <si>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</si>
  <si>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</si>
  <si>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</si>
  <si>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</si>
  <si>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</si>
  <si>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</si>
  <si>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</si>
  <si>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</si>
  <si>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</si>
  <si>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</si>
  <si>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</si>
  <si>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</si>
  <si>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</si>
  <si>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</si>
  <si>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</si>
  <si>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</si>
  <si>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</si>
  <si>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</si>
  <si>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</si>
  <si>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</si>
  <si>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</si>
  <si>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</si>
  <si>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</si>
  <si>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</si>
  <si>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</si>
  <si>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</si>
  <si>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</si>
  <si>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</si>
  <si>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</si>
  <si>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</si>
  <si>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</si>
  <si>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</si>
  <si>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</si>
  <si>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</si>
  <si>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</si>
  <si>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</si>
  <si>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</si>
  <si>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</si>
  <si>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</si>
  <si>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</si>
  <si>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</si>
  <si>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</si>
  <si>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</si>
  <si>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</si>
  <si>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</si>
  <si>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</si>
  <si>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</si>
  <si>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</si>
  <si>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</si>
  <si>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</si>
  <si>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</si>
  <si>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</si>
  <si>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</si>
  <si>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</si>
  <si>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</si>
  <si>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</si>
  <si>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</si>
  <si>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</si>
  <si>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</si>
  <si>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</si>
  <si>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</si>
  <si>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</si>
  <si>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</si>
  <si>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</si>
  <si>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</si>
  <si>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</si>
  <si>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</si>
  <si>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</si>
  <si>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</si>
  <si>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</si>
  <si>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</si>
  <si>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</si>
  <si>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</si>
  <si>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</si>
  <si>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</si>
  <si>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</si>
  <si>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</si>
  <si>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</si>
  <si>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</si>
  <si>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</si>
  <si>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</si>
  <si>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</si>
  <si>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</si>
  <si>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</si>
  <si>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</si>
  <si>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</si>
  <si>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</si>
  <si>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</si>
  <si>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</si>
  <si>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</si>
  <si>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</si>
  <si>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</si>
  <si>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</si>
  <si>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</si>
  <si>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</si>
  <si>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</si>
  <si>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</si>
  <si>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</si>
  <si>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</si>
  <si>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</si>
  <si>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</si>
  <si>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</si>
  <si>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</si>
  <si>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</si>
  <si>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</si>
  <si>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</si>
  <si>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</si>
  <si>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</si>
  <si>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</si>
  <si>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</si>
  <si>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</si>
  <si>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</si>
  <si>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</si>
  <si>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</si>
  <si>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</si>
  <si>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</si>
  <si>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</si>
  <si>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</si>
  <si>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</si>
  <si>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</si>
  <si>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</si>
  <si>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</si>
  <si>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</si>
  <si>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</si>
  <si>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</si>
  <si>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</si>
  <si>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</si>
  <si>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</si>
  <si>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</si>
  <si>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</si>
  <si>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</si>
  <si>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</si>
  <si>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</si>
  <si>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</si>
  <si>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</si>
  <si>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</si>
  <si>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</si>
  <si>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</si>
  <si>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</si>
  <si>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</si>
  <si>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</si>
  <si>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</si>
  <si>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</si>
  <si>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</si>
  <si>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</si>
  <si>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</si>
  <si>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</si>
  <si>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</si>
  <si>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</si>
  <si>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</si>
  <si>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</si>
  <si>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</si>
  <si>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</si>
  <si>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</si>
  <si>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</si>
  <si>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</si>
  <si>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</si>
  <si>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</si>
  <si>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</si>
  <si>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</si>
  <si>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</si>
  <si>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</si>
  <si>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</si>
  <si>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</si>
  <si>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</si>
  <si>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</si>
  <si>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</si>
  <si>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</si>
  <si>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</si>
  <si>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</si>
  <si>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</si>
  <si>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</si>
  <si>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</si>
  <si>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</si>
  <si>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</si>
  <si>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</si>
  <si>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</si>
  <si>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</si>
  <si>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</si>
  <si>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</si>
  <si>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</si>
  <si>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</si>
  <si>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</si>
  <si>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</si>
  <si>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</si>
  <si>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</si>
  <si>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</si>
  <si>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</si>
  <si>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</si>
  <si>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</si>
  <si>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</si>
  <si>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</si>
  <si>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</si>
  <si>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</si>
  <si>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</si>
  <si>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</si>
  <si>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</si>
  <si>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</si>
  <si>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</si>
  <si>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</si>
  <si>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</si>
  <si>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</si>
  <si>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</si>
  <si>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</si>
  <si>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</si>
  <si>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</si>
  <si>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</si>
  <si>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</si>
  <si>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</si>
  <si>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</si>
  <si>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</si>
  <si>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</si>
  <si>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</si>
  <si>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</si>
  <si>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</si>
  <si>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</si>
  <si>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</si>
  <si>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</si>
  <si>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</si>
  <si>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</si>
  <si>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</si>
  <si>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</si>
  <si>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</si>
  <si>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</si>
  <si>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</si>
  <si>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</si>
  <si>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</si>
  <si>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</si>
  <si>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</si>
  <si>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</si>
  <si>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</si>
  <si>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</si>
  <si>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</si>
  <si>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</si>
  <si>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</si>
  <si>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</si>
  <si>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</si>
  <si>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</si>
  <si>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</si>
  <si>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</si>
  <si>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</si>
  <si>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</si>
  <si>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</si>
  <si>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</si>
  <si>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</si>
  <si>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</si>
  <si>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</si>
  <si>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</si>
  <si>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</si>
  <si>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</si>
  <si>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</si>
  <si>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</si>
  <si>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</si>
  <si>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</si>
  <si>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</si>
  <si>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</si>
  <si>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</si>
  <si>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</si>
  <si>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</si>
  <si>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</si>
  <si>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</si>
  <si>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</si>
  <si>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</si>
  <si>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</si>
  <si>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</si>
  <si>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</si>
  <si>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</si>
  <si>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</si>
  <si>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</si>
  <si>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</si>
  <si>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</si>
  <si>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</si>
  <si>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</si>
  <si>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</si>
  <si>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</si>
  <si>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</si>
  <si>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</si>
  <si>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</si>
  <si>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</si>
  <si>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</si>
  <si>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</si>
  <si>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</si>
  <si>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</si>
  <si>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</si>
  <si>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</si>
  <si>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</si>
  <si>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</si>
  <si>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</si>
  <si>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</si>
  <si>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</si>
  <si>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</si>
  <si>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</si>
  <si>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</si>
  <si>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</si>
  <si>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</si>
  <si>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</si>
  <si>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</si>
  <si>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</si>
  <si>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</si>
  <si>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</si>
  <si>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</si>
  <si>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</si>
  <si>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</si>
  <si>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</si>
  <si>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</si>
  <si>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</si>
  <si>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</si>
  <si>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</si>
  <si>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</si>
  <si>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</si>
  <si>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</si>
  <si>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</si>
  <si>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</si>
  <si>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</si>
  <si>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</si>
  <si>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</si>
  <si>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</si>
  <si>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</si>
  <si>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</si>
  <si>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</si>
  <si>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</si>
  <si>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</si>
  <si>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</si>
  <si>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</si>
  <si>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</si>
  <si>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</si>
  <si>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</si>
  <si>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</si>
  <si>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</si>
  <si>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</si>
  <si>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</si>
  <si>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</si>
  <si>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</si>
  <si>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</si>
  <si>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</si>
  <si>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</si>
  <si>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</si>
  <si>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</si>
  <si>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</si>
  <si>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</si>
  <si>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</si>
  <si>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</si>
  <si>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</si>
  <si>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</si>
  <si>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</si>
  <si>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</si>
  <si>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</si>
  <si>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</si>
  <si>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</si>
  <si>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</si>
  <si>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</si>
  <si>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</si>
  <si>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</si>
  <si>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</si>
  <si>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</si>
  <si>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</si>
  <si>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</si>
  <si>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</si>
  <si>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</si>
  <si>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</si>
  <si>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</si>
  <si>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</si>
  <si>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</si>
  <si>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</si>
  <si>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</si>
  <si>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</si>
  <si>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</si>
  <si>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</si>
  <si>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</si>
  <si>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</si>
  <si>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</si>
  <si>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</si>
  <si>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</si>
  <si>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</si>
  <si>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</si>
  <si>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</si>
  <si>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</si>
  <si>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</si>
  <si>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</si>
  <si>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</si>
  <si>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</si>
  <si>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</si>
  <si>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</si>
  <si>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</si>
  <si>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</si>
  <si>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</si>
  <si>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</si>
  <si>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</si>
  <si>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</si>
  <si>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</si>
  <si>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</si>
  <si>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</si>
  <si>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</si>
  <si>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</si>
  <si>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</si>
  <si>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</si>
  <si>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</si>
  <si>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</si>
  <si>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</si>
  <si>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</si>
  <si>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</si>
  <si>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</si>
  <si>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</si>
  <si>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</si>
  <si>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</si>
  <si>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</si>
  <si>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</si>
  <si>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</si>
  <si>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</si>
  <si>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</si>
  <si>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</si>
  <si>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</si>
  <si>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</si>
  <si>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</si>
  <si>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</si>
  <si>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</si>
  <si>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</si>
  <si>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</si>
  <si>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</si>
  <si>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</si>
  <si>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</si>
  <si>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</si>
  <si>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</si>
  <si>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</si>
  <si>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</si>
  <si>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</si>
  <si>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</si>
  <si>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</si>
  <si>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</si>
  <si>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</si>
  <si>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</si>
  <si>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</si>
  <si>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</si>
  <si>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</si>
  <si>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</si>
  <si>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</si>
  <si>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</si>
  <si>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</si>
  <si>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</si>
  <si>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</si>
  <si>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</si>
  <si>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</si>
  <si>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</si>
  <si>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</si>
  <si>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</si>
  <si>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</si>
  <si>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</si>
  <si>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</si>
  <si>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</si>
  <si>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</si>
  <si>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</si>
  <si>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</si>
  <si>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</si>
  <si>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</si>
  <si>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</si>
  <si>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</si>
  <si>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</si>
  <si>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</si>
  <si>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</si>
  <si>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</si>
  <si>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</si>
  <si>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</si>
  <si>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</si>
  <si>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</si>
  <si>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</si>
  <si>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</si>
  <si>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</si>
  <si>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</si>
  <si>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</si>
  <si>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</si>
  <si>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</si>
  <si>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</si>
  <si>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</si>
  <si>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</si>
  <si>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</si>
  <si>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</si>
  <si>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</si>
  <si>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</si>
  <si>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</si>
  <si>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</si>
  <si>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</si>
  <si>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</si>
  <si>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</si>
  <si>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</si>
  <si>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</si>
  <si>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</si>
  <si>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</si>
  <si>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</si>
  <si>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</si>
  <si>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</si>
  <si>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</si>
  <si>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</si>
  <si>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</si>
  <si>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</si>
  <si>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</si>
  <si>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</si>
  <si>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</si>
  <si>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</si>
  <si>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</si>
  <si>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</si>
  <si>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</si>
  <si>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</si>
  <si>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</si>
  <si>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</si>
  <si>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</si>
  <si>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</si>
  <si>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</si>
  <si>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</si>
  <si>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</si>
  <si>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</si>
  <si>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</si>
  <si>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</si>
  <si>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</si>
  <si>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</si>
  <si>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</si>
  <si>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</si>
  <si>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</si>
  <si>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</si>
  <si>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</si>
  <si>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</si>
  <si>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</si>
  <si>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</si>
  <si>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</si>
  <si>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</si>
  <si>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</si>
  <si>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</si>
  <si>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</si>
  <si>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</si>
  <si>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</si>
  <si>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</si>
  <si>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</si>
  <si>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</si>
  <si>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</si>
  <si>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</si>
  <si>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</si>
  <si>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</si>
  <si>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</si>
  <si>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</si>
  <si>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</si>
  <si>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</si>
  <si>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</si>
  <si>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</si>
  <si>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</si>
  <si>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</si>
  <si>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</si>
  <si>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</si>
  <si>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</si>
  <si>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</si>
  <si>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</si>
  <si>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</si>
  <si>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</si>
  <si>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</si>
  <si>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</si>
  <si>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</si>
  <si>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</si>
  <si>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</si>
  <si>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</si>
  <si>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</si>
  <si>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</si>
  <si>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</si>
  <si>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</si>
  <si>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</si>
  <si>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</si>
  <si>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</si>
  <si>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</si>
  <si>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</si>
  <si>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</si>
  <si>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</si>
  <si>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</si>
  <si>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</si>
  <si>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</si>
  <si>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</si>
  <si>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</si>
  <si>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</si>
  <si>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</si>
  <si>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</si>
  <si>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</si>
  <si>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</si>
  <si>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</si>
  <si>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</si>
  <si>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</si>
  <si>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</si>
  <si>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</si>
  <si>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</si>
  <si>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</si>
  <si>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</si>
  <si>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</si>
  <si>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</si>
  <si>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</si>
  <si>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</si>
  <si>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</si>
  <si>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</si>
  <si>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</si>
  <si>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</si>
  <si>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</si>
  <si>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</si>
  <si>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</si>
  <si>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</si>
  <si>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</si>
  <si>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</si>
  <si>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</si>
  <si>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</si>
  <si>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</si>
  <si>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</si>
  <si>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</si>
  <si>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</si>
  <si>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</si>
  <si>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</si>
  <si>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</si>
  <si>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</si>
  <si>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</si>
  <si>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</si>
  <si>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</si>
  <si>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</si>
  <si>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</si>
  <si>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</si>
  <si>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</si>
  <si>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</si>
  <si>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</si>
  <si>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</si>
  <si>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</si>
  <si>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</si>
  <si>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</si>
  <si>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</si>
  <si>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</si>
  <si>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</si>
  <si>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</si>
  <si>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</si>
  <si>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</si>
  <si>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</si>
  <si>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</si>
  <si>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</si>
  <si>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</si>
  <si>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</si>
  <si>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</si>
  <si>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</si>
  <si>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</si>
  <si>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</si>
  <si>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</si>
  <si>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</si>
  <si>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</si>
  <si>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</si>
  <si>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</si>
  <si>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</si>
  <si>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</si>
  <si>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</si>
  <si>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</si>
  <si>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</si>
  <si>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</si>
  <si>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</si>
  <si>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</si>
  <si>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</si>
  <si>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</si>
  <si>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</si>
  <si>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</si>
  <si>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</si>
  <si>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</si>
  <si>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</si>
  <si>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</si>
  <si>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</si>
  <si>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</si>
  <si>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</si>
  <si>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</si>
  <si>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</si>
  <si>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</si>
  <si>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</si>
  <si>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</si>
  <si>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</si>
  <si>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</si>
  <si>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</si>
  <si>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</si>
  <si>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</si>
  <si>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</si>
  <si>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</si>
  <si>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</si>
  <si>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</si>
  <si>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</si>
  <si>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</si>
  <si>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</si>
  <si>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</si>
  <si>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</si>
  <si>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</si>
  <si>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</si>
  <si>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</si>
  <si>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</si>
  <si>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</si>
  <si>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</si>
  <si>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</si>
  <si>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</si>
  <si>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</si>
  <si>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</si>
  <si>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</si>
  <si>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</si>
  <si>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</si>
  <si>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</si>
  <si>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</si>
  <si>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</si>
  <si>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</si>
  <si>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</si>
  <si>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</si>
  <si>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</si>
  <si>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</si>
  <si>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</si>
  <si>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</si>
  <si>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</si>
  <si>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</si>
  <si>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</si>
  <si>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</si>
  <si>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</si>
  <si>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</si>
  <si>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</si>
  <si>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</si>
  <si>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</si>
  <si>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</si>
  <si>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</si>
  <si>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</si>
  <si>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</si>
  <si>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</si>
  <si>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</si>
  <si>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</si>
  <si>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</si>
  <si>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</si>
  <si>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</si>
  <si>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</si>
  <si>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</si>
  <si>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</si>
  <si>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</si>
  <si>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</si>
  <si>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</si>
  <si>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</si>
  <si>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</si>
  <si>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</si>
  <si>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</si>
  <si>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</si>
  <si>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</si>
  <si>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</si>
  <si>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</si>
  <si>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</si>
  <si>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</si>
  <si>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</si>
  <si>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</si>
  <si>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</si>
  <si>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</si>
  <si>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</si>
  <si>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</si>
  <si>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</si>
  <si>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</si>
  <si>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</si>
  <si>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</si>
  <si>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</si>
  <si>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</si>
  <si>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</si>
  <si>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</si>
  <si>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</si>
  <si>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</si>
  <si>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</si>
  <si>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</si>
  <si>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</si>
  <si>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</si>
  <si>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</si>
  <si>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</si>
  <si>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</si>
  <si>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</si>
  <si>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</si>
  <si>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</si>
  <si>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</si>
  <si>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</si>
  <si>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</si>
  <si>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</si>
  <si>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</si>
  <si>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</si>
  <si>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</si>
  <si>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</si>
  <si>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</si>
  <si>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</si>
  <si>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</si>
  <si>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</si>
  <si>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</si>
  <si>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</si>
  <si>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</si>
  <si>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</si>
  <si>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</si>
  <si>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</si>
  <si>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</si>
  <si>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</si>
  <si>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</si>
  <si>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</si>
  <si>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</si>
  <si>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</si>
  <si>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</si>
  <si>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</si>
  <si>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</si>
  <si>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</si>
  <si>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</si>
  <si>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</si>
  <si>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</si>
  <si>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</si>
  <si>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</si>
  <si>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</si>
  <si>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</si>
  <si>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</si>
  <si>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</si>
  <si>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</si>
  <si>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</si>
  <si>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</si>
  <si>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</si>
  <si>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</si>
  <si>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</si>
  <si>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</si>
  <si>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</si>
  <si>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</si>
  <si>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</si>
  <si>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</si>
  <si>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</si>
  <si>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</si>
  <si>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</si>
  <si>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</si>
  <si>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</si>
  <si>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</si>
  <si>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</si>
  <si>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</si>
  <si>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</si>
  <si>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</si>
  <si>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</si>
  <si>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</si>
  <si>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</si>
  <si>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</si>
  <si>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</si>
  <si>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</si>
  <si>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</si>
  <si>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</si>
  <si>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</si>
  <si>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</si>
  <si>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</si>
  <si>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</si>
  <si>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</si>
  <si>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</si>
  <si>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</si>
  <si>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</si>
  <si>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</si>
  <si>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</si>
  <si>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</si>
  <si>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</si>
  <si>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</si>
  <si>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</si>
  <si>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</si>
  <si>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</si>
  <si>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</si>
  <si>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</si>
  <si>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</si>
  <si>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</si>
  <si>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</si>
  <si>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</si>
  <si>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</si>
  <si>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</si>
  <si>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</si>
  <si>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</si>
  <si>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</si>
  <si>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</si>
  <si>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</si>
  <si>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</si>
  <si>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</si>
  <si>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</si>
  <si>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</si>
  <si>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</si>
  <si>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</si>
  <si>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</si>
  <si>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</si>
  <si>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</si>
  <si>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</si>
  <si>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</si>
  <si>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</si>
  <si>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</si>
  <si>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</si>
  <si>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</si>
  <si>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</si>
  <si>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</si>
  <si>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</si>
  <si>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</si>
  <si>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</si>
  <si>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</si>
  <si>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</si>
  <si>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</si>
  <si>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</si>
  <si>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</si>
  <si>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</si>
  <si>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</si>
  <si>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</si>
  <si>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</si>
  <si>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</si>
  <si>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</si>
  <si>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</si>
  <si>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</si>
  <si>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</si>
  <si>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</si>
  <si>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</si>
  <si>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</si>
  <si>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</si>
  <si>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</si>
  <si>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</si>
  <si>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</si>
  <si>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</si>
  <si>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</si>
  <si>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</si>
  <si>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</si>
  <si>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</si>
  <si>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</si>
  <si>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</si>
  <si>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</si>
  <si>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</si>
  <si>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</si>
  <si>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</si>
  <si>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</si>
  <si>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</si>
  <si>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</si>
  <si>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</si>
  <si>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</si>
  <si>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</si>
  <si>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</si>
  <si>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</si>
  <si>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</si>
  <si>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</si>
  <si>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</si>
  <si>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</si>
  <si>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</si>
  <si>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</si>
  <si>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</si>
  <si>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</si>
  <si>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</si>
  <si>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</si>
  <si>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</si>
  <si>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</si>
  <si>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</si>
  <si>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</si>
  <si>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</si>
  <si>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</si>
  <si>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</si>
  <si>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</si>
  <si>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</si>
  <si>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</si>
  <si>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</si>
  <si>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</si>
  <si>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</si>
  <si>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</si>
  <si>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</si>
  <si>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</si>
  <si>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</si>
  <si>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</si>
  <si>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</si>
  <si>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</si>
  <si>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</si>
  <si>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</si>
  <si>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</si>
  <si>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</si>
  <si>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</si>
  <si>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</si>
  <si>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</si>
  <si>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</si>
  <si>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</si>
  <si>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</si>
  <si>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</si>
  <si>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</si>
  <si>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</si>
  <si>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</si>
  <si>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</si>
  <si>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</si>
  <si>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</si>
  <si>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</si>
  <si>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</si>
  <si>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</si>
  <si>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</si>
  <si>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</si>
  <si>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</si>
  <si>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</si>
  <si>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</si>
  <si>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</si>
  <si>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</si>
  <si>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</si>
  <si>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</si>
  <si>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</si>
  <si>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</si>
  <si>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</si>
  <si>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</si>
  <si>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</si>
  <si>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</si>
  <si>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</si>
  <si>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</si>
  <si>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</si>
  <si>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</si>
  <si>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</si>
  <si>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</si>
  <si>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</si>
  <si>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</si>
  <si>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</si>
  <si>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</si>
  <si>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</si>
  <si>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</si>
  <si>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</si>
  <si>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</si>
  <si>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</si>
  <si>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</si>
  <si>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</si>
  <si>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</si>
  <si>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</si>
  <si>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</si>
  <si>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</si>
  <si>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</si>
  <si>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</si>
  <si>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</si>
  <si>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</si>
  <si>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</si>
  <si>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</si>
  <si>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</si>
  <si>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</si>
  <si>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</si>
  <si>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</si>
  <si>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</si>
  <si>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</si>
  <si>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</si>
  <si>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</si>
  <si>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</si>
  <si>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</si>
  <si>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</si>
  <si>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</si>
  <si>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</si>
  <si>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</si>
  <si>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</si>
  <si>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</si>
  <si>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</si>
  <si>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</si>
  <si>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</si>
  <si>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</si>
  <si>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</si>
  <si>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</si>
  <si>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</si>
  <si>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</si>
  <si>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</si>
  <si>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</si>
  <si>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</si>
  <si>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</si>
  <si>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</si>
  <si>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</si>
  <si>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</si>
  <si>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</si>
  <si>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</si>
  <si>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</si>
  <si>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</si>
  <si>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</si>
  <si>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</si>
  <si>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</si>
  <si>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</si>
  <si>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</si>
  <si>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</si>
  <si>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</si>
  <si>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</si>
  <si>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</si>
  <si>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</si>
  <si>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</si>
  <si>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</si>
  <si>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</si>
  <si>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</si>
  <si>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</si>
  <si>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</si>
  <si>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</si>
  <si>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</si>
  <si>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</si>
  <si>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</si>
  <si>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</si>
  <si>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</si>
  <si>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</si>
  <si>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</si>
  <si>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</si>
  <si>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</si>
  <si>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</si>
  <si>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</si>
  <si>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</si>
  <si>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</si>
  <si>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</si>
  <si>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</si>
  <si>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</si>
  <si>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</si>
  <si>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</si>
  <si>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</si>
  <si>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</si>
  <si>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</si>
  <si>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</si>
  <si>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</si>
  <si>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</si>
  <si>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</si>
  <si>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</si>
  <si>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</si>
  <si>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</si>
  <si>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</si>
  <si>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</si>
  <si>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</si>
  <si>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</si>
  <si>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</si>
  <si>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</si>
  <si>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</si>
  <si>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</si>
  <si>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</si>
  <si>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</si>
  <si>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</si>
  <si>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</si>
  <si>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</si>
  <si>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</si>
  <si>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</si>
  <si>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</si>
  <si>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</si>
  <si>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</si>
  <si>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</si>
  <si>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</si>
  <si>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</si>
  <si>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</si>
  <si>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</si>
  <si>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</si>
  <si>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</si>
  <si>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</si>
  <si>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</si>
  <si>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</si>
  <si>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</si>
  <si>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</si>
  <si>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</si>
  <si>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</si>
  <si>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</si>
  <si>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</si>
  <si>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</si>
  <si>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</si>
  <si>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</si>
  <si>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</si>
  <si>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</si>
  <si>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</si>
  <si>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</si>
  <si>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</si>
  <si>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</si>
  <si>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</si>
  <si>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</si>
  <si>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</si>
  <si>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</si>
  <si>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</si>
  <si>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</si>
  <si>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</si>
  <si>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</si>
  <si>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</si>
  <si>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</si>
  <si>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</si>
  <si>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</si>
  <si>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</si>
  <si>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</si>
  <si>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</si>
  <si>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</si>
  <si>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</si>
  <si>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</si>
  <si>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</si>
  <si>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</si>
  <si>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</si>
  <si>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</si>
  <si>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</si>
  <si>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</si>
  <si>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</si>
  <si>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</si>
  <si>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</si>
  <si>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</si>
  <si>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</si>
  <si>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</si>
  <si>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</si>
  <si>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</si>
  <si>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</si>
  <si>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</si>
  <si>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</si>
  <si>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</si>
  <si>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</si>
  <si>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</si>
  <si>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</si>
  <si>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</si>
  <si>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</si>
  <si>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</si>
  <si>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</si>
  <si>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</si>
  <si>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</si>
  <si>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</si>
  <si>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</si>
  <si>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</si>
  <si>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</si>
  <si>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</si>
  <si>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</si>
  <si>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</si>
  <si>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</si>
  <si>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</si>
  <si>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</si>
  <si>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</si>
  <si>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</si>
  <si>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</si>
  <si>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</si>
  <si>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</si>
  <si>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</si>
  <si>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</si>
  <si>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</si>
  <si>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</si>
  <si>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</si>
  <si>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</si>
  <si>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</si>
  <si>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</si>
  <si>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</si>
  <si>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</si>
  <si>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</si>
  <si>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</si>
  <si>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</si>
  <si>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</si>
  <si>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</si>
  <si>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</si>
  <si>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</si>
  <si>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</si>
  <si>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</si>
  <si>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</si>
  <si>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</si>
  <si>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</si>
  <si>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</si>
  <si>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</si>
  <si>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</si>
  <si>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</si>
  <si>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</si>
  <si>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</si>
  <si>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</si>
  <si>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</si>
  <si>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</si>
  <si>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</si>
  <si>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</si>
  <si>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</si>
  <si>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</si>
  <si>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</si>
  <si>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</si>
  <si>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</si>
  <si>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</si>
  <si>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</si>
  <si>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</si>
  <si>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</si>
  <si>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</si>
  <si>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</si>
  <si>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</si>
  <si>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</si>
  <si>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</si>
  <si>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</si>
  <si>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</si>
  <si>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</si>
  <si>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</si>
  <si>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</si>
  <si>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</si>
  <si>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</si>
  <si>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</si>
  <si>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</si>
  <si>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</si>
  <si>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</si>
  <si>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</si>
  <si>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</si>
  <si>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</si>
  <si>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</si>
  <si>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</si>
  <si>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</si>
  <si>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</si>
  <si>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</si>
  <si>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</si>
  <si>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</si>
  <si>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</si>
  <si>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</si>
  <si>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</si>
  <si>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</si>
  <si>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</si>
  <si>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</si>
  <si>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</si>
  <si>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</si>
  <si>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</si>
  <si>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</si>
  <si>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</si>
  <si>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</si>
  <si>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</si>
  <si>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</si>
  <si>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</si>
  <si>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</si>
  <si>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</si>
  <si>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</si>
  <si>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</si>
  <si>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</si>
  <si>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</si>
  <si>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</si>
  <si>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</si>
  <si>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</si>
  <si>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</si>
  <si>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</si>
  <si>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</si>
  <si>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</si>
  <si>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</si>
  <si>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</si>
  <si>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</si>
  <si>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</si>
  <si>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</si>
  <si>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</si>
  <si>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</si>
  <si>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</si>
  <si>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</si>
  <si>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</si>
  <si>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</si>
  <si>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</si>
  <si>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</si>
  <si>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</si>
  <si>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</si>
  <si>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</si>
  <si>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</si>
  <si>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</si>
  <si>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</si>
  <si>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</si>
  <si>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</si>
  <si>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</si>
  <si>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</si>
  <si>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</si>
  <si>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</si>
  <si>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</si>
  <si>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</si>
  <si>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</si>
  <si>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</si>
  <si>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</si>
  <si>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</si>
  <si>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</si>
  <si>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</si>
  <si>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</si>
  <si>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</si>
  <si>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</si>
  <si>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</si>
  <si>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</si>
  <si>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</si>
  <si>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</si>
  <si>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</si>
  <si>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</si>
  <si>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</si>
  <si>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</si>
  <si>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</si>
  <si>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</si>
  <si>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</si>
  <si>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</si>
  <si>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</si>
  <si>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</si>
  <si>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</si>
  <si>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</si>
  <si>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</si>
  <si>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</si>
  <si>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</si>
  <si>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</si>
  <si>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</si>
  <si>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</si>
  <si>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</si>
  <si>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</si>
  <si>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</si>
  <si>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</si>
  <si>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</si>
  <si>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</si>
  <si>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</si>
  <si>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</si>
  <si>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</si>
  <si>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</si>
  <si>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</si>
  <si>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</si>
  <si>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</si>
  <si>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</si>
  <si>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</si>
  <si>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</si>
  <si>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</si>
  <si>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</si>
  <si>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</si>
  <si>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</si>
  <si>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</si>
  <si>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</si>
  <si>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</si>
  <si>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</si>
  <si>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</si>
  <si>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</si>
  <si>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</si>
  <si>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</si>
  <si>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</si>
  <si>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</si>
  <si>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</si>
  <si>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</si>
  <si>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</si>
  <si>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</si>
  <si>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</si>
  <si>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</si>
  <si>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</si>
  <si>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</si>
  <si>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</si>
  <si>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</si>
  <si>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</si>
  <si>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</si>
  <si>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</si>
  <si>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</si>
  <si>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</si>
  <si>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</si>
  <si>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</si>
  <si>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</si>
  <si>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</si>
  <si>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</si>
  <si>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</si>
  <si>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</si>
  <si>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</si>
  <si>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</si>
  <si>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</si>
  <si>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</si>
  <si>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</si>
  <si>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</si>
  <si>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</si>
  <si>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</si>
  <si>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</si>
  <si>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</si>
  <si>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</si>
  <si>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</si>
  <si>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</si>
  <si>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</si>
  <si>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</si>
  <si>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</si>
  <si>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</si>
  <si>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</si>
  <si>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</si>
  <si>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</si>
  <si>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</si>
  <si>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</si>
  <si>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</si>
  <si>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</si>
  <si>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</si>
  <si>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</si>
  <si>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</si>
  <si>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</si>
  <si>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</si>
  <si>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</si>
  <si>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</si>
  <si>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</si>
  <si>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</si>
  <si>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</si>
  <si>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</si>
  <si>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</si>
  <si>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</si>
  <si>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</si>
  <si>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</si>
  <si>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</si>
  <si>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</si>
  <si>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</si>
  <si>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</si>
  <si>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</si>
  <si>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</si>
  <si>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</si>
  <si>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</si>
  <si>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</si>
  <si>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</si>
  <si>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</si>
  <si>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</si>
  <si>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</si>
  <si>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</si>
  <si>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</si>
  <si>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</si>
  <si>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</si>
  <si>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</si>
  <si>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</si>
  <si>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</si>
  <si>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</si>
  <si>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</si>
  <si>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</si>
  <si>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</si>
  <si>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</si>
  <si>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</si>
  <si>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</si>
  <si>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</si>
  <si>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</si>
  <si>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</si>
  <si>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</si>
  <si>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</si>
  <si>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</si>
  <si>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</si>
  <si>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</si>
  <si>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</si>
  <si>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</si>
  <si>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</si>
  <si>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</si>
  <si>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</si>
  <si>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</si>
  <si>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</si>
  <si>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</si>
  <si>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</si>
  <si>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</si>
  <si>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</si>
  <si>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</si>
  <si>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</si>
  <si>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</si>
  <si>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</si>
  <si>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</si>
  <si>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</si>
  <si>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</si>
  <si>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</si>
  <si>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</si>
  <si>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</si>
  <si>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</si>
  <si>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</si>
  <si>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</si>
  <si>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</si>
  <si>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</si>
  <si>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</si>
  <si>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</si>
  <si>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</si>
  <si>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</si>
  <si>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</si>
  <si>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</si>
  <si>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</si>
  <si>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</si>
  <si>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</si>
  <si>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</si>
  <si>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</si>
  <si>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</si>
  <si>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</si>
  <si>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</si>
  <si>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</si>
  <si>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</si>
  <si>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</si>
  <si>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</si>
  <si>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</si>
  <si>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</si>
  <si>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</si>
  <si>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</si>
  <si>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</si>
  <si>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</si>
  <si>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</si>
  <si>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</si>
  <si>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</si>
  <si>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</si>
  <si>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</si>
  <si>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</si>
  <si>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</si>
  <si>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</si>
  <si>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</si>
  <si>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</si>
  <si>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</si>
  <si>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</si>
  <si>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</si>
  <si>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</si>
  <si>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</si>
  <si>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</si>
  <si>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</si>
  <si>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</si>
  <si>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</si>
  <si>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</si>
  <si>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</si>
  <si>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</si>
  <si>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</si>
  <si>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</si>
  <si>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</si>
  <si>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</si>
  <si>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</si>
  <si>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</si>
  <si>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</si>
  <si>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</si>
  <si>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</si>
  <si>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</si>
  <si>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</si>
  <si>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</si>
  <si>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</si>
  <si>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</si>
  <si>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</si>
  <si>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</si>
  <si>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</si>
  <si>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</si>
  <si>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</si>
  <si>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</si>
  <si>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</si>
  <si>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</si>
  <si>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</si>
  <si>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</si>
  <si>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</si>
  <si>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</si>
  <si>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</si>
  <si>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</si>
  <si>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</si>
  <si>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</si>
  <si>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</si>
  <si>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</si>
  <si>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</si>
  <si>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</si>
  <si>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</si>
  <si>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</si>
  <si>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</si>
  <si>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</si>
  <si>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</si>
  <si>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</si>
  <si>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</si>
  <si>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</si>
  <si>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</si>
  <si>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</si>
  <si>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</si>
  <si>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</si>
  <si>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</si>
  <si>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</si>
  <si>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</si>
  <si>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</si>
  <si>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</si>
  <si>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</si>
  <si>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</si>
  <si>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</si>
  <si>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</si>
  <si>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</si>
  <si>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</si>
  <si>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</si>
  <si>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</si>
  <si>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</si>
  <si>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</si>
  <si>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</si>
  <si>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</si>
  <si>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</si>
  <si>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</si>
  <si>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</si>
  <si>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</si>
  <si>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</si>
  <si>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</si>
  <si>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</si>
  <si>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</si>
  <si>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</si>
  <si>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</si>
  <si>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</si>
  <si>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</si>
  <si>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</si>
  <si>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</si>
  <si>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</si>
  <si>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</si>
  <si>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</si>
  <si>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</si>
  <si>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</si>
  <si>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</si>
  <si>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</si>
  <si>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</si>
  <si>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</si>
  <si>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</si>
  <si>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</si>
  <si>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</si>
  <si>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</si>
  <si>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</si>
  <si>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</si>
  <si>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</si>
  <si>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</si>
  <si>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</si>
  <si>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</si>
  <si>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</si>
  <si>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</si>
  <si>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</si>
  <si>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</si>
  <si>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</si>
  <si>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</si>
  <si>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</si>
  <si>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</si>
  <si>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</si>
  <si>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</si>
  <si>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</si>
  <si>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</si>
  <si>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</si>
  <si>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</si>
  <si>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</si>
  <si>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</si>
  <si>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</si>
  <si>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</si>
  <si>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</si>
  <si>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</si>
  <si>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</si>
  <si>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</si>
  <si>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</si>
  <si>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</si>
  <si>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</si>
  <si>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</si>
  <si>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</si>
  <si>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</si>
  <si>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</si>
  <si>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</si>
  <si>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</si>
  <si>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</si>
  <si>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</si>
  <si>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</si>
  <si>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</si>
  <si>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</si>
  <si>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</si>
  <si>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</si>
  <si>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</si>
  <si>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</si>
  <si>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</si>
  <si>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</si>
  <si>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</si>
  <si>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</si>
  <si>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</si>
  <si>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</si>
  <si>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</si>
  <si>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</si>
  <si>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</si>
  <si>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</si>
  <si>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</si>
  <si>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</si>
  <si>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</si>
  <si>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</si>
  <si>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</si>
  <si>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</si>
  <si>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</si>
  <si>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</si>
  <si>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</si>
  <si>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</si>
  <si>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</si>
  <si>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</si>
  <si>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</si>
  <si>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</si>
  <si>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</si>
  <si>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</si>
  <si>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</si>
  <si>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</si>
  <si>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</si>
  <si>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</si>
  <si>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</si>
  <si>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</si>
  <si>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</si>
  <si>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</si>
  <si>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</si>
  <si>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</si>
  <si>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</si>
  <si>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</si>
  <si>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</si>
  <si>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</si>
  <si>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</si>
  <si>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</si>
  <si>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</si>
  <si>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</si>
  <si>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</si>
  <si>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</si>
  <si>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</si>
  <si>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</si>
  <si>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</si>
  <si>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</si>
  <si>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</si>
  <si>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</si>
  <si>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</si>
  <si>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</si>
  <si>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</si>
  <si>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</si>
  <si>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</si>
  <si>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</si>
  <si>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</si>
  <si>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</si>
  <si>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</si>
  <si>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</si>
  <si>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</si>
  <si>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</si>
  <si>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</si>
  <si>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</si>
  <si>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</si>
  <si>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</si>
  <si>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</si>
  <si>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</si>
  <si>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</si>
  <si>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</si>
  <si>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</si>
  <si>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</si>
  <si>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</si>
  <si>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</si>
  <si>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</si>
  <si>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</si>
  <si>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</si>
  <si>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</si>
  <si>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</si>
  <si>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</si>
  <si>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</si>
  <si>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</si>
  <si>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</si>
  <si>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</si>
  <si>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</si>
  <si>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</si>
  <si>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</si>
  <si>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</si>
  <si>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</si>
  <si>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</si>
  <si>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</si>
  <si>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</si>
  <si>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</si>
  <si>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</si>
  <si>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</si>
  <si>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</si>
  <si>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</si>
  <si>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</si>
  <si>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</si>
  <si>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</si>
  <si>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</si>
  <si>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</si>
  <si>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</si>
  <si>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</si>
  <si>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</si>
  <si>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</si>
  <si>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</si>
  <si>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</si>
  <si>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</si>
  <si>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</si>
  <si>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</si>
  <si>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</si>
  <si>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</si>
  <si>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</si>
  <si>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</si>
  <si>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</si>
  <si>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</si>
  <si>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</si>
  <si>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</si>
  <si>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</si>
  <si>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</si>
  <si>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</si>
  <si>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</si>
  <si>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</si>
  <si>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</si>
  <si>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</si>
  <si>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</si>
  <si>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</si>
  <si>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</si>
  <si>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</si>
  <si>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</si>
  <si>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</si>
  <si>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</si>
  <si>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</si>
  <si>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</si>
  <si>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</si>
  <si>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</si>
  <si>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</si>
  <si>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</si>
  <si>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</si>
  <si>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</si>
  <si>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</si>
  <si>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</si>
  <si>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</si>
  <si>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</si>
  <si>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</si>
  <si>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</si>
  <si>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</si>
  <si>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</si>
  <si>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</si>
  <si>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</si>
  <si>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</si>
  <si>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</si>
  <si>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</si>
  <si>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</si>
  <si>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</si>
  <si>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</si>
  <si>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</si>
  <si>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</si>
  <si>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</si>
  <si>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</si>
  <si>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</si>
  <si>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</si>
  <si>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</si>
  <si>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</si>
  <si>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</si>
  <si>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</si>
  <si>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</si>
  <si>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</si>
  <si>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</si>
  <si>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</si>
  <si>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</si>
  <si>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</si>
  <si>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</si>
  <si>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</si>
  <si>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</si>
  <si>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</si>
  <si>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</si>
  <si>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</si>
  <si>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</si>
  <si>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</si>
  <si>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</si>
  <si>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</si>
  <si>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</si>
  <si>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</si>
  <si>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</si>
  <si>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</si>
  <si>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</si>
  <si>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</si>
  <si>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</si>
  <si>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</si>
  <si>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</si>
  <si>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</si>
  <si>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</si>
  <si>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</si>
  <si>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</si>
  <si>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</si>
  <si>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</si>
  <si>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</si>
  <si>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</si>
  <si>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</si>
  <si>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</si>
  <si>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</si>
  <si>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</si>
  <si>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</si>
  <si>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</si>
  <si>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</si>
  <si>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</si>
  <si>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</si>
  <si>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</si>
  <si>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</si>
  <si>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</si>
  <si>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</si>
  <si>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</si>
  <si>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</si>
  <si>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</si>
  <si>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</si>
  <si>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</si>
  <si>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</si>
  <si>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</si>
  <si>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</si>
  <si>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</si>
  <si>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</si>
  <si>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</si>
  <si>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</si>
  <si>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</si>
  <si>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</si>
  <si>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</si>
  <si>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</si>
  <si>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</si>
  <si>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</si>
  <si>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</si>
  <si>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</si>
  <si>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</si>
  <si>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</si>
  <si>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</si>
  <si>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</si>
  <si>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</si>
  <si>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</si>
  <si>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</si>
  <si>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</si>
  <si>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</si>
  <si>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</si>
  <si>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</si>
  <si>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</si>
  <si>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</si>
  <si>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</si>
  <si>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</si>
  <si>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</si>
  <si>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</si>
  <si>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</si>
  <si>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</si>
  <si>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</si>
  <si>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</si>
  <si>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</si>
  <si>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</si>
  <si>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</si>
  <si>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</si>
  <si>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</si>
  <si>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</si>
  <si>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</si>
  <si>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</si>
  <si>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</si>
  <si>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</si>
  <si>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</si>
  <si>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</si>
  <si>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</si>
  <si>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</si>
  <si>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</si>
  <si>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</si>
  <si>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</si>
  <si>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</si>
  <si>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</si>
  <si>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</si>
  <si>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</si>
  <si>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</si>
  <si>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</si>
  <si>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</si>
  <si>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</si>
  <si>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</si>
  <si>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</si>
  <si>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</si>
  <si>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</si>
  <si>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</si>
  <si>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</si>
  <si>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</si>
  <si>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</si>
  <si>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</si>
  <si>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</si>
  <si>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</si>
  <si>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</si>
  <si>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</si>
  <si>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</si>
  <si>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</si>
  <si>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</si>
  <si>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</si>
  <si>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</si>
  <si>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</si>
  <si>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</si>
  <si>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</si>
  <si>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</si>
  <si>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</si>
  <si>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</si>
  <si>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</si>
  <si>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</si>
  <si>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</si>
  <si>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</si>
  <si>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</si>
  <si>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</si>
  <si>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</si>
  <si>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</si>
  <si>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</si>
  <si>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</si>
  <si>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</si>
  <si>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</si>
  <si>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</si>
  <si>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</si>
  <si>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</si>
  <si>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</si>
  <si>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</si>
  <si>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</si>
  <si>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</si>
  <si>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</si>
  <si>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</si>
  <si>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</si>
  <si>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</si>
  <si>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</si>
  <si>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</si>
  <si>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</si>
  <si>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</si>
  <si>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</si>
  <si>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</si>
  <si>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</si>
  <si>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</si>
  <si>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</si>
  <si>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</si>
  <si>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</si>
  <si>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</si>
  <si>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</si>
  <si>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</si>
  <si>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</si>
  <si>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</si>
  <si>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</si>
  <si>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</si>
  <si>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</si>
  <si>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</si>
  <si>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</si>
  <si>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</si>
  <si>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</si>
  <si>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</si>
  <si>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</si>
  <si>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</si>
  <si>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</si>
  <si>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</si>
  <si>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</si>
  <si>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</si>
  <si>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</si>
  <si>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</si>
  <si>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</si>
  <si>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</si>
  <si>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</si>
  <si>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</si>
  <si>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</si>
  <si>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</si>
  <si>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</si>
  <si>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</si>
  <si>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</si>
  <si>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</si>
  <si>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</si>
  <si>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</si>
  <si>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</si>
  <si>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</si>
  <si>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</si>
  <si>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</si>
  <si>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</si>
  <si>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</si>
  <si>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</si>
  <si>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</si>
  <si>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</si>
  <si>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</si>
  <si>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</si>
  <si>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</si>
  <si>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</si>
  <si>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</si>
  <si>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</si>
  <si>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</si>
  <si>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</si>
  <si>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</si>
  <si>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</si>
  <si>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</si>
  <si>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</si>
  <si>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</si>
  <si>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</si>
  <si>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</si>
  <si>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</si>
  <si>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</si>
  <si>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</si>
  <si>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</si>
  <si>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</si>
  <si>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</si>
  <si>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</si>
  <si>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</si>
  <si>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</si>
  <si>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</si>
  <si>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</si>
  <si>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</si>
  <si>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</si>
  <si>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</si>
  <si>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</si>
  <si>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</si>
  <si>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</si>
  <si>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</si>
  <si>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</si>
  <si>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</si>
  <si>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</si>
  <si>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</si>
  <si>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</si>
  <si>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</si>
  <si>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</si>
  <si>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</si>
  <si>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</si>
  <si>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</si>
  <si>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</si>
  <si>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</si>
  <si>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</si>
  <si>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</si>
  <si>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</si>
  <si>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</si>
  <si>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</si>
  <si>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</si>
  <si>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</si>
  <si>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</si>
  <si>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</si>
  <si>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</si>
  <si>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</si>
  <si>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</si>
  <si>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</si>
  <si>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</si>
  <si>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</si>
  <si>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</si>
  <si>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</si>
  <si>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</si>
  <si>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</si>
  <si>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</si>
  <si>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</si>
  <si>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</si>
  <si>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</si>
  <si>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</si>
  <si>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</si>
  <si>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</si>
  <si>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</si>
  <si>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</si>
  <si>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</si>
  <si>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</si>
  <si>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</si>
  <si>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</si>
  <si>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</si>
  <si>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</si>
  <si>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</si>
  <si>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</si>
  <si>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</si>
  <si>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</si>
  <si>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</si>
  <si>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</si>
  <si>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</si>
  <si>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</si>
  <si>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</si>
  <si>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</si>
  <si>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</si>
  <si>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</si>
  <si>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</si>
  <si>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</si>
  <si>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</si>
  <si>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</si>
  <si>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</si>
  <si>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</si>
  <si>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</si>
  <si>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</si>
  <si>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</si>
  <si>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</si>
  <si>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</si>
  <si>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</si>
  <si>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</si>
  <si>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</si>
  <si>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</si>
  <si>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</si>
  <si>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</si>
  <si>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</si>
  <si>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</si>
  <si>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</si>
  <si>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</si>
  <si>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</si>
  <si>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</si>
  <si>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</si>
  <si>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</si>
  <si>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</si>
  <si>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</si>
  <si>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</si>
  <si>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</si>
  <si>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</si>
  <si>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</si>
  <si>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</si>
  <si>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</si>
  <si>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</si>
  <si>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</si>
  <si>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</si>
  <si>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</si>
  <si>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</si>
  <si>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</si>
  <si>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</si>
  <si>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</si>
  <si>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</si>
  <si>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</si>
  <si>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</si>
  <si>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</si>
  <si>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</si>
  <si>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</si>
  <si>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</si>
  <si>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</si>
  <si>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</si>
  <si>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</si>
  <si>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</si>
  <si>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</si>
  <si>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</si>
  <si>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</si>
  <si>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</si>
  <si>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</si>
  <si>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</si>
  <si>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</si>
  <si>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</si>
  <si>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</si>
  <si>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</si>
  <si>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</si>
  <si>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</si>
  <si>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</si>
  <si>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</si>
  <si>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</si>
  <si>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</si>
  <si>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</si>
  <si>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</si>
  <si>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</si>
  <si>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</si>
  <si>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</si>
  <si>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</si>
  <si>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</si>
  <si>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</si>
  <si>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</si>
  <si>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</si>
  <si>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</si>
  <si>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</si>
  <si>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</si>
  <si>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</si>
  <si>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</si>
  <si>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</si>
  <si>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</si>
  <si>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</si>
  <si>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</si>
  <si>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</si>
  <si>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</si>
  <si>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</si>
  <si>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</si>
  <si>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</si>
  <si>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</si>
  <si>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</si>
  <si>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</si>
  <si>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</si>
  <si>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</si>
  <si>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</si>
  <si>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</si>
  <si>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</si>
  <si>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</si>
  <si>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</si>
  <si>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</si>
  <si>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</si>
  <si>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</si>
  <si>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</si>
  <si>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</si>
  <si>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</si>
  <si>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</si>
  <si>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</si>
  <si>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</si>
  <si>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</si>
  <si>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</si>
  <si>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</si>
  <si>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</si>
  <si>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</si>
  <si>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</si>
  <si>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</si>
  <si>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</si>
  <si>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</si>
  <si>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</si>
  <si>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</si>
  <si>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</si>
  <si>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</si>
  <si>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</si>
  <si>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</si>
  <si>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</si>
  <si>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</si>
  <si>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</si>
  <si>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</si>
  <si>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</si>
  <si>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</si>
  <si>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</si>
  <si>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</si>
  <si>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</si>
  <si>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</si>
  <si>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</si>
  <si>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</si>
  <si>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</si>
  <si>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</si>
  <si>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</si>
  <si>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</si>
  <si>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</si>
  <si>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</si>
  <si>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</si>
  <si>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</si>
  <si>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</si>
  <si>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</si>
  <si>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</si>
  <si>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</si>
  <si>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</si>
  <si>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</si>
  <si>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</si>
  <si>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</si>
  <si>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</si>
  <si>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</si>
  <si>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</si>
  <si>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</si>
  <si>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</si>
  <si>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</si>
  <si>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</si>
  <si>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</si>
  <si>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</si>
  <si>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</si>
  <si>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</si>
  <si>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</si>
  <si>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</si>
  <si>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</si>
  <si>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</si>
  <si>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</si>
  <si>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</si>
  <si>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</si>
  <si>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</si>
  <si>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</si>
  <si>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</si>
  <si>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</si>
  <si>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</si>
  <si>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</si>
  <si>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</si>
  <si>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</si>
  <si>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</si>
  <si>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</si>
  <si>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</si>
  <si>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</si>
  <si>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</si>
  <si>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</si>
  <si>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</si>
  <si>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</si>
  <si>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</si>
  <si>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</si>
  <si>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</si>
  <si>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</si>
  <si>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</si>
  <si>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</si>
  <si>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</si>
  <si>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</si>
  <si>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</si>
  <si>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</si>
  <si>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</si>
  <si>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</si>
  <si>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</si>
  <si>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</si>
  <si>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</si>
  <si>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</si>
  <si>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</si>
  <si>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</si>
  <si>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</si>
  <si>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</si>
  <si>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</si>
  <si>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</si>
  <si>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</si>
  <si>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</si>
  <si>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</si>
  <si>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</si>
  <si>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</si>
  <si>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</si>
  <si>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</si>
  <si>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</si>
  <si>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</si>
  <si>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</si>
  <si>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</si>
  <si>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</si>
  <si>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</si>
  <si>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</si>
  <si>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</si>
  <si>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</si>
  <si>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</si>
  <si>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</si>
  <si>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</si>
  <si>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</si>
  <si>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</si>
  <si>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</si>
  <si>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</si>
  <si>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</si>
  <si>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</si>
  <si>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</si>
  <si>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</si>
  <si>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</si>
  <si>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</si>
  <si>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</si>
  <si>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</si>
  <si>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</si>
  <si>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</si>
  <si>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</si>
  <si>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</si>
  <si>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</si>
  <si>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</si>
  <si>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</si>
  <si>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</si>
  <si>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</si>
  <si>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</si>
  <si>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</si>
  <si>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</si>
  <si>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</si>
  <si>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</si>
  <si>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</si>
  <si>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</si>
  <si>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</si>
  <si>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</si>
  <si>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</si>
  <si>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</si>
  <si>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</si>
  <si>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</si>
  <si>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</si>
  <si>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</si>
  <si>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</si>
  <si>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</si>
  <si>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</si>
  <si>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</si>
  <si>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</si>
  <si>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</si>
  <si>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</si>
  <si>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</si>
  <si>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</si>
  <si>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</si>
  <si>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</si>
  <si>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</si>
  <si>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</si>
  <si>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</si>
  <si>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</si>
  <si>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</si>
  <si>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</si>
  <si>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</si>
  <si>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</si>
  <si>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</si>
  <si>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</si>
  <si>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</si>
  <si>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</si>
  <si>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</si>
  <si>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</si>
  <si>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</si>
  <si>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</si>
  <si>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</si>
  <si>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</si>
  <si>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</si>
  <si>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</si>
  <si>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</si>
  <si>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</si>
  <si>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</si>
  <si>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</si>
  <si>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</si>
  <si>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</si>
  <si>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</si>
  <si>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</si>
  <si>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</si>
  <si>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</si>
  <si>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</si>
  <si>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</si>
  <si>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</si>
  <si>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</si>
  <si>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</si>
  <si>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</si>
  <si>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</si>
  <si>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</si>
  <si>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</si>
  <si>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</si>
  <si>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</si>
  <si>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</si>
  <si>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</si>
  <si>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</si>
  <si>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</si>
  <si>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</si>
  <si>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</si>
  <si>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</si>
  <si>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</si>
  <si>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</si>
  <si>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</si>
  <si>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</si>
  <si>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</si>
  <si>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</si>
  <si>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</si>
  <si>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</si>
  <si>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</si>
  <si>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</si>
  <si>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</si>
  <si>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</si>
  <si>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</si>
  <si>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</si>
  <si>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</si>
  <si>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</si>
  <si>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</si>
  <si>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</si>
  <si>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</si>
  <si>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</si>
  <si>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</si>
  <si>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</si>
  <si>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</si>
  <si>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</si>
  <si>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</si>
  <si>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</si>
  <si>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</si>
  <si>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</si>
  <si>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</si>
  <si>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</si>
  <si>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</si>
  <si>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</si>
  <si>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</si>
  <si>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</si>
  <si>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</si>
  <si>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</si>
  <si>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</si>
  <si>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</si>
  <si>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</si>
  <si>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</si>
  <si>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</si>
  <si>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</si>
  <si>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</si>
  <si>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</si>
  <si>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</si>
  <si>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</si>
  <si>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</si>
  <si>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</si>
  <si>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</si>
  <si>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</si>
  <si>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</si>
  <si>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</si>
  <si>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</si>
  <si>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</si>
  <si>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</si>
  <si>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</si>
  <si>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</si>
  <si>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</si>
  <si>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</si>
  <si>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</si>
  <si>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</si>
  <si>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</si>
  <si>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</si>
  <si>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</si>
  <si>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</si>
  <si>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</si>
  <si>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</si>
  <si>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</si>
  <si>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</si>
  <si>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</si>
  <si>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</si>
  <si>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</si>
  <si>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</si>
  <si>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</si>
  <si>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</si>
  <si>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</si>
  <si>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</si>
  <si>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</si>
  <si>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</si>
  <si>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</si>
  <si>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</si>
  <si>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</si>
  <si>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</si>
  <si>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</si>
  <si>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</si>
  <si>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</si>
  <si>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</si>
  <si>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</si>
  <si>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</si>
  <si>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</si>
  <si>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</si>
  <si>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</si>
  <si>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</si>
  <si>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</si>
  <si>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</si>
  <si>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</si>
  <si>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</si>
  <si>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</si>
  <si>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</si>
  <si>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</si>
  <si>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</si>
  <si>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</si>
  <si>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</si>
  <si>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</si>
  <si>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</si>
  <si>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</si>
  <si>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</si>
  <si>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</si>
  <si>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</si>
  <si>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</si>
  <si>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</si>
  <si>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</si>
  <si>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</si>
  <si>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</si>
  <si>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</si>
  <si>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</si>
  <si>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</si>
  <si>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</si>
  <si>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</si>
  <si>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</si>
  <si>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</si>
  <si>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</si>
  <si>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</si>
  <si>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</si>
  <si>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</si>
  <si>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</si>
  <si>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</si>
  <si>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</si>
  <si>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</si>
  <si>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</si>
  <si>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</si>
  <si>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</si>
  <si>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</si>
  <si>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</si>
  <si>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</si>
  <si>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</si>
  <si>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</si>
  <si>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</si>
  <si>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</si>
  <si>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</si>
  <si>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</si>
  <si>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</si>
  <si>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</si>
  <si>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</si>
  <si>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</si>
  <si>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</si>
  <si>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</si>
  <si>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</si>
  <si>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</si>
  <si>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</si>
  <si>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</si>
  <si>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</si>
  <si>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</si>
  <si>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</si>
  <si>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</si>
  <si>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</si>
  <si>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</si>
  <si>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</si>
  <si>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</si>
  <si>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</si>
  <si>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</si>
  <si>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</si>
  <si>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</si>
  <si>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</si>
  <si>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</si>
  <si>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</si>
  <si>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</si>
  <si>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</si>
  <si>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</si>
  <si>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</si>
  <si>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</si>
  <si>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</si>
  <si>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</si>
  <si>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</si>
  <si>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</si>
  <si>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</si>
  <si>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</si>
  <si>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</si>
  <si>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</si>
  <si>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</si>
  <si>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</si>
  <si>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</si>
  <si>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</si>
  <si>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</si>
  <si>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</si>
  <si>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</si>
  <si>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</si>
  <si>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</si>
  <si>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</si>
  <si>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</si>
  <si>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</si>
  <si>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</si>
  <si>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</si>
  <si>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</si>
  <si>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</si>
  <si>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</si>
  <si>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</si>
  <si>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</si>
  <si>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</si>
  <si>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</si>
  <si>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</si>
  <si>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</si>
  <si>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</si>
  <si>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</si>
  <si>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</si>
  <si>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</si>
  <si>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</si>
  <si>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</si>
  <si>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</si>
  <si>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</si>
  <si>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</si>
  <si>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</si>
  <si>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</si>
  <si>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</si>
  <si>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</si>
  <si>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</si>
  <si>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</si>
  <si>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</si>
  <si>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</si>
  <si>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</si>
  <si>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</si>
  <si>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</si>
  <si>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</si>
  <si>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</si>
  <si>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</si>
  <si>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</si>
  <si>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</si>
  <si>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</si>
  <si>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</si>
  <si>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</si>
  <si>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</si>
  <si>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</si>
  <si>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</si>
  <si>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</si>
  <si>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</si>
  <si>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</si>
  <si>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</si>
  <si>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</si>
  <si>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</si>
  <si>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</si>
  <si>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</si>
  <si>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</si>
  <si>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</si>
  <si>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</si>
  <si>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</si>
  <si>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</si>
  <si>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</si>
  <si>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</si>
  <si>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</si>
  <si>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</si>
  <si>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</si>
  <si>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</si>
  <si>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</si>
  <si>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</si>
  <si>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</si>
  <si>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</si>
  <si>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</si>
  <si>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</si>
  <si>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</si>
  <si>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</si>
  <si>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</si>
  <si>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</si>
  <si>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</si>
  <si>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</si>
  <si>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</si>
  <si>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</si>
  <si>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</si>
  <si>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</si>
  <si>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</si>
  <si>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</si>
  <si>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</si>
  <si>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</si>
  <si>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</si>
  <si>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</si>
  <si>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</si>
  <si>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</si>
  <si>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</si>
  <si>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</si>
  <si>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</si>
  <si>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</si>
  <si>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</si>
  <si>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</si>
  <si>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</si>
  <si>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</si>
  <si>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</si>
  <si>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</si>
  <si>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</si>
  <si>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</si>
  <si>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</si>
  <si>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</si>
  <si>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</si>
  <si>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</si>
  <si>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</si>
  <si>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</si>
  <si>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</si>
  <si>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</si>
  <si>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</si>
  <si>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</si>
  <si>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</si>
  <si>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</si>
  <si>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</si>
  <si>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</si>
  <si>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</si>
  <si>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</si>
  <si>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</si>
  <si>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</si>
  <si>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</si>
  <si>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</si>
  <si>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</si>
  <si>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</si>
  <si>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</si>
  <si>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</si>
  <si>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</si>
  <si>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</si>
  <si>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</si>
  <si>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</si>
  <si>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</si>
  <si>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</si>
  <si>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</si>
  <si>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</si>
  <si>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</si>
  <si>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</si>
  <si>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</si>
  <si>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</si>
  <si>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</si>
  <si>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</si>
  <si>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</si>
  <si>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</si>
  <si>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</si>
  <si>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</si>
  <si>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</si>
  <si>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</si>
  <si>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</si>
  <si>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</si>
  <si>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</si>
  <si>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</si>
  <si>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</si>
  <si>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</si>
  <si>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</si>
  <si>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</si>
  <si>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</si>
  <si>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</si>
  <si>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</si>
  <si>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</si>
  <si>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</si>
  <si>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</si>
  <si>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</si>
  <si>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</si>
  <si>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</si>
  <si>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</si>
  <si>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</si>
  <si>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</si>
  <si>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</si>
  <si>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</si>
  <si>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</si>
  <si>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</si>
  <si>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</si>
  <si>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</si>
  <si>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</si>
  <si>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</si>
  <si>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</si>
  <si>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</si>
  <si>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</si>
  <si>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</si>
  <si>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</si>
  <si>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</si>
  <si>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</si>
  <si>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</si>
  <si>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</si>
  <si>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</si>
  <si>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</si>
  <si>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</si>
  <si>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</si>
  <si>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</si>
  <si>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</si>
  <si>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</si>
  <si>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</si>
  <si>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</si>
  <si>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</si>
  <si>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</si>
  <si>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</si>
  <si>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</si>
  <si>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</si>
  <si>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</si>
  <si>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</si>
  <si>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</si>
  <si>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</si>
  <si>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</si>
  <si>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</si>
  <si>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</si>
  <si>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</si>
  <si>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</si>
  <si>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</si>
  <si>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</si>
  <si>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</si>
  <si>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</si>
  <si>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</si>
  <si>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</si>
  <si>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</si>
  <si>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</si>
  <si>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</si>
  <si>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</si>
  <si>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</si>
  <si>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</si>
  <si>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</si>
  <si>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</si>
  <si>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</si>
  <si>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</si>
  <si>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</si>
  <si>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</si>
  <si>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</si>
  <si>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</si>
  <si>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</si>
  <si>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</si>
  <si>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</si>
  <si>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</si>
  <si>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</si>
  <si>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</si>
  <si>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</si>
  <si>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</si>
  <si>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</si>
  <si>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</si>
  <si>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</si>
  <si>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</si>
  <si>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</si>
  <si>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</si>
  <si>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</si>
  <si>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</si>
  <si>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</si>
  <si>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</si>
  <si>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</si>
  <si>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</si>
  <si>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</si>
  <si>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</si>
  <si>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</si>
  <si>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</si>
  <si>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</si>
  <si>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</si>
  <si>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</si>
  <si>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</si>
  <si>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</si>
  <si>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</si>
  <si>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</si>
  <si>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</si>
  <si>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</si>
  <si>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</si>
  <si>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</si>
  <si>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</si>
  <si>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</si>
  <si>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</si>
  <si>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</si>
  <si>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</si>
  <si>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</si>
  <si>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</si>
  <si>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</si>
  <si>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</si>
  <si>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</si>
  <si>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</si>
  <si>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</si>
  <si>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</si>
  <si>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</si>
  <si>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</si>
  <si>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</si>
  <si>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</si>
  <si>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</si>
  <si>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</si>
  <si>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</si>
  <si>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</si>
  <si>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</si>
  <si>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</si>
  <si>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</si>
  <si>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</si>
  <si>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</si>
  <si>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</si>
  <si>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</si>
  <si>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</si>
  <si>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</si>
  <si>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</si>
  <si>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</si>
  <si>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</si>
  <si>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</si>
  <si>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</si>
  <si>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</si>
  <si>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</si>
  <si>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</si>
  <si>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</si>
  <si>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</si>
  <si>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</si>
  <si>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</si>
  <si>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</si>
  <si>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</si>
  <si>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</si>
  <si>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</si>
  <si>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</si>
  <si>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</si>
  <si>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</si>
  <si>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</si>
  <si>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</si>
  <si>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</si>
  <si>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</si>
  <si>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SN2688</t>
    <phoneticPr fontId="2" type="noConversion"/>
  </si>
  <si>
    <t>PV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</si>
  <si>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</si>
  <si>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</si>
  <si>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</si>
  <si>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</si>
  <si>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</si>
  <si>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</si>
  <si>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</si>
  <si>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</si>
  <si>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</si>
  <si>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</si>
  <si>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</si>
  <si>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</si>
  <si>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</si>
  <si>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</si>
  <si>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</si>
  <si>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</si>
  <si>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</si>
  <si>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</si>
  <si>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</si>
  <si>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</si>
  <si>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</si>
  <si>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</si>
  <si>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</si>
  <si>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</si>
  <si>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</si>
  <si>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</si>
  <si>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</si>
  <si>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</si>
  <si>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</si>
  <si>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</si>
  <si>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</si>
  <si>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</si>
  <si>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</si>
  <si>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</si>
  <si>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</si>
  <si>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</si>
  <si>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</si>
  <si>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</si>
  <si>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</si>
  <si>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</si>
  <si>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</si>
  <si>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</si>
  <si>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</si>
  <si>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</si>
  <si>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</si>
  <si>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</si>
  <si>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</si>
  <si>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</si>
  <si>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</si>
  <si>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</si>
  <si>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</si>
  <si>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</si>
  <si>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</si>
  <si>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</si>
  <si>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</si>
  <si>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</si>
  <si>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</si>
  <si>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</si>
  <si>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</si>
  <si>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</si>
  <si>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</si>
  <si>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</si>
  <si>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</si>
  <si>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</si>
  <si>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</si>
  <si>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</si>
  <si>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</si>
  <si>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</si>
  <si>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</si>
  <si>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</si>
  <si>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</si>
  <si>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</si>
  <si>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</si>
  <si>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</si>
  <si>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</si>
  <si>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</si>
  <si>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</si>
  <si>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</si>
  <si>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</si>
  <si>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</si>
  <si>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</si>
  <si>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</si>
  <si>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</si>
  <si>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</si>
  <si>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</si>
  <si>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</si>
  <si>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</si>
  <si>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</si>
  <si>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</si>
  <si>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</si>
  <si>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</si>
  <si>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</si>
  <si>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</si>
  <si>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</si>
  <si>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</si>
  <si>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</si>
  <si>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</si>
  <si>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</si>
  <si>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</si>
  <si>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</si>
  <si>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</si>
  <si>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</si>
  <si>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</si>
  <si>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</si>
  <si>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</si>
  <si>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</si>
  <si>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</si>
  <si>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</si>
  <si>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</si>
  <si>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</si>
  <si>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</si>
  <si>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</si>
  <si>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</si>
  <si>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</si>
  <si>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</si>
  <si>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</si>
  <si>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</si>
  <si>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</si>
  <si>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</si>
  <si>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</si>
  <si>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</si>
  <si>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</si>
  <si>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</si>
  <si>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</si>
  <si>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</si>
  <si>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</si>
  <si>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</si>
  <si>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</si>
  <si>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</si>
  <si>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P0294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</si>
  <si>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</si>
  <si>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</si>
  <si>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</si>
  <si>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</si>
  <si>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</si>
  <si>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</si>
  <si>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</si>
  <si>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</si>
  <si>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</si>
  <si>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</si>
  <si>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</si>
  <si>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</si>
  <si>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</si>
  <si>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</si>
  <si>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</si>
  <si>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</si>
  <si>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</si>
  <si>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</si>
  <si>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</si>
  <si>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</si>
  <si>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</si>
  <si>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</si>
  <si>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</si>
  <si>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</si>
  <si>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</si>
  <si>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</si>
  <si>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</si>
  <si>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</si>
  <si>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</si>
  <si>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</si>
  <si>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</si>
  <si>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</si>
  <si>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</si>
  <si>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</si>
  <si>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</si>
  <si>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</si>
  <si>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</si>
  <si>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</si>
  <si>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</si>
  <si>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</si>
  <si>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</si>
  <si>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</si>
  <si>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</si>
  <si>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</si>
  <si>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</si>
  <si>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</si>
  <si>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</si>
  <si>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</si>
  <si>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</si>
  <si>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</si>
  <si>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</si>
  <si>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</si>
  <si>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</si>
  <si>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</si>
  <si>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</si>
  <si>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</si>
  <si>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</si>
  <si>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</si>
  <si>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</si>
  <si>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인도전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</si>
  <si>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</si>
  <si>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</si>
  <si>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</si>
  <si>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</si>
  <si>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</si>
  <si>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</si>
  <si>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</si>
  <si>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</si>
  <si>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</si>
  <si>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</si>
  <si>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</si>
  <si>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</si>
  <si>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</si>
  <si>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</si>
  <si>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</si>
  <si>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보트 검사 지원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</si>
  <si>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</si>
  <si>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</si>
  <si>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</si>
  <si>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</si>
  <si>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ML</t>
    <phoneticPr fontId="2" type="noConversion"/>
  </si>
  <si>
    <t>작동 시험</t>
    <phoneticPr fontId="2" type="noConversion"/>
  </si>
  <si>
    <t>HOC</t>
    <phoneticPr fontId="2" type="noConversion"/>
  </si>
  <si>
    <t>PE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</si>
  <si>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</si>
  <si>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</si>
  <si>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</si>
  <si>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</si>
  <si>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</si>
  <si>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</si>
  <si>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RCS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</si>
  <si>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</si>
  <si>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</si>
  <si>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</si>
  <si>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</si>
  <si>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</si>
  <si>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</si>
  <si>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</si>
  <si>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박성용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</si>
  <si>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</si>
  <si>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</si>
  <si>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</si>
  <si>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</si>
  <si>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</si>
  <si>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</si>
  <si>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>우신(1)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</si>
  <si>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</si>
  <si>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</si>
  <si>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</si>
  <si>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목요일 결과보고 입회여부 결정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</si>
  <si>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</si>
  <si>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</si>
  <si>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</si>
  <si>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</si>
  <si>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</si>
  <si>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</si>
  <si>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</si>
  <si>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</si>
  <si>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</si>
  <si>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</si>
  <si>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</si>
  <si>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WIRE ROPE 교체, 검사준비</t>
    <phoneticPr fontId="2" type="noConversion"/>
  </si>
  <si>
    <t>리미트 터치바 용접, 리미트 세팅, STW</t>
    <phoneticPr fontId="2" type="noConversion"/>
  </si>
  <si>
    <t>우신(2)</t>
    <phoneticPr fontId="2" type="noConversion"/>
  </si>
  <si>
    <t>무상</t>
    <phoneticPr fontId="2" type="noConversion"/>
  </si>
  <si>
    <t>턴테이블 수정 외</t>
    <phoneticPr fontId="2" type="noConversion"/>
  </si>
  <si>
    <t>0160</t>
    <phoneticPr fontId="2" type="noConversion"/>
  </si>
  <si>
    <t>신한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</si>
  <si>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</si>
  <si>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</si>
  <si>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</si>
  <si>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미정</t>
    <phoneticPr fontId="2" type="noConversion"/>
  </si>
  <si>
    <t>CNM(2)</t>
    <phoneticPr fontId="2" type="noConversion"/>
  </si>
  <si>
    <t>권용연, 김유신</t>
    <phoneticPr fontId="2" type="noConversion"/>
  </si>
  <si>
    <t>박성용, 김동명</t>
    <phoneticPr fontId="2" type="noConversion"/>
  </si>
  <si>
    <t>HHI</t>
    <phoneticPr fontId="2" type="noConversion"/>
  </si>
  <si>
    <t>P180</t>
    <phoneticPr fontId="2" type="noConversion"/>
  </si>
  <si>
    <t>EH</t>
    <phoneticPr fontId="2" type="noConversion"/>
  </si>
  <si>
    <t>랙기어 수정</t>
    <phoneticPr fontId="2" type="noConversion"/>
  </si>
  <si>
    <t>박해식</t>
    <phoneticPr fontId="2" type="noConversion"/>
  </si>
  <si>
    <t>HIO(1)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</si>
  <si>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</si>
  <si>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</si>
  <si>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</si>
  <si>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금주 내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</si>
  <si>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</si>
  <si>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</si>
  <si>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</si>
  <si>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</si>
  <si>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미정</t>
    <phoneticPr fontId="2" type="noConversion"/>
  </si>
  <si>
    <t>미정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</si>
  <si>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</si>
  <si>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</si>
  <si>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</si>
  <si>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</si>
  <si>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램프 세팅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</si>
  <si>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</si>
  <si>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</si>
  <si>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</si>
  <si>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</si>
  <si>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</si>
  <si>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</si>
  <si>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</si>
  <si>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</si>
  <si>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</si>
  <si>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</si>
  <si>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</si>
  <si>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</si>
  <si>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</si>
  <si>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</si>
  <si>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</si>
  <si>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</si>
  <si>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</si>
  <si>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</si>
  <si>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</si>
  <si>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</si>
  <si>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</si>
  <si>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</si>
  <si>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</si>
  <si>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</si>
  <si>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</si>
  <si>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</si>
  <si>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</si>
  <si>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해외출장</t>
    <phoneticPr fontId="2" type="noConversion"/>
  </si>
  <si>
    <t>김용진</t>
    <phoneticPr fontId="2" type="noConversion"/>
  </si>
  <si>
    <t>7/23 ~ 7/31</t>
    <phoneticPr fontId="2" type="noConversion"/>
  </si>
  <si>
    <t>(9일간)</t>
    <phoneticPr fontId="2" type="noConversion"/>
  </si>
  <si>
    <t>박성용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</si>
</sst>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9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9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97" fillId="23" borderId="9" xfId="0" applyFont="1" applyFill="1" applyBorder="1" applyAlignment="1">
      <alignment vertical="center" wrapText="1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6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3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84" fillId="0" borderId="9" xfId="0" applyFont="1" applyFill="1" applyBorder="1" applyAlignment="1">
      <alignment vertical="center" wrapText="1"/>
    </xf>
    <xf numFmtId="0" fontId="136" fillId="0" borderId="9" xfId="0" applyFont="1" applyFill="1" applyBorder="1" applyAlignment="1">
      <alignment vertical="center" wrapText="1"/>
    </xf>
    <xf numFmtId="0" fontId="56" fillId="0" borderId="1" xfId="0" applyFont="1" applyFill="1" applyBorder="1" applyAlignment="1">
      <alignment horizontal="center" vertical="center"/>
    </xf>
    <xf numFmtId="0" fontId="6" fillId="0" borderId="12" xfId="0" applyFont="1" applyBorder="1" applyAlignment="1">
      <alignment horizontal="center" vertical="center" wrapText="1"/>
    </xf>
    <xf numFmtId="0" fontId="124" fillId="0" borderId="34" xfId="0" applyFont="1" applyBorder="1" applyAlignment="1">
      <alignment horizontal="center" vertical="center" wrapText="1"/>
    </xf>
    <xf numFmtId="0" fontId="124" fillId="0" borderId="3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606"/>
  <sheetViews>
    <sheetView showGridLines="0" tabSelected="1" topLeftCell="A488" zoomScaleNormal="100" workbookViewId="0">
      <selection activeCell="G497" sqref="G497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87" t="s">
        <v>3261</v>
      </c>
      <c r="B1" s="887"/>
      <c r="C1" s="887"/>
      <c r="D1" s="887"/>
      <c r="E1" s="887"/>
      <c r="F1" s="887"/>
      <c r="G1" s="887"/>
      <c r="H1" s="887"/>
      <c r="I1" s="887"/>
      <c r="J1" s="887"/>
      <c r="K1" s="887"/>
      <c r="L1" s="887"/>
      <c r="M1" s="887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8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79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79"/>
      <c r="Q22" s="880"/>
      <c r="R22" s="880"/>
      <c r="S22" s="880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0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0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0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79"/>
      <c r="Q27" s="880"/>
      <c r="R27" s="880"/>
      <c r="S27" s="880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0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0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0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0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0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0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8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8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79"/>
      <c r="Q36" s="880"/>
      <c r="R36" s="880"/>
      <c r="S36" s="880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79"/>
      <c r="Q37" s="880"/>
      <c r="R37" s="880"/>
      <c r="S37" s="880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8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8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79"/>
      <c r="Q40" s="880"/>
      <c r="R40" s="880"/>
      <c r="S40" s="880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79"/>
      <c r="Q41" s="880"/>
      <c r="R41" s="880"/>
      <c r="S41" s="880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8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79" t="s">
        <v>4390</v>
      </c>
      <c r="Q43" s="880"/>
      <c r="R43" s="880"/>
      <c r="S43" s="880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79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79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1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1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0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0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0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0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0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0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0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0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0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0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79"/>
      <c r="Q61" s="880"/>
      <c r="R61" s="880"/>
      <c r="S61" s="880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79"/>
      <c r="Q64" s="880"/>
      <c r="R64" s="880"/>
      <c r="S64" s="880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79"/>
      <c r="Q67" s="880"/>
      <c r="R67" s="880"/>
      <c r="S67" s="880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79"/>
      <c r="Q74" s="880"/>
      <c r="R74" s="880"/>
      <c r="S74" s="880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2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3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3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3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79"/>
      <c r="Q83" s="880"/>
      <c r="R83" s="880"/>
      <c r="S83" s="880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3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79"/>
      <c r="Q85" s="880"/>
      <c r="R85" s="880"/>
      <c r="S85" s="880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79" t="s">
        <v>4390</v>
      </c>
      <c r="Q93" s="880"/>
      <c r="R93" s="880"/>
      <c r="S93" s="880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79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79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79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79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4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4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4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4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85"/>
      <c r="Q169" s="886"/>
      <c r="R169" s="886"/>
      <c r="S169" s="886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79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83" t="s">
        <v>4688</v>
      </c>
      <c r="Q182" s="884"/>
      <c r="R182" s="884"/>
      <c r="S182" s="884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5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5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6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6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7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5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5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59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8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89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89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0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0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89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89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89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1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89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89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89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89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89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89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59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59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59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89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0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0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0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0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0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89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59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59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89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89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59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59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59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59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89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59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89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59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59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59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59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59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59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89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89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89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89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59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59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59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59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59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59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59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59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59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59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59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59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59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59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59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59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59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59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59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59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59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59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59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59"/>
    </row>
    <row r="288" spans="1:16" s="17" customFormat="1" ht="33" customHeight="1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59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59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59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59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59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59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59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59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59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59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59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59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2" t="s">
        <v>5621</v>
      </c>
      <c r="O301" s="437"/>
      <c r="P301" s="759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59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09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59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59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59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59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59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6"/>
      <c r="P309" s="759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1" t="s">
        <v>271</v>
      </c>
      <c r="I310" s="609" t="s">
        <v>202</v>
      </c>
      <c r="J310" s="609" t="s">
        <v>5710</v>
      </c>
      <c r="K310" s="125" t="s">
        <v>15</v>
      </c>
      <c r="L310" s="16">
        <v>9080</v>
      </c>
      <c r="M310" s="8">
        <v>4</v>
      </c>
      <c r="N310" s="454"/>
      <c r="O310" s="686"/>
      <c r="P310" s="759"/>
    </row>
    <row r="311" spans="1:16" s="17" customFormat="1" ht="33" customHeight="1">
      <c r="A311" s="424"/>
      <c r="B311" s="399">
        <v>46154</v>
      </c>
      <c r="C311" s="4"/>
      <c r="D311" s="4"/>
      <c r="E311" s="611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59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1" t="s">
        <v>5774</v>
      </c>
      <c r="I312" s="609"/>
      <c r="J312" s="609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59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59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4" t="s">
        <v>5772</v>
      </c>
      <c r="I314" s="653" t="s">
        <v>202</v>
      </c>
      <c r="J314" s="653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59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59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59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59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59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59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59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59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3"/>
      <c r="O323" s="428" t="s">
        <v>5752</v>
      </c>
      <c r="P323" s="759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59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3"/>
      <c r="O325" s="431"/>
      <c r="P325" s="759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59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59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59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5" t="s">
        <v>5793</v>
      </c>
      <c r="G329" s="16" t="s">
        <v>5726</v>
      </c>
      <c r="H329" s="706" t="s">
        <v>5819</v>
      </c>
      <c r="I329" s="653" t="s">
        <v>5779</v>
      </c>
      <c r="J329" s="654"/>
      <c r="K329" s="125" t="s">
        <v>5780</v>
      </c>
      <c r="L329" s="16" t="s">
        <v>5781</v>
      </c>
      <c r="M329" s="8">
        <v>2</v>
      </c>
      <c r="N329" s="422"/>
      <c r="O329" s="430"/>
      <c r="P329" s="759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59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59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704" t="s">
        <v>5802</v>
      </c>
      <c r="F332" s="704" t="s">
        <v>5803</v>
      </c>
      <c r="G332" s="16" t="s">
        <v>5804</v>
      </c>
      <c r="H332" s="705" t="s">
        <v>5805</v>
      </c>
      <c r="I332" s="705" t="s">
        <v>5810</v>
      </c>
      <c r="J332" s="705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59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59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704" t="s">
        <v>107</v>
      </c>
      <c r="F335" s="704" t="s">
        <v>3386</v>
      </c>
      <c r="G335" s="16" t="s">
        <v>23</v>
      </c>
      <c r="H335" s="705" t="s">
        <v>5828</v>
      </c>
      <c r="I335" s="704"/>
      <c r="J335" s="705" t="s">
        <v>5824</v>
      </c>
      <c r="K335" s="125" t="s">
        <v>5817</v>
      </c>
      <c r="L335" s="16" t="s">
        <v>5799</v>
      </c>
      <c r="M335" s="8">
        <v>3</v>
      </c>
      <c r="N335" s="704"/>
      <c r="O335" s="431" t="s">
        <v>5836</v>
      </c>
      <c r="P335" s="759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5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59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704" t="s">
        <v>5802</v>
      </c>
      <c r="F337" s="704" t="s">
        <v>5803</v>
      </c>
      <c r="G337" s="16" t="s">
        <v>5804</v>
      </c>
      <c r="H337" s="705" t="s">
        <v>5812</v>
      </c>
      <c r="I337" s="704" t="s">
        <v>5807</v>
      </c>
      <c r="J337" s="705" t="s">
        <v>5815</v>
      </c>
      <c r="K337" s="125" t="s">
        <v>5813</v>
      </c>
      <c r="L337" s="16" t="s">
        <v>5799</v>
      </c>
      <c r="M337" s="8">
        <v>2</v>
      </c>
      <c r="N337" s="704"/>
      <c r="O337" s="430"/>
      <c r="P337" s="759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4"/>
      <c r="O338" s="430"/>
      <c r="P338" s="759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704" t="s">
        <v>107</v>
      </c>
      <c r="F339" s="704" t="s">
        <v>2959</v>
      </c>
      <c r="G339" s="16" t="s">
        <v>1895</v>
      </c>
      <c r="H339" s="705" t="s">
        <v>5885</v>
      </c>
      <c r="I339" s="705"/>
      <c r="J339" s="705" t="s">
        <v>5816</v>
      </c>
      <c r="K339" s="125" t="s">
        <v>5811</v>
      </c>
      <c r="L339" s="16" t="s">
        <v>5808</v>
      </c>
      <c r="M339" s="8">
        <v>2</v>
      </c>
      <c r="N339" s="704"/>
      <c r="O339" s="437" t="s">
        <v>5835</v>
      </c>
      <c r="P339" s="759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704" t="s">
        <v>107</v>
      </c>
      <c r="F340" s="704" t="s">
        <v>3386</v>
      </c>
      <c r="G340" s="16" t="s">
        <v>23</v>
      </c>
      <c r="H340" s="705" t="s">
        <v>5886</v>
      </c>
      <c r="I340" s="705" t="s">
        <v>5810</v>
      </c>
      <c r="J340" s="705"/>
      <c r="K340" s="125" t="s">
        <v>5811</v>
      </c>
      <c r="L340" s="16" t="s">
        <v>5808</v>
      </c>
      <c r="M340" s="8">
        <v>1</v>
      </c>
      <c r="N340" s="704"/>
      <c r="O340" s="430"/>
      <c r="P340" s="759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59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0"/>
      <c r="O342" s="432" t="s">
        <v>5884</v>
      </c>
      <c r="P342" s="759"/>
    </row>
    <row r="343" spans="1:16" s="17" customFormat="1" ht="33" customHeight="1">
      <c r="A343" s="424"/>
      <c r="B343" s="369">
        <v>46169</v>
      </c>
      <c r="C343" s="4"/>
      <c r="D343" s="4"/>
      <c r="E343" s="705" t="s">
        <v>5602</v>
      </c>
      <c r="F343" s="704"/>
      <c r="G343" s="16"/>
      <c r="H343" s="705" t="s">
        <v>5604</v>
      </c>
      <c r="I343" s="704" t="s">
        <v>226</v>
      </c>
      <c r="J343" s="705"/>
      <c r="K343" s="125"/>
      <c r="L343" s="16" t="s">
        <v>4550</v>
      </c>
      <c r="M343" s="8">
        <v>1</v>
      </c>
      <c r="N343" s="704"/>
      <c r="O343" s="432"/>
      <c r="P343" s="759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8"/>
      <c r="O344" s="432" t="s">
        <v>5925</v>
      </c>
      <c r="P344" s="759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59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2" t="s">
        <v>5910</v>
      </c>
      <c r="I346" s="710" t="s">
        <v>202</v>
      </c>
      <c r="J346" s="712" t="s">
        <v>5911</v>
      </c>
      <c r="K346" s="125" t="s">
        <v>3265</v>
      </c>
      <c r="L346" s="16">
        <v>9080</v>
      </c>
      <c r="M346" s="8">
        <v>2</v>
      </c>
      <c r="N346" s="710"/>
      <c r="O346" s="437"/>
      <c r="P346" s="759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1"/>
      <c r="O347" s="437" t="s">
        <v>5922</v>
      </c>
      <c r="P347" s="759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0"/>
      <c r="O348" s="437" t="s">
        <v>5921</v>
      </c>
      <c r="P348" s="759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59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59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59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0"/>
      <c r="O353" s="428" t="s">
        <v>5909</v>
      </c>
      <c r="P353" s="759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2" t="s">
        <v>5910</v>
      </c>
      <c r="I354" s="710" t="s">
        <v>202</v>
      </c>
      <c r="J354" s="712" t="s">
        <v>5912</v>
      </c>
      <c r="K354" s="125" t="s">
        <v>3265</v>
      </c>
      <c r="L354" s="16">
        <v>9080</v>
      </c>
      <c r="M354" s="8">
        <v>3</v>
      </c>
      <c r="N354" s="710"/>
      <c r="O354" s="428"/>
      <c r="P354" s="759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2" t="s">
        <v>5931</v>
      </c>
      <c r="I355" s="710"/>
      <c r="J355" s="712" t="s">
        <v>5932</v>
      </c>
      <c r="K355" s="125" t="s">
        <v>15</v>
      </c>
      <c r="L355" s="16" t="s">
        <v>5908</v>
      </c>
      <c r="M355" s="8">
        <v>4</v>
      </c>
      <c r="N355" s="710"/>
      <c r="O355" s="428" t="s">
        <v>5933</v>
      </c>
      <c r="P355" s="759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59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59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0"/>
      <c r="O358" s="428" t="s">
        <v>5899</v>
      </c>
      <c r="P358" s="759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2" t="s">
        <v>5931</v>
      </c>
      <c r="I359" s="710"/>
      <c r="J359" s="712" t="s">
        <v>5932</v>
      </c>
      <c r="K359" s="125" t="s">
        <v>15</v>
      </c>
      <c r="L359" s="16" t="s">
        <v>5908</v>
      </c>
      <c r="M359" s="8">
        <v>4</v>
      </c>
      <c r="N359" s="710"/>
      <c r="O359" s="428" t="s">
        <v>5933</v>
      </c>
      <c r="P359" s="759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4" t="s">
        <v>6029</v>
      </c>
      <c r="I360" s="752" t="s">
        <v>6030</v>
      </c>
      <c r="J360" s="754" t="s">
        <v>6031</v>
      </c>
      <c r="K360" s="125" t="s">
        <v>6027</v>
      </c>
      <c r="L360" s="16">
        <v>9080</v>
      </c>
      <c r="M360" s="8">
        <v>4</v>
      </c>
      <c r="N360" s="752"/>
      <c r="O360" s="428"/>
      <c r="P360" s="759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59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0"/>
      <c r="O362" s="437" t="s">
        <v>5921</v>
      </c>
      <c r="P362" s="759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59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59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4" t="s">
        <v>6032</v>
      </c>
      <c r="I365" s="752" t="s">
        <v>6030</v>
      </c>
      <c r="J365" s="754" t="s">
        <v>6033</v>
      </c>
      <c r="K365" s="125" t="s">
        <v>6027</v>
      </c>
      <c r="L365" s="16">
        <v>9080</v>
      </c>
      <c r="M365" s="8">
        <v>3</v>
      </c>
      <c r="N365" s="752"/>
      <c r="O365" s="437"/>
      <c r="P365" s="759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4" t="s">
        <v>6034</v>
      </c>
      <c r="I366" s="752" t="s">
        <v>6030</v>
      </c>
      <c r="J366" s="754" t="s">
        <v>6035</v>
      </c>
      <c r="K366" s="125" t="s">
        <v>6036</v>
      </c>
      <c r="L366" s="16">
        <v>9080</v>
      </c>
      <c r="M366" s="8">
        <v>2</v>
      </c>
      <c r="N366" s="752"/>
      <c r="O366" s="437"/>
      <c r="P366" s="759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59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2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59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710" t="s">
        <v>5915</v>
      </c>
      <c r="F369" s="710" t="s">
        <v>5916</v>
      </c>
      <c r="G369" s="16" t="s">
        <v>5917</v>
      </c>
      <c r="H369" s="712" t="s">
        <v>5919</v>
      </c>
      <c r="I369" s="710"/>
      <c r="J369" s="712" t="s">
        <v>5920</v>
      </c>
      <c r="K369" s="125" t="s">
        <v>15</v>
      </c>
      <c r="L369" s="16">
        <v>9080</v>
      </c>
      <c r="M369" s="8">
        <v>2</v>
      </c>
      <c r="N369" s="710"/>
      <c r="O369" s="428"/>
      <c r="P369" s="759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52"/>
      <c r="O370" s="428"/>
      <c r="P370" s="759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740" t="s">
        <v>5999</v>
      </c>
      <c r="F371" s="454" t="s">
        <v>4939</v>
      </c>
      <c r="G371" s="16" t="s">
        <v>6012</v>
      </c>
      <c r="H371" s="741" t="s">
        <v>6000</v>
      </c>
      <c r="I371" s="740" t="s">
        <v>6037</v>
      </c>
      <c r="J371" s="741" t="s">
        <v>6011</v>
      </c>
      <c r="K371" s="125" t="s">
        <v>6001</v>
      </c>
      <c r="L371" s="16">
        <v>9080</v>
      </c>
      <c r="M371" s="8">
        <v>1</v>
      </c>
      <c r="N371" s="740"/>
      <c r="O371" s="428"/>
      <c r="P371" s="759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59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52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59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752" t="s">
        <v>78</v>
      </c>
      <c r="F375" s="453" t="s">
        <v>6015</v>
      </c>
      <c r="G375" s="16" t="s">
        <v>37</v>
      </c>
      <c r="H375" s="754" t="s">
        <v>5996</v>
      </c>
      <c r="I375" s="752" t="s">
        <v>90</v>
      </c>
      <c r="J375" s="752" t="s">
        <v>6007</v>
      </c>
      <c r="K375" s="136" t="s">
        <v>15</v>
      </c>
      <c r="L375" s="16" t="s">
        <v>6008</v>
      </c>
      <c r="M375" s="8">
        <v>2</v>
      </c>
      <c r="N375" s="752"/>
      <c r="O375" s="431" t="s">
        <v>6014</v>
      </c>
      <c r="P375" s="759"/>
    </row>
    <row r="376" spans="1:16" s="474" customFormat="1" ht="33" customHeight="1">
      <c r="A376" s="74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59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52"/>
      <c r="O378" s="437" t="s">
        <v>6028</v>
      </c>
      <c r="P378" s="759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52"/>
      <c r="O379" s="437" t="s">
        <v>6054</v>
      </c>
      <c r="P379" s="759"/>
    </row>
    <row r="380" spans="1:16" s="474" customFormat="1" ht="33" customHeight="1">
      <c r="A380" s="74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0"/>
      <c r="O381" s="430"/>
      <c r="P381" s="759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4" t="s">
        <v>6043</v>
      </c>
      <c r="I382" s="752" t="s">
        <v>6049</v>
      </c>
      <c r="J382" s="754" t="s">
        <v>6048</v>
      </c>
      <c r="K382" s="125" t="s">
        <v>6044</v>
      </c>
      <c r="L382" s="16" t="s">
        <v>6045</v>
      </c>
      <c r="M382" s="8">
        <v>2</v>
      </c>
      <c r="N382" s="752"/>
      <c r="O382" s="430"/>
      <c r="P382" s="759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52" t="s">
        <v>6080</v>
      </c>
      <c r="O383" s="430"/>
      <c r="P383" s="759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52" t="s">
        <v>6144</v>
      </c>
      <c r="O384" s="430"/>
      <c r="P384" s="759"/>
    </row>
    <row r="385" spans="1:16" s="17" customFormat="1" ht="33" customHeight="1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59"/>
    </row>
    <row r="386" spans="1:16" s="17" customFormat="1" ht="33" customHeight="1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7" t="s">
        <v>5793</v>
      </c>
      <c r="G386" s="16" t="s">
        <v>2963</v>
      </c>
      <c r="H386" s="598" t="s">
        <v>5997</v>
      </c>
      <c r="I386" s="594" t="s">
        <v>5979</v>
      </c>
      <c r="J386" s="752"/>
      <c r="K386" s="136" t="s">
        <v>15</v>
      </c>
      <c r="L386" s="16" t="s">
        <v>6008</v>
      </c>
      <c r="M386" s="8">
        <v>1</v>
      </c>
      <c r="N386" s="594"/>
      <c r="O386" s="432"/>
      <c r="P386" s="759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52"/>
      <c r="O387" s="432"/>
      <c r="P387" s="759"/>
    </row>
    <row r="388" spans="1:16" s="17" customFormat="1" ht="33" customHeight="1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59"/>
    </row>
    <row r="389" spans="1:16" s="17" customFormat="1" ht="33" customHeight="1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59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2" t="s">
        <v>5888</v>
      </c>
      <c r="G390" s="16" t="s">
        <v>207</v>
      </c>
      <c r="H390" s="754" t="s">
        <v>5889</v>
      </c>
      <c r="I390" s="752" t="s">
        <v>6123</v>
      </c>
      <c r="J390" s="752"/>
      <c r="K390" s="125" t="s">
        <v>15</v>
      </c>
      <c r="L390" s="16" t="s">
        <v>6016</v>
      </c>
      <c r="M390" s="8">
        <v>2</v>
      </c>
      <c r="N390" s="752"/>
      <c r="O390" s="429"/>
      <c r="P390" s="759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52"/>
      <c r="O391" s="429"/>
      <c r="P391" s="759"/>
    </row>
    <row r="392" spans="1:16" s="17" customFormat="1" ht="33" customHeight="1">
      <c r="A392" s="604"/>
      <c r="B392" s="399">
        <v>46185</v>
      </c>
      <c r="C392" s="4" t="s">
        <v>6087</v>
      </c>
      <c r="D392" s="4" t="s">
        <v>6021</v>
      </c>
      <c r="E392" s="752" t="s">
        <v>6088</v>
      </c>
      <c r="F392" s="752" t="s">
        <v>6089</v>
      </c>
      <c r="G392" s="16" t="s">
        <v>6090</v>
      </c>
      <c r="H392" s="754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59"/>
    </row>
    <row r="393" spans="1:16" s="17" customFormat="1" ht="33" customHeight="1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59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59"/>
    </row>
    <row r="396" spans="1:16" s="17" customFormat="1" ht="33" customHeight="1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52" t="s">
        <v>6145</v>
      </c>
      <c r="O396" s="431"/>
      <c r="P396" s="759"/>
    </row>
    <row r="397" spans="1:16" s="17" customFormat="1" ht="33" customHeight="1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0" t="s">
        <v>6229</v>
      </c>
      <c r="O397" s="431"/>
      <c r="P397" s="759"/>
    </row>
    <row r="398" spans="1:16" s="17" customFormat="1" ht="33" customHeight="1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0" t="s">
        <v>6229</v>
      </c>
      <c r="O398" s="431"/>
      <c r="P398" s="759"/>
    </row>
    <row r="399" spans="1:16" s="17" customFormat="1" ht="33" customHeight="1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59"/>
    </row>
    <row r="400" spans="1:16" s="17" customFormat="1" ht="33" customHeight="1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52" t="s">
        <v>6097</v>
      </c>
      <c r="G400" s="16" t="s">
        <v>6101</v>
      </c>
      <c r="H400" s="754" t="s">
        <v>6100</v>
      </c>
      <c r="I400" s="752"/>
      <c r="J400" s="754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59"/>
    </row>
    <row r="401" spans="1:16" s="17" customFormat="1" ht="33" customHeight="1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52" t="s">
        <v>6097</v>
      </c>
      <c r="G401" s="16" t="s">
        <v>6098</v>
      </c>
      <c r="H401" s="754" t="s">
        <v>6099</v>
      </c>
      <c r="I401" s="752"/>
      <c r="J401" s="754" t="s">
        <v>6096</v>
      </c>
      <c r="K401" s="125" t="s">
        <v>6036</v>
      </c>
      <c r="L401" s="16" t="s">
        <v>6092</v>
      </c>
      <c r="M401" s="8">
        <v>2</v>
      </c>
      <c r="N401" s="760" t="s">
        <v>6229</v>
      </c>
      <c r="O401" s="437" t="s">
        <v>6103</v>
      </c>
      <c r="P401" s="759"/>
    </row>
    <row r="402" spans="1:16" s="17" customFormat="1" ht="33" customHeight="1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59"/>
    </row>
    <row r="403" spans="1:16" s="17" customFormat="1" ht="33" customHeight="1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59"/>
    </row>
    <row r="404" spans="1:16" s="17" customFormat="1" ht="33" customHeight="1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52">
        <v>7060</v>
      </c>
      <c r="G404" s="16" t="s">
        <v>6111</v>
      </c>
      <c r="H404" s="754" t="s">
        <v>6112</v>
      </c>
      <c r="I404" s="752" t="s">
        <v>6049</v>
      </c>
      <c r="J404" s="754" t="s">
        <v>6113</v>
      </c>
      <c r="K404" s="125" t="s">
        <v>6041</v>
      </c>
      <c r="L404" s="16" t="s">
        <v>6008</v>
      </c>
      <c r="M404" s="8">
        <v>2</v>
      </c>
      <c r="N404" s="753"/>
      <c r="O404" s="430"/>
      <c r="P404" s="759"/>
    </row>
    <row r="405" spans="1:16" s="17" customFormat="1" ht="33" customHeight="1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53"/>
      <c r="O405" s="430"/>
      <c r="P405" s="759"/>
    </row>
    <row r="406" spans="1:16" s="17" customFormat="1" ht="33" customHeight="1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60" t="s">
        <v>6229</v>
      </c>
      <c r="O406" s="430"/>
      <c r="P406" s="759"/>
    </row>
    <row r="407" spans="1:16" s="17" customFormat="1" ht="33" customHeight="1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59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603" t="s">
        <v>5626</v>
      </c>
      <c r="B409" s="399">
        <v>46195</v>
      </c>
      <c r="C409" s="4" t="s">
        <v>24</v>
      </c>
      <c r="D409" s="4" t="s">
        <v>6207</v>
      </c>
      <c r="E409" s="761" t="s">
        <v>6208</v>
      </c>
      <c r="F409" s="759" t="s">
        <v>6209</v>
      </c>
      <c r="G409" s="16" t="s">
        <v>6210</v>
      </c>
      <c r="H409" s="761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0"/>
      <c r="O409" s="430" t="s">
        <v>6247</v>
      </c>
      <c r="P409" s="759" t="s">
        <v>6245</v>
      </c>
    </row>
    <row r="410" spans="1:16" s="17" customFormat="1" ht="33" customHeight="1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59"/>
      <c r="O410" s="431"/>
      <c r="P410" s="759"/>
    </row>
    <row r="411" spans="1:16" s="17" customFormat="1" ht="33" customHeight="1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59" t="s">
        <v>120</v>
      </c>
      <c r="J411" s="759" t="s">
        <v>6228</v>
      </c>
      <c r="K411" s="125" t="s">
        <v>15</v>
      </c>
      <c r="L411" s="16" t="s">
        <v>6213</v>
      </c>
      <c r="M411" s="8">
        <v>2</v>
      </c>
      <c r="N411" s="710"/>
      <c r="O411" s="430" t="s">
        <v>6246</v>
      </c>
      <c r="P411" s="759"/>
    </row>
    <row r="412" spans="1:16" s="17" customFormat="1" ht="33" customHeight="1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59"/>
      <c r="O412" s="431"/>
      <c r="P412" s="759"/>
    </row>
    <row r="413" spans="1:16" s="17" customFormat="1" ht="40.5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759"/>
    </row>
    <row r="414" spans="1:16" s="17" customFormat="1" ht="33" customHeight="1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768" t="s">
        <v>6231</v>
      </c>
    </row>
    <row r="415" spans="1:16" s="17" customFormat="1" ht="33" customHeight="1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759" t="s">
        <v>6231</v>
      </c>
    </row>
    <row r="416" spans="1:16" s="17" customFormat="1" ht="33" customHeight="1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759"/>
    </row>
    <row r="417" spans="1:16" s="17" customFormat="1" ht="33" customHeight="1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759"/>
    </row>
    <row r="418" spans="1:16" s="17" customFormat="1" ht="33" customHeight="1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759"/>
    </row>
    <row r="419" spans="1:16" s="17" customFormat="1" ht="33" customHeight="1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59"/>
    </row>
    <row r="420" spans="1:16" s="17" customFormat="1" ht="33" customHeight="1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59" t="s">
        <v>6231</v>
      </c>
    </row>
    <row r="421" spans="1:16" s="17" customFormat="1" ht="33" customHeight="1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59"/>
    </row>
    <row r="422" spans="1:16" s="17" customFormat="1" ht="33" customHeight="1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768"/>
    </row>
    <row r="423" spans="1:16" s="17" customFormat="1" ht="33" customHeight="1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8"/>
    </row>
    <row r="424" spans="1:16" s="17" customFormat="1" ht="33" customHeight="1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59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817" t="s">
        <v>33</v>
      </c>
      <c r="M426" s="818">
        <v>2</v>
      </c>
      <c r="N426" s="6"/>
      <c r="O426" s="434"/>
      <c r="P426" s="759" t="s">
        <v>6293</v>
      </c>
    </row>
    <row r="427" spans="1:16" s="17" customFormat="1" ht="33" customHeight="1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798"/>
    </row>
    <row r="428" spans="1:16" s="17" customFormat="1" ht="33" customHeight="1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6345</v>
      </c>
      <c r="I428" s="68" t="s">
        <v>6326</v>
      </c>
      <c r="J428" s="136" t="s">
        <v>6289</v>
      </c>
      <c r="K428" s="136" t="s">
        <v>6214</v>
      </c>
      <c r="L428" s="817" t="s">
        <v>6218</v>
      </c>
      <c r="M428" s="818">
        <v>2</v>
      </c>
      <c r="N428" s="6"/>
      <c r="O428" s="434"/>
      <c r="P428" s="798" t="s">
        <v>6293</v>
      </c>
    </row>
    <row r="429" spans="1:16" s="17" customFormat="1" ht="33" customHeight="1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6335</v>
      </c>
      <c r="I429" s="68"/>
      <c r="J429" s="136" t="s">
        <v>641</v>
      </c>
      <c r="K429" s="136" t="s">
        <v>15</v>
      </c>
      <c r="L429" s="817" t="s">
        <v>4550</v>
      </c>
      <c r="M429" s="818">
        <v>2</v>
      </c>
      <c r="N429" s="6"/>
      <c r="O429" s="434"/>
      <c r="P429" s="759"/>
    </row>
    <row r="430" spans="1:16" s="17" customFormat="1" ht="33" customHeight="1">
      <c r="A430" s="604"/>
      <c r="B430" s="399">
        <v>46203</v>
      </c>
      <c r="C430" s="4" t="s">
        <v>29</v>
      </c>
      <c r="D430" s="4" t="s">
        <v>31</v>
      </c>
      <c r="E430" s="761" t="s">
        <v>78</v>
      </c>
      <c r="F430" s="759" t="s">
        <v>5975</v>
      </c>
      <c r="G430" s="16" t="s">
        <v>145</v>
      </c>
      <c r="H430" s="761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759"/>
    </row>
    <row r="431" spans="1:16" s="17" customFormat="1" ht="33" customHeight="1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4" t="s">
        <v>6346</v>
      </c>
      <c r="I431" s="6" t="s">
        <v>6389</v>
      </c>
      <c r="J431" s="6" t="s">
        <v>6357</v>
      </c>
      <c r="K431" s="125" t="s">
        <v>6290</v>
      </c>
      <c r="L431" s="277" t="s">
        <v>6291</v>
      </c>
      <c r="M431" s="417">
        <v>2</v>
      </c>
      <c r="N431" s="6"/>
      <c r="O431" s="434" t="s">
        <v>6344</v>
      </c>
      <c r="P431" s="798"/>
    </row>
    <row r="432" spans="1:16" s="17" customFormat="1" ht="33" customHeight="1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6374</v>
      </c>
      <c r="I432" s="68"/>
      <c r="J432" s="136" t="s">
        <v>641</v>
      </c>
      <c r="K432" s="136" t="s">
        <v>15</v>
      </c>
      <c r="L432" s="817" t="s">
        <v>4550</v>
      </c>
      <c r="M432" s="818">
        <v>2</v>
      </c>
      <c r="N432" s="6"/>
      <c r="O432" s="434"/>
      <c r="P432" s="770"/>
    </row>
    <row r="433" spans="1:16" s="17" customFormat="1" ht="33" customHeight="1">
      <c r="A433" s="604"/>
      <c r="B433" s="399">
        <v>46204</v>
      </c>
      <c r="C433" s="4" t="s">
        <v>21</v>
      </c>
      <c r="D433" s="4" t="s">
        <v>6259</v>
      </c>
      <c r="E433" s="752" t="s">
        <v>6282</v>
      </c>
      <c r="F433" s="752" t="s">
        <v>6283</v>
      </c>
      <c r="G433" s="16" t="s">
        <v>6284</v>
      </c>
      <c r="H433" s="754" t="s">
        <v>6285</v>
      </c>
      <c r="I433" s="6" t="s">
        <v>6299</v>
      </c>
      <c r="J433" s="6" t="s">
        <v>3074</v>
      </c>
      <c r="K433" s="125" t="s">
        <v>6280</v>
      </c>
      <c r="L433" s="277" t="s">
        <v>6378</v>
      </c>
      <c r="M433" s="417">
        <v>2</v>
      </c>
      <c r="N433" s="394"/>
      <c r="O433" s="437" t="s">
        <v>6336</v>
      </c>
      <c r="P433" s="759"/>
    </row>
    <row r="434" spans="1:16" s="17" customFormat="1" ht="33" customHeight="1">
      <c r="A434" s="604"/>
      <c r="B434" s="399">
        <v>46204</v>
      </c>
      <c r="C434" s="4" t="s">
        <v>21</v>
      </c>
      <c r="D434" s="4" t="s">
        <v>14</v>
      </c>
      <c r="E434" s="805" t="s">
        <v>3449</v>
      </c>
      <c r="F434" s="805" t="s">
        <v>4466</v>
      </c>
      <c r="G434" s="16" t="s">
        <v>6362</v>
      </c>
      <c r="H434" s="816" t="s">
        <v>6363</v>
      </c>
      <c r="I434" s="6" t="s">
        <v>6364</v>
      </c>
      <c r="J434" s="6"/>
      <c r="K434" s="125" t="s">
        <v>6365</v>
      </c>
      <c r="L434" s="277" t="s">
        <v>5476</v>
      </c>
      <c r="M434" s="417">
        <v>1</v>
      </c>
      <c r="N434" s="394"/>
      <c r="O434" s="437"/>
      <c r="P434" s="805"/>
    </row>
    <row r="435" spans="1:16" s="17" customFormat="1" ht="33" customHeight="1">
      <c r="A435" s="604"/>
      <c r="B435" s="399">
        <v>46204</v>
      </c>
      <c r="C435" s="4" t="s">
        <v>21</v>
      </c>
      <c r="D435" s="4" t="s">
        <v>6367</v>
      </c>
      <c r="E435" s="805" t="s">
        <v>6368</v>
      </c>
      <c r="F435" s="805" t="s">
        <v>6369</v>
      </c>
      <c r="G435" s="16" t="s">
        <v>6370</v>
      </c>
      <c r="H435" s="816" t="s">
        <v>6371</v>
      </c>
      <c r="I435" s="6"/>
      <c r="J435" s="6" t="s">
        <v>6372</v>
      </c>
      <c r="K435" s="125" t="s">
        <v>15</v>
      </c>
      <c r="L435" s="277" t="s">
        <v>6373</v>
      </c>
      <c r="M435" s="417">
        <v>3</v>
      </c>
      <c r="N435" s="394"/>
      <c r="O435" s="437"/>
      <c r="P435" s="805"/>
    </row>
    <row r="436" spans="1:16" s="17" customFormat="1" ht="33" customHeight="1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6390</v>
      </c>
      <c r="J436" s="68" t="s">
        <v>6303</v>
      </c>
      <c r="K436" s="136" t="s">
        <v>15</v>
      </c>
      <c r="L436" s="277">
        <v>9080</v>
      </c>
      <c r="M436" s="818">
        <v>4</v>
      </c>
      <c r="N436" s="394"/>
      <c r="O436" s="437" t="s">
        <v>6361</v>
      </c>
      <c r="P436" s="798"/>
    </row>
    <row r="437" spans="1:16" s="17" customFormat="1" ht="33" customHeight="1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6377</v>
      </c>
      <c r="J437" s="68" t="s">
        <v>6303</v>
      </c>
      <c r="K437" s="136" t="s">
        <v>15</v>
      </c>
      <c r="L437" s="277">
        <v>9080</v>
      </c>
      <c r="M437" s="818">
        <v>2</v>
      </c>
      <c r="N437" s="394"/>
      <c r="O437" s="437" t="s">
        <v>6361</v>
      </c>
      <c r="P437" s="798"/>
    </row>
    <row r="438" spans="1:16" s="17" customFormat="1" ht="33" customHeight="1">
      <c r="A438" s="604"/>
      <c r="B438" s="399">
        <v>46204</v>
      </c>
      <c r="C438" s="4" t="s">
        <v>21</v>
      </c>
      <c r="D438" s="4" t="s">
        <v>14</v>
      </c>
      <c r="E438" s="798" t="s">
        <v>211</v>
      </c>
      <c r="F438" s="798" t="s">
        <v>2916</v>
      </c>
      <c r="G438" s="16" t="s">
        <v>2917</v>
      </c>
      <c r="H438" s="804" t="s">
        <v>6143</v>
      </c>
      <c r="I438" s="68"/>
      <c r="J438" s="68" t="s">
        <v>6337</v>
      </c>
      <c r="K438" s="136" t="s">
        <v>15</v>
      </c>
      <c r="L438" s="277" t="s">
        <v>6301</v>
      </c>
      <c r="M438" s="818">
        <v>2</v>
      </c>
      <c r="N438" s="394"/>
      <c r="O438" s="437" t="s">
        <v>6360</v>
      </c>
      <c r="P438" s="798"/>
    </row>
    <row r="439" spans="1:16" s="17" customFormat="1" ht="33" customHeight="1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8" t="s">
        <v>6293</v>
      </c>
    </row>
    <row r="440" spans="1:16" s="17" customFormat="1" ht="33" customHeight="1">
      <c r="A440" s="604"/>
      <c r="B440" s="399">
        <v>46205</v>
      </c>
      <c r="C440" s="4" t="s">
        <v>21</v>
      </c>
      <c r="D440" s="4" t="s">
        <v>14</v>
      </c>
      <c r="E440" s="798" t="s">
        <v>1787</v>
      </c>
      <c r="F440" s="798" t="s">
        <v>6296</v>
      </c>
      <c r="G440" s="16" t="s">
        <v>553</v>
      </c>
      <c r="H440" s="804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798"/>
    </row>
    <row r="441" spans="1:16" s="17" customFormat="1" ht="33" customHeight="1">
      <c r="A441" s="604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6375</v>
      </c>
      <c r="J441" s="68"/>
      <c r="K441" s="136" t="s">
        <v>15</v>
      </c>
      <c r="L441" s="277">
        <v>9080</v>
      </c>
      <c r="M441" s="818">
        <v>2</v>
      </c>
      <c r="N441" s="394"/>
      <c r="O441" s="437"/>
      <c r="P441" s="759"/>
    </row>
    <row r="442" spans="1:16" s="17" customFormat="1" ht="33" customHeight="1">
      <c r="A442" s="604"/>
      <c r="B442" s="399">
        <v>46205</v>
      </c>
      <c r="C442" s="4" t="s">
        <v>21</v>
      </c>
      <c r="D442" s="4" t="s">
        <v>14</v>
      </c>
      <c r="E442" s="798" t="s">
        <v>211</v>
      </c>
      <c r="F442" s="798" t="s">
        <v>2916</v>
      </c>
      <c r="G442" s="16" t="s">
        <v>2917</v>
      </c>
      <c r="H442" s="804" t="s">
        <v>6143</v>
      </c>
      <c r="I442" s="68"/>
      <c r="J442" s="68" t="s">
        <v>6337</v>
      </c>
      <c r="K442" s="136" t="s">
        <v>15</v>
      </c>
      <c r="L442" s="277" t="s">
        <v>6301</v>
      </c>
      <c r="M442" s="818">
        <v>2</v>
      </c>
      <c r="N442" s="394"/>
      <c r="O442" s="437" t="s">
        <v>6360</v>
      </c>
      <c r="P442" s="759"/>
    </row>
    <row r="443" spans="1:16" s="17" customFormat="1" ht="33" customHeight="1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16" t="s">
        <v>6391</v>
      </c>
      <c r="I443" s="6" t="s">
        <v>6389</v>
      </c>
      <c r="J443" s="6" t="s">
        <v>6357</v>
      </c>
      <c r="K443" s="125" t="s">
        <v>15</v>
      </c>
      <c r="L443" s="277" t="s">
        <v>33</v>
      </c>
      <c r="M443" s="417">
        <v>2</v>
      </c>
      <c r="N443" s="394"/>
      <c r="O443" s="437"/>
      <c r="P443" s="805"/>
    </row>
    <row r="444" spans="1:16" s="17" customFormat="1" ht="33" customHeight="1">
      <c r="A444" s="604"/>
      <c r="B444" s="399">
        <v>46205</v>
      </c>
      <c r="C444" s="3" t="s">
        <v>6396</v>
      </c>
      <c r="D444" s="3" t="s">
        <v>14</v>
      </c>
      <c r="E444" s="454" t="s">
        <v>427</v>
      </c>
      <c r="F444" s="454" t="s">
        <v>3386</v>
      </c>
      <c r="G444" s="459" t="s">
        <v>6397</v>
      </c>
      <c r="H444" s="816" t="s">
        <v>6398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5"/>
    </row>
    <row r="445" spans="1:16" s="17" customFormat="1" ht="33" customHeight="1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6400</v>
      </c>
      <c r="I445" s="68" t="s">
        <v>6375</v>
      </c>
      <c r="J445" s="68"/>
      <c r="K445" s="136" t="s">
        <v>15</v>
      </c>
      <c r="L445" s="277">
        <v>9080</v>
      </c>
      <c r="M445" s="818">
        <v>2</v>
      </c>
      <c r="N445" s="394"/>
      <c r="O445" s="437"/>
      <c r="P445" s="798" t="s">
        <v>6293</v>
      </c>
    </row>
    <row r="446" spans="1:16" s="17" customFormat="1" ht="33" customHeight="1">
      <c r="A446" s="604"/>
      <c r="B446" s="399">
        <v>46206</v>
      </c>
      <c r="C446" s="4" t="s">
        <v>21</v>
      </c>
      <c r="D446" s="4" t="s">
        <v>14</v>
      </c>
      <c r="E446" s="805" t="s">
        <v>211</v>
      </c>
      <c r="F446" s="805" t="s">
        <v>2916</v>
      </c>
      <c r="G446" s="16" t="s">
        <v>2917</v>
      </c>
      <c r="H446" s="816" t="s">
        <v>6143</v>
      </c>
      <c r="I446" s="68"/>
      <c r="J446" s="68" t="s">
        <v>3697</v>
      </c>
      <c r="K446" s="136" t="s">
        <v>15</v>
      </c>
      <c r="L446" s="277" t="s">
        <v>5476</v>
      </c>
      <c r="M446" s="818">
        <v>2</v>
      </c>
      <c r="N446" s="394"/>
      <c r="O446" s="437"/>
      <c r="P446" s="805"/>
    </row>
    <row r="447" spans="1:16" s="17" customFormat="1" ht="33" customHeight="1">
      <c r="A447" s="604"/>
      <c r="B447" s="399">
        <v>46206</v>
      </c>
      <c r="C447" s="4" t="s">
        <v>21</v>
      </c>
      <c r="D447" s="4" t="s">
        <v>6348</v>
      </c>
      <c r="E447" s="805" t="s">
        <v>6379</v>
      </c>
      <c r="F447" s="805" t="s">
        <v>6380</v>
      </c>
      <c r="G447" s="16" t="s">
        <v>6399</v>
      </c>
      <c r="H447" s="816" t="s">
        <v>6285</v>
      </c>
      <c r="I447" s="68"/>
      <c r="J447" s="68" t="s">
        <v>6381</v>
      </c>
      <c r="K447" s="136" t="s">
        <v>6382</v>
      </c>
      <c r="L447" s="277" t="s">
        <v>6383</v>
      </c>
      <c r="M447" s="818">
        <v>1</v>
      </c>
      <c r="N447" s="394"/>
      <c r="O447" s="437"/>
      <c r="P447" s="805"/>
    </row>
    <row r="448" spans="1:16" s="17" customFormat="1" ht="33" customHeight="1">
      <c r="A448" s="605"/>
      <c r="B448" s="369">
        <v>46207</v>
      </c>
      <c r="C448" s="3" t="s">
        <v>6396</v>
      </c>
      <c r="D448" s="3" t="s">
        <v>14</v>
      </c>
      <c r="E448" s="454" t="s">
        <v>427</v>
      </c>
      <c r="F448" s="454" t="s">
        <v>3386</v>
      </c>
      <c r="G448" s="459" t="s">
        <v>6397</v>
      </c>
      <c r="H448" s="816" t="s">
        <v>6401</v>
      </c>
      <c r="I448" s="816" t="s">
        <v>6402</v>
      </c>
      <c r="J448" s="594" t="s">
        <v>6403</v>
      </c>
      <c r="K448" s="125" t="s">
        <v>6404</v>
      </c>
      <c r="L448" s="16" t="s">
        <v>6405</v>
      </c>
      <c r="M448" s="8">
        <v>4</v>
      </c>
      <c r="N448" s="594"/>
      <c r="O448" s="432"/>
      <c r="P448" s="759"/>
    </row>
    <row r="449" spans="1:17" s="17" customFormat="1" ht="33" customHeight="1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7" s="17" customFormat="1" ht="33" customHeight="1">
      <c r="A450" s="603" t="s">
        <v>5628</v>
      </c>
      <c r="B450" s="399">
        <v>46209</v>
      </c>
      <c r="C450" s="3" t="s">
        <v>6430</v>
      </c>
      <c r="D450" s="3" t="s">
        <v>14</v>
      </c>
      <c r="E450" s="454" t="s">
        <v>427</v>
      </c>
      <c r="F450" s="454" t="s">
        <v>3386</v>
      </c>
      <c r="G450" s="459" t="s">
        <v>6397</v>
      </c>
      <c r="H450" s="816" t="s">
        <v>6441</v>
      </c>
      <c r="I450" s="805" t="s">
        <v>6416</v>
      </c>
      <c r="J450" s="805"/>
      <c r="K450" s="125"/>
      <c r="L450" s="16">
        <v>9080</v>
      </c>
      <c r="M450" s="18">
        <v>2</v>
      </c>
      <c r="N450" s="594"/>
      <c r="O450" s="431"/>
      <c r="P450" s="805" t="s">
        <v>6293</v>
      </c>
    </row>
    <row r="451" spans="1:17" s="17" customFormat="1" ht="33" customHeight="1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16" t="s">
        <v>6406</v>
      </c>
      <c r="I451" s="805" t="s">
        <v>6407</v>
      </c>
      <c r="J451" s="805" t="s">
        <v>6408</v>
      </c>
      <c r="K451" s="125" t="s">
        <v>6382</v>
      </c>
      <c r="L451" s="16" t="s">
        <v>6366</v>
      </c>
      <c r="M451" s="8">
        <v>2</v>
      </c>
      <c r="N451" s="805"/>
      <c r="O451" s="431"/>
      <c r="P451" s="805"/>
    </row>
    <row r="452" spans="1:17" s="17" customFormat="1" ht="33" customHeight="1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6420</v>
      </c>
      <c r="H452" s="453" t="s">
        <v>6421</v>
      </c>
      <c r="I452" s="68"/>
      <c r="J452" s="136" t="s">
        <v>6422</v>
      </c>
      <c r="K452" s="136" t="s">
        <v>6417</v>
      </c>
      <c r="L452" s="277" t="s">
        <v>5476</v>
      </c>
      <c r="M452" s="818">
        <v>2</v>
      </c>
      <c r="N452" s="594"/>
      <c r="O452" s="431"/>
      <c r="P452" s="805" t="s">
        <v>6293</v>
      </c>
    </row>
    <row r="453" spans="1:17" s="17" customFormat="1" ht="33" customHeight="1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16" t="s">
        <v>6406</v>
      </c>
      <c r="I453" s="827" t="s">
        <v>6500</v>
      </c>
      <c r="J453" s="805"/>
      <c r="K453" s="125" t="s">
        <v>6382</v>
      </c>
      <c r="L453" s="16" t="s">
        <v>6366</v>
      </c>
      <c r="M453" s="8">
        <v>3</v>
      </c>
      <c r="N453" s="805"/>
      <c r="O453" s="431"/>
      <c r="P453" s="805"/>
    </row>
    <row r="454" spans="1:17" s="17" customFormat="1" ht="33" customHeight="1">
      <c r="A454" s="604"/>
      <c r="B454" s="399">
        <v>46211</v>
      </c>
      <c r="C454" s="3" t="s">
        <v>21</v>
      </c>
      <c r="D454" s="3" t="s">
        <v>14</v>
      </c>
      <c r="E454" s="454" t="s">
        <v>107</v>
      </c>
      <c r="F454" s="454" t="s">
        <v>2959</v>
      </c>
      <c r="G454" s="459" t="s">
        <v>1172</v>
      </c>
      <c r="H454" s="453" t="s">
        <v>6219</v>
      </c>
      <c r="I454" s="68" t="s">
        <v>6356</v>
      </c>
      <c r="J454" s="136" t="s">
        <v>6477</v>
      </c>
      <c r="K454" s="136" t="s">
        <v>6417</v>
      </c>
      <c r="L454" s="277" t="s">
        <v>6418</v>
      </c>
      <c r="M454" s="818">
        <v>2</v>
      </c>
      <c r="N454" s="595"/>
      <c r="O454" s="430"/>
      <c r="P454" s="759"/>
    </row>
    <row r="455" spans="1:17" s="17" customFormat="1" ht="33" customHeight="1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6420</v>
      </c>
      <c r="H455" s="453" t="s">
        <v>6421</v>
      </c>
      <c r="I455" s="68"/>
      <c r="J455" s="136" t="s">
        <v>6422</v>
      </c>
      <c r="K455" s="136" t="s">
        <v>6417</v>
      </c>
      <c r="L455" s="277" t="s">
        <v>5476</v>
      </c>
      <c r="M455" s="818">
        <v>2</v>
      </c>
      <c r="N455" s="815"/>
      <c r="O455" s="430"/>
      <c r="P455" s="805"/>
    </row>
    <row r="456" spans="1:17" s="17" customFormat="1" ht="33" customHeight="1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67</v>
      </c>
      <c r="H456" s="453" t="s">
        <v>6221</v>
      </c>
      <c r="I456" s="68" t="s">
        <v>6356</v>
      </c>
      <c r="J456" s="136" t="s">
        <v>6419</v>
      </c>
      <c r="K456" s="136" t="s">
        <v>15</v>
      </c>
      <c r="L456" s="459">
        <v>9080</v>
      </c>
      <c r="M456" s="455">
        <v>2</v>
      </c>
      <c r="N456" s="826"/>
      <c r="O456" s="430"/>
      <c r="P456" s="821"/>
    </row>
    <row r="457" spans="1:17" s="17" customFormat="1" ht="33" customHeight="1">
      <c r="A457" s="604"/>
      <c r="B457" s="399">
        <v>46211</v>
      </c>
      <c r="C457" s="3" t="s">
        <v>6306</v>
      </c>
      <c r="D457" s="3" t="s">
        <v>6307</v>
      </c>
      <c r="E457" s="454" t="s">
        <v>6308</v>
      </c>
      <c r="F457" s="454" t="s">
        <v>6309</v>
      </c>
      <c r="G457" s="459" t="s">
        <v>6310</v>
      </c>
      <c r="H457" s="453" t="s">
        <v>6311</v>
      </c>
      <c r="I457" s="454" t="s">
        <v>6478</v>
      </c>
      <c r="J457" s="453" t="s">
        <v>3803</v>
      </c>
      <c r="K457" s="136" t="s">
        <v>6313</v>
      </c>
      <c r="L457" s="459">
        <v>9080</v>
      </c>
      <c r="M457" s="455">
        <v>2</v>
      </c>
      <c r="N457" s="803"/>
      <c r="O457" s="430"/>
      <c r="P457" s="798"/>
    </row>
    <row r="458" spans="1:17" s="17" customFormat="1" ht="33" customHeight="1">
      <c r="A458" s="604"/>
      <c r="B458" s="399">
        <v>46211</v>
      </c>
      <c r="C458" s="3" t="s">
        <v>21</v>
      </c>
      <c r="D458" s="3" t="s">
        <v>14</v>
      </c>
      <c r="E458" s="454" t="s">
        <v>6467</v>
      </c>
      <c r="F458" s="454" t="s">
        <v>6468</v>
      </c>
      <c r="G458" s="459" t="s">
        <v>6499</v>
      </c>
      <c r="H458" s="453" t="s">
        <v>4617</v>
      </c>
      <c r="I458" s="454"/>
      <c r="J458" s="453" t="s">
        <v>6469</v>
      </c>
      <c r="K458" s="136" t="s">
        <v>6382</v>
      </c>
      <c r="L458" s="459" t="s">
        <v>6470</v>
      </c>
      <c r="M458" s="455">
        <v>1</v>
      </c>
      <c r="N458" s="815"/>
      <c r="O458" s="430"/>
      <c r="P458" s="805"/>
    </row>
    <row r="459" spans="1:17" s="17" customFormat="1" ht="33" customHeight="1">
      <c r="A459" s="604"/>
      <c r="B459" s="399">
        <v>46212</v>
      </c>
      <c r="C459" s="3" t="s">
        <v>21</v>
      </c>
      <c r="D459" s="3" t="s">
        <v>14</v>
      </c>
      <c r="E459" s="454" t="s">
        <v>6467</v>
      </c>
      <c r="F459" s="454" t="s">
        <v>6468</v>
      </c>
      <c r="G459" s="459" t="s">
        <v>6499</v>
      </c>
      <c r="H459" s="453" t="s">
        <v>6285</v>
      </c>
      <c r="I459" s="454"/>
      <c r="J459" s="453" t="s">
        <v>814</v>
      </c>
      <c r="K459" s="136" t="s">
        <v>6382</v>
      </c>
      <c r="L459" s="459" t="s">
        <v>6470</v>
      </c>
      <c r="M459" s="455">
        <v>1</v>
      </c>
      <c r="N459" s="815"/>
      <c r="O459" s="430"/>
      <c r="P459" s="805"/>
      <c r="Q459" s="474"/>
    </row>
    <row r="460" spans="1:17" s="17" customFormat="1" ht="33" customHeight="1">
      <c r="A460" s="604"/>
      <c r="B460" s="399">
        <v>46212</v>
      </c>
      <c r="C460" s="3" t="s">
        <v>21</v>
      </c>
      <c r="D460" s="3" t="s">
        <v>14</v>
      </c>
      <c r="E460" s="454" t="s">
        <v>6490</v>
      </c>
      <c r="F460" s="454" t="s">
        <v>6424</v>
      </c>
      <c r="G460" s="459" t="s">
        <v>6425</v>
      </c>
      <c r="H460" s="453" t="s">
        <v>6501</v>
      </c>
      <c r="I460" s="454"/>
      <c r="J460" s="453" t="s">
        <v>6487</v>
      </c>
      <c r="K460" s="136" t="s">
        <v>6382</v>
      </c>
      <c r="L460" s="459" t="s">
        <v>5476</v>
      </c>
      <c r="M460" s="455">
        <v>3</v>
      </c>
      <c r="N460" s="815"/>
      <c r="O460" s="430"/>
      <c r="P460" s="805" t="s">
        <v>6293</v>
      </c>
    </row>
    <row r="461" spans="1:17" s="17" customFormat="1" ht="33" customHeight="1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6502</v>
      </c>
      <c r="I461" s="68" t="s">
        <v>6416</v>
      </c>
      <c r="J461" s="136" t="s">
        <v>6419</v>
      </c>
      <c r="K461" s="136" t="s">
        <v>6417</v>
      </c>
      <c r="L461" s="277">
        <v>9080</v>
      </c>
      <c r="M461" s="818">
        <v>2</v>
      </c>
      <c r="N461" s="815"/>
      <c r="O461" s="430"/>
      <c r="P461" s="805"/>
    </row>
    <row r="462" spans="1:17" s="17" customFormat="1" ht="33" customHeight="1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6489</v>
      </c>
      <c r="H462" s="453" t="s">
        <v>6513</v>
      </c>
      <c r="I462" s="68" t="s">
        <v>6416</v>
      </c>
      <c r="J462" s="136" t="s">
        <v>6419</v>
      </c>
      <c r="K462" s="136" t="s">
        <v>15</v>
      </c>
      <c r="L462" s="459">
        <v>9080</v>
      </c>
      <c r="M462" s="455">
        <v>2</v>
      </c>
      <c r="N462" s="815"/>
      <c r="O462" s="430"/>
      <c r="P462" s="805"/>
    </row>
    <row r="463" spans="1:17" s="17" customFormat="1" ht="33" customHeight="1">
      <c r="A463" s="604"/>
      <c r="B463" s="399">
        <v>46212</v>
      </c>
      <c r="C463" s="3" t="s">
        <v>21</v>
      </c>
      <c r="D463" s="3" t="s">
        <v>6348</v>
      </c>
      <c r="E463" s="454" t="s">
        <v>6475</v>
      </c>
      <c r="F463" s="454" t="s">
        <v>6479</v>
      </c>
      <c r="G463" s="459" t="s">
        <v>6480</v>
      </c>
      <c r="H463" s="816" t="s">
        <v>6481</v>
      </c>
      <c r="I463" s="454" t="s">
        <v>6519</v>
      </c>
      <c r="J463" s="453" t="s">
        <v>6488</v>
      </c>
      <c r="K463" s="136" t="s">
        <v>6358</v>
      </c>
      <c r="L463" s="459" t="s">
        <v>6366</v>
      </c>
      <c r="M463" s="455">
        <v>3</v>
      </c>
      <c r="N463" s="595"/>
      <c r="O463" s="431"/>
      <c r="P463" s="759"/>
    </row>
    <row r="464" spans="1:17" s="17" customFormat="1" ht="33" customHeight="1">
      <c r="A464" s="604"/>
      <c r="B464" s="399">
        <v>46213</v>
      </c>
      <c r="C464" s="3" t="s">
        <v>21</v>
      </c>
      <c r="D464" s="3" t="s">
        <v>14</v>
      </c>
      <c r="E464" s="454" t="s">
        <v>6490</v>
      </c>
      <c r="F464" s="454" t="s">
        <v>6424</v>
      </c>
      <c r="G464" s="459" t="s">
        <v>6425</v>
      </c>
      <c r="H464" s="453" t="s">
        <v>6426</v>
      </c>
      <c r="I464" s="454"/>
      <c r="J464" s="453" t="s">
        <v>6487</v>
      </c>
      <c r="K464" s="136" t="s">
        <v>6382</v>
      </c>
      <c r="L464" s="459" t="s">
        <v>5476</v>
      </c>
      <c r="M464" s="455">
        <v>3</v>
      </c>
      <c r="N464" s="815"/>
      <c r="O464" s="431"/>
      <c r="P464" s="805"/>
    </row>
    <row r="465" spans="1:17" s="17" customFormat="1" ht="33" customHeight="1">
      <c r="A465" s="604"/>
      <c r="B465" s="399">
        <v>46213</v>
      </c>
      <c r="C465" s="3" t="s">
        <v>21</v>
      </c>
      <c r="D465" s="3" t="s">
        <v>6348</v>
      </c>
      <c r="E465" s="454" t="s">
        <v>6475</v>
      </c>
      <c r="F465" s="454" t="s">
        <v>6479</v>
      </c>
      <c r="G465" s="459" t="s">
        <v>6351</v>
      </c>
      <c r="H465" s="827" t="s">
        <v>6521</v>
      </c>
      <c r="I465" s="454" t="s">
        <v>6520</v>
      </c>
      <c r="J465" s="453" t="s">
        <v>6522</v>
      </c>
      <c r="K465" s="136" t="s">
        <v>6358</v>
      </c>
      <c r="L465" s="459" t="s">
        <v>6366</v>
      </c>
      <c r="M465" s="455">
        <v>3</v>
      </c>
      <c r="N465" s="826"/>
      <c r="O465" s="431"/>
      <c r="P465" s="821"/>
    </row>
    <row r="466" spans="1:17" s="17" customFormat="1" ht="33" customHeight="1">
      <c r="A466" s="604"/>
      <c r="B466" s="399">
        <v>46213</v>
      </c>
      <c r="C466" s="3" t="s">
        <v>6409</v>
      </c>
      <c r="D466" s="3" t="s">
        <v>6410</v>
      </c>
      <c r="E466" s="454" t="s">
        <v>6411</v>
      </c>
      <c r="F466" s="454">
        <v>7064</v>
      </c>
      <c r="G466" s="459" t="s">
        <v>6412</v>
      </c>
      <c r="H466" s="453" t="s">
        <v>6423</v>
      </c>
      <c r="I466" s="454" t="s">
        <v>6413</v>
      </c>
      <c r="J466" s="453" t="s">
        <v>6414</v>
      </c>
      <c r="K466" s="136" t="s">
        <v>6382</v>
      </c>
      <c r="L466" s="459" t="s">
        <v>6415</v>
      </c>
      <c r="M466" s="455">
        <v>4</v>
      </c>
      <c r="N466" s="815"/>
      <c r="O466" s="430"/>
      <c r="P466" s="805" t="s">
        <v>6293</v>
      </c>
    </row>
    <row r="467" spans="1:17" s="17" customFormat="1" ht="33" customHeight="1">
      <c r="A467" s="604"/>
      <c r="B467" s="399">
        <v>46213</v>
      </c>
      <c r="C467" s="4" t="s">
        <v>6471</v>
      </c>
      <c r="D467" s="4" t="s">
        <v>6367</v>
      </c>
      <c r="E467" s="821" t="s">
        <v>6503</v>
      </c>
      <c r="F467" s="821" t="s">
        <v>6472</v>
      </c>
      <c r="G467" s="16" t="s">
        <v>6473</v>
      </c>
      <c r="H467" s="827" t="s">
        <v>6529</v>
      </c>
      <c r="I467" s="821" t="s">
        <v>6504</v>
      </c>
      <c r="J467" s="821" t="s">
        <v>6493</v>
      </c>
      <c r="K467" s="125" t="s">
        <v>6474</v>
      </c>
      <c r="L467" s="16">
        <v>9080</v>
      </c>
      <c r="M467" s="8">
        <v>2</v>
      </c>
      <c r="N467" s="595"/>
      <c r="O467" s="430"/>
      <c r="P467" s="759"/>
    </row>
    <row r="468" spans="1:17" s="17" customFormat="1" ht="33" customHeight="1">
      <c r="A468" s="605"/>
      <c r="B468" s="369">
        <v>46214</v>
      </c>
      <c r="C468" s="3" t="s">
        <v>21</v>
      </c>
      <c r="D468" s="3" t="s">
        <v>6348</v>
      </c>
      <c r="E468" s="454" t="s">
        <v>6475</v>
      </c>
      <c r="F468" s="454" t="s">
        <v>6479</v>
      </c>
      <c r="G468" s="459" t="s">
        <v>6351</v>
      </c>
      <c r="H468" s="827" t="s">
        <v>6521</v>
      </c>
      <c r="I468" s="454" t="s">
        <v>6530</v>
      </c>
      <c r="J468" s="453" t="s">
        <v>6357</v>
      </c>
      <c r="K468" s="136" t="s">
        <v>6358</v>
      </c>
      <c r="L468" s="459" t="s">
        <v>6366</v>
      </c>
      <c r="M468" s="455">
        <v>3</v>
      </c>
      <c r="N468" s="594"/>
      <c r="O468" s="432"/>
      <c r="P468" s="759"/>
    </row>
    <row r="469" spans="1:17" s="17" customFormat="1" ht="33" customHeight="1">
      <c r="A469" s="322" t="s">
        <v>0</v>
      </c>
      <c r="B469" s="323" t="s">
        <v>1</v>
      </c>
      <c r="C469" s="322" t="s">
        <v>2</v>
      </c>
      <c r="D469" s="322" t="s">
        <v>3</v>
      </c>
      <c r="E469" s="322" t="s">
        <v>4</v>
      </c>
      <c r="F469" s="322" t="s">
        <v>5</v>
      </c>
      <c r="G469" s="322" t="s">
        <v>6</v>
      </c>
      <c r="H469" s="324" t="s">
        <v>7</v>
      </c>
      <c r="I469" s="322" t="s">
        <v>8</v>
      </c>
      <c r="J469" s="322" t="s">
        <v>9</v>
      </c>
      <c r="K469" s="325" t="s">
        <v>10</v>
      </c>
      <c r="L469" s="326" t="s">
        <v>11</v>
      </c>
      <c r="M469" s="322" t="s">
        <v>12</v>
      </c>
      <c r="N469" s="327" t="s">
        <v>13</v>
      </c>
      <c r="O469" s="427" t="s">
        <v>63</v>
      </c>
      <c r="P469" s="322" t="s">
        <v>123</v>
      </c>
    </row>
    <row r="470" spans="1:17" s="17" customFormat="1" ht="33" customHeight="1">
      <c r="A470" s="603" t="s">
        <v>5629</v>
      </c>
      <c r="B470" s="399">
        <v>46216</v>
      </c>
      <c r="C470" s="4" t="s">
        <v>21</v>
      </c>
      <c r="D470" s="4" t="s">
        <v>17</v>
      </c>
      <c r="E470" s="847" t="s">
        <v>986</v>
      </c>
      <c r="F470" s="847" t="s">
        <v>986</v>
      </c>
      <c r="G470" s="16" t="s">
        <v>987</v>
      </c>
      <c r="H470" s="850" t="s">
        <v>6523</v>
      </c>
      <c r="I470" s="847" t="s">
        <v>6375</v>
      </c>
      <c r="J470" s="847"/>
      <c r="K470" s="125" t="s">
        <v>42</v>
      </c>
      <c r="L470" s="16">
        <v>9080</v>
      </c>
      <c r="M470" s="8">
        <v>2</v>
      </c>
      <c r="N470" s="847"/>
      <c r="O470" s="431" t="s">
        <v>6524</v>
      </c>
      <c r="P470" s="821" t="s">
        <v>6293</v>
      </c>
      <c r="Q470" s="17" t="s">
        <v>6388</v>
      </c>
    </row>
    <row r="471" spans="1:17" s="17" customFormat="1" ht="33" customHeight="1">
      <c r="A471" s="604"/>
      <c r="B471" s="399">
        <v>46217</v>
      </c>
      <c r="C471" s="3" t="s">
        <v>21</v>
      </c>
      <c r="D471" s="3" t="s">
        <v>14</v>
      </c>
      <c r="E471" s="454" t="s">
        <v>1787</v>
      </c>
      <c r="F471" s="454" t="s">
        <v>6495</v>
      </c>
      <c r="G471" s="459" t="s">
        <v>6494</v>
      </c>
      <c r="H471" s="827" t="s">
        <v>6496</v>
      </c>
      <c r="I471" s="821" t="s">
        <v>6498</v>
      </c>
      <c r="J471" s="821" t="s">
        <v>6517</v>
      </c>
      <c r="K471" s="125" t="s">
        <v>6492</v>
      </c>
      <c r="L471" s="16">
        <v>9080</v>
      </c>
      <c r="M471" s="8">
        <v>2</v>
      </c>
      <c r="N471" s="805"/>
      <c r="O471" s="431" t="s">
        <v>6525</v>
      </c>
      <c r="P471" s="805"/>
    </row>
    <row r="472" spans="1:17" s="17" customFormat="1" ht="33" customHeight="1">
      <c r="A472" s="604"/>
      <c r="B472" s="399">
        <v>46217</v>
      </c>
      <c r="C472" s="3" t="s">
        <v>21</v>
      </c>
      <c r="D472" s="3" t="s">
        <v>14</v>
      </c>
      <c r="E472" s="454" t="s">
        <v>6427</v>
      </c>
      <c r="F472" s="454" t="s">
        <v>6424</v>
      </c>
      <c r="G472" s="459" t="s">
        <v>6425</v>
      </c>
      <c r="H472" s="816" t="s">
        <v>6544</v>
      </c>
      <c r="I472" s="821" t="s">
        <v>6498</v>
      </c>
      <c r="J472" s="821" t="s">
        <v>6517</v>
      </c>
      <c r="K472" s="125" t="s">
        <v>911</v>
      </c>
      <c r="L472" s="16">
        <v>9080</v>
      </c>
      <c r="M472" s="8">
        <v>2</v>
      </c>
      <c r="N472" s="594"/>
      <c r="O472" s="431" t="s">
        <v>6526</v>
      </c>
      <c r="P472" s="759"/>
    </row>
    <row r="473" spans="1:17" s="17" customFormat="1" ht="33" customHeight="1">
      <c r="A473" s="604"/>
      <c r="B473" s="399">
        <v>46217</v>
      </c>
      <c r="C473" s="3" t="s">
        <v>21</v>
      </c>
      <c r="D473" s="3" t="s">
        <v>14</v>
      </c>
      <c r="E473" s="454" t="s">
        <v>6427</v>
      </c>
      <c r="F473" s="454" t="s">
        <v>6424</v>
      </c>
      <c r="G473" s="459" t="s">
        <v>6428</v>
      </c>
      <c r="H473" s="816" t="s">
        <v>6497</v>
      </c>
      <c r="I473" s="821" t="s">
        <v>6498</v>
      </c>
      <c r="J473" s="821" t="s">
        <v>6517</v>
      </c>
      <c r="K473" s="125" t="s">
        <v>6492</v>
      </c>
      <c r="L473" s="16">
        <v>9080</v>
      </c>
      <c r="M473" s="8">
        <v>2</v>
      </c>
      <c r="N473" s="805"/>
      <c r="O473" s="431" t="s">
        <v>4602</v>
      </c>
      <c r="P473" s="805"/>
    </row>
    <row r="474" spans="1:17" s="17" customFormat="1" ht="33" customHeight="1">
      <c r="A474" s="604"/>
      <c r="B474" s="399">
        <v>46217</v>
      </c>
      <c r="C474" s="4" t="s">
        <v>21</v>
      </c>
      <c r="D474" s="4" t="s">
        <v>14</v>
      </c>
      <c r="E474" s="454" t="s">
        <v>107</v>
      </c>
      <c r="F474" s="454" t="s">
        <v>3386</v>
      </c>
      <c r="G474" s="459" t="s">
        <v>943</v>
      </c>
      <c r="H474" s="453" t="s">
        <v>6554</v>
      </c>
      <c r="I474" s="847" t="s">
        <v>6555</v>
      </c>
      <c r="J474" s="847" t="s">
        <v>6547</v>
      </c>
      <c r="K474" s="125" t="s">
        <v>15</v>
      </c>
      <c r="L474" s="16" t="s">
        <v>6543</v>
      </c>
      <c r="M474" s="8">
        <v>2</v>
      </c>
      <c r="N474" s="847"/>
      <c r="O474" s="431" t="s">
        <v>5515</v>
      </c>
      <c r="P474" s="847"/>
      <c r="Q474" s="474"/>
    </row>
    <row r="475" spans="1:17" s="17" customFormat="1" ht="33" customHeight="1">
      <c r="A475" s="604"/>
      <c r="B475" s="399">
        <v>46217</v>
      </c>
      <c r="C475" s="3" t="s">
        <v>21</v>
      </c>
      <c r="D475" s="3" t="s">
        <v>17</v>
      </c>
      <c r="E475" s="454" t="s">
        <v>78</v>
      </c>
      <c r="F475" s="454" t="s">
        <v>1645</v>
      </c>
      <c r="G475" s="459" t="s">
        <v>23</v>
      </c>
      <c r="H475" s="453" t="s">
        <v>6311</v>
      </c>
      <c r="I475" s="454" t="s">
        <v>6312</v>
      </c>
      <c r="J475" s="453" t="s">
        <v>999</v>
      </c>
      <c r="K475" s="136" t="s">
        <v>15</v>
      </c>
      <c r="L475" s="459" t="s">
        <v>6543</v>
      </c>
      <c r="M475" s="455">
        <v>2</v>
      </c>
      <c r="N475" s="454"/>
      <c r="O475" s="457" t="s">
        <v>5834</v>
      </c>
      <c r="P475" s="798"/>
      <c r="Q475" s="474"/>
    </row>
    <row r="476" spans="1:17" s="17" customFormat="1" ht="33" customHeight="1">
      <c r="A476" s="604"/>
      <c r="B476" s="399">
        <v>46218</v>
      </c>
      <c r="C476" s="4" t="s">
        <v>21</v>
      </c>
      <c r="D476" s="4" t="s">
        <v>14</v>
      </c>
      <c r="E476" s="454" t="s">
        <v>6514</v>
      </c>
      <c r="F476" s="454" t="s">
        <v>3386</v>
      </c>
      <c r="G476" s="459" t="s">
        <v>964</v>
      </c>
      <c r="H476" s="453" t="s">
        <v>6518</v>
      </c>
      <c r="I476" s="454" t="s">
        <v>6515</v>
      </c>
      <c r="J476" s="821" t="s">
        <v>6547</v>
      </c>
      <c r="K476" s="125" t="s">
        <v>911</v>
      </c>
      <c r="L476" s="459" t="s">
        <v>6516</v>
      </c>
      <c r="M476" s="455">
        <v>2</v>
      </c>
      <c r="N476" s="826"/>
      <c r="O476" s="437" t="s">
        <v>5515</v>
      </c>
      <c r="P476" s="821"/>
      <c r="Q476" s="474"/>
    </row>
    <row r="477" spans="1:17" s="17" customFormat="1" ht="33" customHeight="1">
      <c r="A477" s="604"/>
      <c r="B477" s="399">
        <v>46218</v>
      </c>
      <c r="C477" s="4" t="s">
        <v>1255</v>
      </c>
      <c r="D477" s="4" t="s">
        <v>6348</v>
      </c>
      <c r="E477" s="821" t="s">
        <v>6475</v>
      </c>
      <c r="F477" s="821" t="s">
        <v>6476</v>
      </c>
      <c r="G477" s="16" t="s">
        <v>6491</v>
      </c>
      <c r="H477" s="827" t="s">
        <v>6560</v>
      </c>
      <c r="I477" s="821" t="s">
        <v>6558</v>
      </c>
      <c r="J477" s="821" t="s">
        <v>6559</v>
      </c>
      <c r="K477" s="125" t="s">
        <v>911</v>
      </c>
      <c r="L477" s="16" t="s">
        <v>6512</v>
      </c>
      <c r="M477" s="8">
        <v>3</v>
      </c>
      <c r="N477" s="826"/>
      <c r="O477" s="437" t="s">
        <v>6580</v>
      </c>
      <c r="P477" s="821"/>
      <c r="Q477" s="474"/>
    </row>
    <row r="478" spans="1:17" s="17" customFormat="1" ht="33" customHeight="1">
      <c r="A478" s="604"/>
      <c r="B478" s="399">
        <v>46219</v>
      </c>
      <c r="C478" s="4" t="s">
        <v>1255</v>
      </c>
      <c r="D478" s="4" t="s">
        <v>14</v>
      </c>
      <c r="E478" s="847" t="s">
        <v>107</v>
      </c>
      <c r="F478" s="847" t="s">
        <v>2959</v>
      </c>
      <c r="G478" s="16" t="s">
        <v>3421</v>
      </c>
      <c r="H478" s="850" t="s">
        <v>6557</v>
      </c>
      <c r="I478" s="847" t="s">
        <v>6558</v>
      </c>
      <c r="J478" s="847" t="s">
        <v>6559</v>
      </c>
      <c r="K478" s="125" t="s">
        <v>911</v>
      </c>
      <c r="L478" s="16" t="s">
        <v>33</v>
      </c>
      <c r="M478" s="8">
        <v>3</v>
      </c>
      <c r="N478" s="849"/>
      <c r="O478" s="437" t="s">
        <v>4393</v>
      </c>
      <c r="P478" s="847"/>
      <c r="Q478" s="474"/>
    </row>
    <row r="479" spans="1:17" s="17" customFormat="1" ht="33" customHeight="1">
      <c r="A479" s="604"/>
      <c r="B479" s="399">
        <v>46219</v>
      </c>
      <c r="C479" s="4" t="s">
        <v>1255</v>
      </c>
      <c r="D479" s="4" t="s">
        <v>14</v>
      </c>
      <c r="E479" s="847" t="s">
        <v>107</v>
      </c>
      <c r="F479" s="847" t="s">
        <v>2959</v>
      </c>
      <c r="G479" s="16" t="s">
        <v>1172</v>
      </c>
      <c r="H479" s="850" t="s">
        <v>6583</v>
      </c>
      <c r="I479" s="847" t="s">
        <v>6558</v>
      </c>
      <c r="J479" s="847" t="s">
        <v>6559</v>
      </c>
      <c r="K479" s="125" t="s">
        <v>911</v>
      </c>
      <c r="L479" s="16" t="s">
        <v>33</v>
      </c>
      <c r="M479" s="8">
        <v>3</v>
      </c>
      <c r="N479" s="849"/>
      <c r="O479" s="437" t="s">
        <v>4393</v>
      </c>
      <c r="P479" s="847"/>
      <c r="Q479" s="474"/>
    </row>
    <row r="480" spans="1:17" s="17" customFormat="1" ht="33" customHeight="1">
      <c r="A480" s="604"/>
      <c r="B480" s="399">
        <v>46219</v>
      </c>
      <c r="C480" s="4" t="s">
        <v>21</v>
      </c>
      <c r="D480" s="4" t="s">
        <v>6549</v>
      </c>
      <c r="E480" s="847" t="s">
        <v>3335</v>
      </c>
      <c r="F480" s="847" t="s">
        <v>6570</v>
      </c>
      <c r="G480" s="16" t="s">
        <v>6550</v>
      </c>
      <c r="H480" s="850" t="s">
        <v>1279</v>
      </c>
      <c r="I480" s="847" t="s">
        <v>1690</v>
      </c>
      <c r="J480" s="847" t="s">
        <v>6577</v>
      </c>
      <c r="K480" s="125" t="s">
        <v>6551</v>
      </c>
      <c r="L480" s="16" t="s">
        <v>6578</v>
      </c>
      <c r="M480" s="8">
        <v>4</v>
      </c>
      <c r="N480" s="849"/>
      <c r="O480" s="437" t="s">
        <v>6579</v>
      </c>
      <c r="P480" s="847"/>
      <c r="Q480" s="474"/>
    </row>
    <row r="481" spans="1:17" s="17" customFormat="1" ht="33" customHeight="1">
      <c r="A481" s="604"/>
      <c r="B481" s="399">
        <v>46219</v>
      </c>
      <c r="C481" s="4" t="s">
        <v>21</v>
      </c>
      <c r="D481" s="4" t="s">
        <v>6549</v>
      </c>
      <c r="E481" s="847" t="s">
        <v>3335</v>
      </c>
      <c r="F481" s="847" t="s">
        <v>4939</v>
      </c>
      <c r="G481" s="16" t="s">
        <v>6552</v>
      </c>
      <c r="H481" s="850" t="s">
        <v>6553</v>
      </c>
      <c r="I481" s="847" t="s">
        <v>1690</v>
      </c>
      <c r="J481" s="847" t="s">
        <v>6577</v>
      </c>
      <c r="K481" s="125" t="s">
        <v>6551</v>
      </c>
      <c r="L481" s="16" t="s">
        <v>6578</v>
      </c>
      <c r="M481" s="8">
        <v>4</v>
      </c>
      <c r="N481" s="849"/>
      <c r="O481" s="437" t="s">
        <v>6579</v>
      </c>
      <c r="P481" s="847"/>
      <c r="Q481" s="474"/>
    </row>
    <row r="482" spans="1:17" s="17" customFormat="1" ht="33" customHeight="1">
      <c r="A482" s="604"/>
      <c r="B482" s="399">
        <v>46219</v>
      </c>
      <c r="C482" s="4" t="s">
        <v>6275</v>
      </c>
      <c r="D482" s="4" t="s">
        <v>14</v>
      </c>
      <c r="E482" s="768" t="s">
        <v>6276</v>
      </c>
      <c r="F482" s="768" t="s">
        <v>6278</v>
      </c>
      <c r="G482" s="16" t="s">
        <v>6277</v>
      </c>
      <c r="H482" s="770" t="s">
        <v>6279</v>
      </c>
      <c r="I482" s="768" t="s">
        <v>6264</v>
      </c>
      <c r="J482" s="770"/>
      <c r="K482" s="125" t="s">
        <v>911</v>
      </c>
      <c r="L482" s="459">
        <v>9080</v>
      </c>
      <c r="M482" s="8">
        <v>1</v>
      </c>
      <c r="N482" s="769"/>
      <c r="O482" s="437"/>
      <c r="P482" s="768"/>
      <c r="Q482" s="474"/>
    </row>
    <row r="483" spans="1:17" s="17" customFormat="1" ht="33" customHeight="1">
      <c r="A483" s="604"/>
      <c r="B483" s="399">
        <v>46219</v>
      </c>
      <c r="C483" s="4" t="s">
        <v>21</v>
      </c>
      <c r="D483" s="4" t="s">
        <v>14</v>
      </c>
      <c r="E483" s="454" t="s">
        <v>107</v>
      </c>
      <c r="F483" s="454" t="s">
        <v>3386</v>
      </c>
      <c r="G483" s="459" t="s">
        <v>964</v>
      </c>
      <c r="H483" s="453" t="s">
        <v>984</v>
      </c>
      <c r="I483" s="454" t="s">
        <v>3661</v>
      </c>
      <c r="J483" s="847" t="s">
        <v>6581</v>
      </c>
      <c r="K483" s="125" t="s">
        <v>911</v>
      </c>
      <c r="L483" s="459">
        <v>9080</v>
      </c>
      <c r="M483" s="455">
        <v>3</v>
      </c>
      <c r="N483" s="849"/>
      <c r="O483" s="437" t="s">
        <v>6582</v>
      </c>
      <c r="P483" s="847"/>
      <c r="Q483" s="474"/>
    </row>
    <row r="484" spans="1:17" s="17" customFormat="1" ht="33" customHeight="1">
      <c r="A484" s="604"/>
      <c r="B484" s="399">
        <v>46220</v>
      </c>
      <c r="C484" s="4"/>
      <c r="D484" s="4"/>
      <c r="E484" s="821"/>
      <c r="F484" s="821"/>
      <c r="G484" s="16"/>
      <c r="H484" s="404" t="s">
        <v>6548</v>
      </c>
      <c r="I484" s="821"/>
      <c r="J484" s="821"/>
      <c r="K484" s="125"/>
      <c r="L484" s="16"/>
      <c r="M484" s="8"/>
      <c r="N484" s="595"/>
      <c r="O484" s="430"/>
      <c r="P484" s="821"/>
    </row>
    <row r="485" spans="1:17" s="17" customFormat="1" ht="33" customHeight="1">
      <c r="A485" s="605"/>
      <c r="B485" s="369">
        <v>46221</v>
      </c>
      <c r="C485" s="4"/>
      <c r="D485" s="4"/>
      <c r="E485" s="291"/>
      <c r="F485" s="594"/>
      <c r="G485" s="16"/>
      <c r="H485" s="598"/>
      <c r="I485" s="594"/>
      <c r="J485" s="594"/>
      <c r="K485" s="125"/>
      <c r="L485" s="16"/>
      <c r="M485" s="8"/>
      <c r="N485" s="594"/>
      <c r="O485" s="432"/>
      <c r="P485" s="759"/>
    </row>
    <row r="486" spans="1:17" s="17" customFormat="1" ht="33" customHeight="1">
      <c r="A486" s="322" t="s">
        <v>0</v>
      </c>
      <c r="B486" s="323" t="s">
        <v>1</v>
      </c>
      <c r="C486" s="322" t="s">
        <v>2</v>
      </c>
      <c r="D486" s="322" t="s">
        <v>3</v>
      </c>
      <c r="E486" s="322" t="s">
        <v>4</v>
      </c>
      <c r="F486" s="322" t="s">
        <v>5</v>
      </c>
      <c r="G486" s="322" t="s">
        <v>6</v>
      </c>
      <c r="H486" s="324" t="s">
        <v>7</v>
      </c>
      <c r="I486" s="322" t="s">
        <v>8</v>
      </c>
      <c r="J486" s="322" t="s">
        <v>9</v>
      </c>
      <c r="K486" s="325" t="s">
        <v>10</v>
      </c>
      <c r="L486" s="326" t="s">
        <v>11</v>
      </c>
      <c r="M486" s="322" t="s">
        <v>12</v>
      </c>
      <c r="N486" s="327" t="s">
        <v>13</v>
      </c>
      <c r="O486" s="427" t="s">
        <v>63</v>
      </c>
      <c r="P486" s="322" t="s">
        <v>123</v>
      </c>
    </row>
    <row r="487" spans="1:17" s="17" customFormat="1" ht="33" customHeight="1">
      <c r="A487" s="603" t="s">
        <v>5630</v>
      </c>
      <c r="B487" s="399">
        <v>46223</v>
      </c>
      <c r="C487" s="4" t="s">
        <v>21</v>
      </c>
      <c r="D487" s="4" t="s">
        <v>14</v>
      </c>
      <c r="E487" s="859" t="s">
        <v>107</v>
      </c>
      <c r="F487" s="859" t="s">
        <v>3386</v>
      </c>
      <c r="G487" s="16" t="s">
        <v>23</v>
      </c>
      <c r="H487" s="864" t="s">
        <v>6615</v>
      </c>
      <c r="I487" s="864" t="s">
        <v>6616</v>
      </c>
      <c r="J487" s="859"/>
      <c r="K487" s="125" t="s">
        <v>15</v>
      </c>
      <c r="L487" s="16">
        <v>9080</v>
      </c>
      <c r="M487" s="8">
        <v>4</v>
      </c>
      <c r="N487" s="859"/>
      <c r="O487" s="431"/>
      <c r="P487" s="759" t="s">
        <v>6293</v>
      </c>
    </row>
    <row r="488" spans="1:17" s="17" customFormat="1" ht="33" customHeight="1">
      <c r="A488" s="604"/>
      <c r="B488" s="399">
        <v>46223</v>
      </c>
      <c r="C488" s="3" t="s">
        <v>21</v>
      </c>
      <c r="D488" s="3" t="s">
        <v>883</v>
      </c>
      <c r="E488" s="453" t="s">
        <v>6571</v>
      </c>
      <c r="F488" s="454">
        <v>8262</v>
      </c>
      <c r="G488" s="459" t="s">
        <v>1225</v>
      </c>
      <c r="H488" s="850" t="s">
        <v>6650</v>
      </c>
      <c r="I488" s="454" t="s">
        <v>6572</v>
      </c>
      <c r="J488" s="453"/>
      <c r="K488" s="136" t="s">
        <v>6556</v>
      </c>
      <c r="L488" s="459" t="s">
        <v>33</v>
      </c>
      <c r="M488" s="455">
        <v>2</v>
      </c>
      <c r="N488" s="847"/>
      <c r="O488" s="429" t="s">
        <v>6593</v>
      </c>
      <c r="P488" s="847"/>
    </row>
    <row r="489" spans="1:17" s="17" customFormat="1" ht="40.5">
      <c r="A489" s="604"/>
      <c r="B489" s="399">
        <v>46224</v>
      </c>
      <c r="C489" s="3" t="s">
        <v>21</v>
      </c>
      <c r="D489" s="3" t="s">
        <v>883</v>
      </c>
      <c r="E489" s="453" t="s">
        <v>6527</v>
      </c>
      <c r="F489" s="454" t="s">
        <v>2653</v>
      </c>
      <c r="G489" s="459" t="s">
        <v>263</v>
      </c>
      <c r="H489" s="850" t="s">
        <v>6590</v>
      </c>
      <c r="I489" s="454" t="s">
        <v>6572</v>
      </c>
      <c r="J489" s="453"/>
      <c r="K489" s="136" t="s">
        <v>6556</v>
      </c>
      <c r="L489" s="459" t="s">
        <v>33</v>
      </c>
      <c r="M489" s="455">
        <v>2</v>
      </c>
      <c r="N489" s="847"/>
      <c r="O489" s="431"/>
      <c r="P489" s="847"/>
    </row>
    <row r="490" spans="1:17" s="17" customFormat="1" ht="33" customHeight="1">
      <c r="A490" s="604"/>
      <c r="B490" s="1172">
        <v>46224</v>
      </c>
      <c r="C490" s="1173" t="s">
        <v>21</v>
      </c>
      <c r="D490" s="1173" t="s">
        <v>6483</v>
      </c>
      <c r="E490" s="1174" t="s">
        <v>6484</v>
      </c>
      <c r="F490" s="1175" t="s">
        <v>6485</v>
      </c>
      <c r="G490" s="1176" t="s">
        <v>6486</v>
      </c>
      <c r="H490" s="1174" t="s">
        <v>6652</v>
      </c>
      <c r="I490" s="1175" t="s">
        <v>6620</v>
      </c>
      <c r="J490" s="1175" t="s">
        <v>686</v>
      </c>
      <c r="K490" s="1177" t="s">
        <v>6573</v>
      </c>
      <c r="L490" s="1176" t="s">
        <v>3304</v>
      </c>
      <c r="M490" s="1178">
        <v>3</v>
      </c>
      <c r="N490" s="1175"/>
      <c r="O490" s="1179"/>
      <c r="P490" s="805"/>
    </row>
    <row r="491" spans="1:17" s="17" customFormat="1" ht="33" customHeight="1">
      <c r="A491" s="604"/>
      <c r="B491" s="1172">
        <v>46224</v>
      </c>
      <c r="C491" s="1173" t="s">
        <v>1475</v>
      </c>
      <c r="D491" s="1173" t="s">
        <v>31</v>
      </c>
      <c r="E491" s="1174" t="s">
        <v>6095</v>
      </c>
      <c r="F491" s="1175" t="s">
        <v>3336</v>
      </c>
      <c r="G491" s="1176" t="s">
        <v>23</v>
      </c>
      <c r="H491" s="1174" t="s">
        <v>6482</v>
      </c>
      <c r="I491" s="1175" t="s">
        <v>737</v>
      </c>
      <c r="J491" s="1174" t="s">
        <v>41</v>
      </c>
      <c r="K491" s="1177" t="s">
        <v>15</v>
      </c>
      <c r="L491" s="1176" t="s">
        <v>4550</v>
      </c>
      <c r="M491" s="1178">
        <v>2</v>
      </c>
      <c r="N491" s="1175"/>
      <c r="O491" s="1180"/>
      <c r="P491" s="853"/>
    </row>
    <row r="492" spans="1:17" s="17" customFormat="1" ht="33" customHeight="1">
      <c r="A492" s="604"/>
      <c r="B492" s="399">
        <v>46224</v>
      </c>
      <c r="C492" s="4" t="s">
        <v>21</v>
      </c>
      <c r="D492" s="4" t="s">
        <v>14</v>
      </c>
      <c r="E492" s="859" t="s">
        <v>1893</v>
      </c>
      <c r="F492" s="859" t="s">
        <v>4939</v>
      </c>
      <c r="G492" s="16" t="s">
        <v>34</v>
      </c>
      <c r="H492" s="864" t="s">
        <v>1279</v>
      </c>
      <c r="I492" s="859"/>
      <c r="J492" s="859" t="s">
        <v>641</v>
      </c>
      <c r="K492" s="125" t="s">
        <v>15</v>
      </c>
      <c r="L492" s="16" t="s">
        <v>4550</v>
      </c>
      <c r="M492" s="8">
        <v>2</v>
      </c>
      <c r="N492" s="859"/>
      <c r="O492" s="865"/>
      <c r="P492" s="859"/>
    </row>
    <row r="493" spans="1:17" s="17" customFormat="1" ht="33" customHeight="1">
      <c r="A493" s="604"/>
      <c r="B493" s="399">
        <v>46225</v>
      </c>
      <c r="C493" s="4" t="s">
        <v>232</v>
      </c>
      <c r="D493" s="4" t="s">
        <v>17</v>
      </c>
      <c r="E493" s="858" t="s">
        <v>6095</v>
      </c>
      <c r="F493" s="853" t="s">
        <v>2713</v>
      </c>
      <c r="G493" s="16" t="s">
        <v>23</v>
      </c>
      <c r="H493" s="858" t="s">
        <v>6633</v>
      </c>
      <c r="I493" s="454" t="s">
        <v>737</v>
      </c>
      <c r="J493" s="453" t="s">
        <v>41</v>
      </c>
      <c r="K493" s="136" t="s">
        <v>15</v>
      </c>
      <c r="L493" s="459" t="s">
        <v>4550</v>
      </c>
      <c r="M493" s="455">
        <v>2</v>
      </c>
      <c r="N493" s="853"/>
      <c r="O493" s="865"/>
      <c r="P493" s="853"/>
    </row>
    <row r="494" spans="1:17" s="17" customFormat="1" ht="33" customHeight="1">
      <c r="A494" s="604"/>
      <c r="B494" s="399">
        <v>46225</v>
      </c>
      <c r="C494" s="4" t="s">
        <v>1255</v>
      </c>
      <c r="D494" s="4" t="s">
        <v>797</v>
      </c>
      <c r="E494" s="847" t="s">
        <v>5728</v>
      </c>
      <c r="F494" s="847" t="s">
        <v>5488</v>
      </c>
      <c r="G494" s="16" t="s">
        <v>5428</v>
      </c>
      <c r="H494" s="850" t="s">
        <v>6592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805"/>
      <c r="O494" s="429"/>
      <c r="P494" s="759"/>
    </row>
    <row r="495" spans="1:17" s="17" customFormat="1" ht="33" customHeight="1">
      <c r="A495" s="604"/>
      <c r="B495" s="399">
        <v>46225</v>
      </c>
      <c r="C495" s="3" t="s">
        <v>64</v>
      </c>
      <c r="D495" s="3" t="s">
        <v>14</v>
      </c>
      <c r="E495" s="453" t="s">
        <v>6546</v>
      </c>
      <c r="F495" s="454" t="s">
        <v>2978</v>
      </c>
      <c r="G495" s="459" t="s">
        <v>843</v>
      </c>
      <c r="H495" s="858" t="s">
        <v>6631</v>
      </c>
      <c r="I495" s="454" t="s">
        <v>202</v>
      </c>
      <c r="J495" s="453" t="s">
        <v>5284</v>
      </c>
      <c r="K495" s="136" t="s">
        <v>15</v>
      </c>
      <c r="L495" s="459" t="s">
        <v>6632</v>
      </c>
      <c r="M495" s="8">
        <v>4</v>
      </c>
      <c r="N495" s="847"/>
      <c r="O495" s="431" t="s">
        <v>6651</v>
      </c>
      <c r="P495" s="847"/>
    </row>
    <row r="496" spans="1:17" s="17" customFormat="1" ht="33" customHeight="1">
      <c r="A496" s="604"/>
      <c r="B496" s="399">
        <v>46225</v>
      </c>
      <c r="C496" s="3" t="s">
        <v>21</v>
      </c>
      <c r="D496" s="3" t="s">
        <v>17</v>
      </c>
      <c r="E496" s="454" t="s">
        <v>78</v>
      </c>
      <c r="F496" s="454">
        <v>7060</v>
      </c>
      <c r="G496" s="459" t="s">
        <v>36</v>
      </c>
      <c r="H496" s="858" t="s">
        <v>6600</v>
      </c>
      <c r="I496" s="454" t="s">
        <v>6673</v>
      </c>
      <c r="J496" s="453"/>
      <c r="K496" s="136" t="s">
        <v>15</v>
      </c>
      <c r="L496" s="459">
        <v>9080</v>
      </c>
      <c r="M496" s="8">
        <v>1</v>
      </c>
      <c r="N496" s="853"/>
      <c r="O496" s="431"/>
      <c r="P496" s="853"/>
    </row>
    <row r="497" spans="1:16" s="17" customFormat="1" ht="33" customHeight="1">
      <c r="A497" s="604"/>
      <c r="B497" s="399">
        <v>46225</v>
      </c>
      <c r="C497" s="3" t="s">
        <v>64</v>
      </c>
      <c r="D497" s="3" t="s">
        <v>6644</v>
      </c>
      <c r="E497" s="454" t="s">
        <v>6604</v>
      </c>
      <c r="F497" s="454" t="s">
        <v>6645</v>
      </c>
      <c r="G497" s="459" t="s">
        <v>6646</v>
      </c>
      <c r="H497" s="858" t="s">
        <v>6647</v>
      </c>
      <c r="I497" s="454" t="s">
        <v>3661</v>
      </c>
      <c r="J497" s="453" t="s">
        <v>6648</v>
      </c>
      <c r="K497" s="136" t="s">
        <v>6649</v>
      </c>
      <c r="L497" s="459" t="s">
        <v>6612</v>
      </c>
      <c r="M497" s="8">
        <v>2</v>
      </c>
      <c r="N497" s="853"/>
      <c r="O497" s="431"/>
      <c r="P497" s="853"/>
    </row>
    <row r="498" spans="1:16" s="17" customFormat="1" ht="33" customHeight="1">
      <c r="A498" s="604"/>
      <c r="B498" s="399">
        <v>46226</v>
      </c>
      <c r="C498" s="4" t="s">
        <v>64</v>
      </c>
      <c r="D498" s="4" t="s">
        <v>30</v>
      </c>
      <c r="E498" s="853" t="s">
        <v>5728</v>
      </c>
      <c r="F498" s="853" t="s">
        <v>5488</v>
      </c>
      <c r="G498" s="16" t="s">
        <v>5428</v>
      </c>
      <c r="H498" s="858" t="s">
        <v>6653</v>
      </c>
      <c r="I498" s="454" t="s">
        <v>737</v>
      </c>
      <c r="J498" s="453" t="s">
        <v>41</v>
      </c>
      <c r="K498" s="136" t="s">
        <v>15</v>
      </c>
      <c r="L498" s="459" t="s">
        <v>4550</v>
      </c>
      <c r="M498" s="455">
        <v>2</v>
      </c>
      <c r="N498" s="853"/>
      <c r="O498" s="431"/>
      <c r="P498" s="853"/>
    </row>
    <row r="499" spans="1:16" s="17" customFormat="1" ht="33" customHeight="1">
      <c r="A499" s="604"/>
      <c r="B499" s="399">
        <v>46226</v>
      </c>
      <c r="C499" s="4" t="s">
        <v>21</v>
      </c>
      <c r="D499" s="4" t="s">
        <v>30</v>
      </c>
      <c r="E499" s="853" t="s">
        <v>6546</v>
      </c>
      <c r="F499" s="853" t="s">
        <v>2978</v>
      </c>
      <c r="G499" s="16" t="s">
        <v>23</v>
      </c>
      <c r="H499" s="858" t="s">
        <v>146</v>
      </c>
      <c r="I499" s="853" t="s">
        <v>6627</v>
      </c>
      <c r="J499" s="853" t="s">
        <v>6628</v>
      </c>
      <c r="K499" s="125" t="s">
        <v>15</v>
      </c>
      <c r="L499" s="16">
        <v>9080</v>
      </c>
      <c r="M499" s="8">
        <v>2</v>
      </c>
      <c r="N499" s="847"/>
      <c r="O499" s="429" t="s">
        <v>6629</v>
      </c>
      <c r="P499" s="847"/>
    </row>
    <row r="500" spans="1:16" s="17" customFormat="1" ht="33" customHeight="1">
      <c r="A500" s="604"/>
      <c r="B500" s="399">
        <v>46226</v>
      </c>
      <c r="C500" s="3" t="s">
        <v>64</v>
      </c>
      <c r="D500" s="3" t="s">
        <v>14</v>
      </c>
      <c r="E500" s="453" t="s">
        <v>6546</v>
      </c>
      <c r="F500" s="454" t="s">
        <v>2978</v>
      </c>
      <c r="G500" s="459" t="s">
        <v>843</v>
      </c>
      <c r="H500" s="858" t="s">
        <v>146</v>
      </c>
      <c r="I500" s="853" t="s">
        <v>6627</v>
      </c>
      <c r="J500" s="853" t="s">
        <v>6628</v>
      </c>
      <c r="K500" s="125" t="s">
        <v>15</v>
      </c>
      <c r="L500" s="16">
        <v>9080</v>
      </c>
      <c r="M500" s="8">
        <v>2</v>
      </c>
      <c r="N500" s="853"/>
      <c r="O500" s="429" t="s">
        <v>6629</v>
      </c>
      <c r="P500" s="853"/>
    </row>
    <row r="501" spans="1:16" s="17" customFormat="1" ht="33" customHeight="1">
      <c r="A501" s="604"/>
      <c r="B501" s="399">
        <v>46226</v>
      </c>
      <c r="C501" s="3" t="s">
        <v>64</v>
      </c>
      <c r="D501" s="3" t="s">
        <v>14</v>
      </c>
      <c r="E501" s="453" t="s">
        <v>107</v>
      </c>
      <c r="F501" s="454" t="s">
        <v>2959</v>
      </c>
      <c r="G501" s="459" t="s">
        <v>6596</v>
      </c>
      <c r="H501" s="858" t="s">
        <v>6597</v>
      </c>
      <c r="I501" s="853" t="s">
        <v>6598</v>
      </c>
      <c r="J501" s="853" t="s">
        <v>6618</v>
      </c>
      <c r="K501" s="125" t="s">
        <v>15</v>
      </c>
      <c r="L501" s="16" t="s">
        <v>33</v>
      </c>
      <c r="M501" s="8">
        <v>3</v>
      </c>
      <c r="N501" s="853"/>
      <c r="O501" s="429" t="s">
        <v>6619</v>
      </c>
      <c r="P501" s="853"/>
    </row>
    <row r="502" spans="1:16" s="17" customFormat="1" ht="33" customHeight="1">
      <c r="A502" s="604"/>
      <c r="B502" s="399">
        <v>46226</v>
      </c>
      <c r="C502" s="4" t="s">
        <v>21</v>
      </c>
      <c r="D502" s="4" t="s">
        <v>797</v>
      </c>
      <c r="E502" s="847" t="s">
        <v>6114</v>
      </c>
      <c r="F502" s="847" t="s">
        <v>2557</v>
      </c>
      <c r="G502" s="16" t="s">
        <v>1514</v>
      </c>
      <c r="H502" s="850" t="s">
        <v>6511</v>
      </c>
      <c r="I502" s="847" t="s">
        <v>6585</v>
      </c>
      <c r="J502" s="847" t="s">
        <v>6586</v>
      </c>
      <c r="K502" s="125" t="s">
        <v>42</v>
      </c>
      <c r="L502" s="16" t="s">
        <v>4550</v>
      </c>
      <c r="M502" s="8">
        <v>3</v>
      </c>
      <c r="N502" s="849"/>
      <c r="O502" s="430"/>
      <c r="P502" s="847"/>
    </row>
    <row r="503" spans="1:16" s="17" customFormat="1" ht="33" customHeight="1">
      <c r="A503" s="604"/>
      <c r="B503" s="399">
        <v>46227</v>
      </c>
      <c r="C503" s="3" t="s">
        <v>64</v>
      </c>
      <c r="D503" s="3" t="s">
        <v>14</v>
      </c>
      <c r="E503" s="453" t="s">
        <v>107</v>
      </c>
      <c r="F503" s="454" t="s">
        <v>2959</v>
      </c>
      <c r="G503" s="459" t="s">
        <v>6596</v>
      </c>
      <c r="H503" s="858" t="s">
        <v>6597</v>
      </c>
      <c r="I503" s="853" t="s">
        <v>6598</v>
      </c>
      <c r="J503" s="853" t="s">
        <v>6618</v>
      </c>
      <c r="K503" s="125" t="s">
        <v>15</v>
      </c>
      <c r="L503" s="16" t="s">
        <v>33</v>
      </c>
      <c r="M503" s="8">
        <v>3</v>
      </c>
      <c r="N503" s="853"/>
      <c r="O503" s="429" t="s">
        <v>6619</v>
      </c>
      <c r="P503" s="853"/>
    </row>
    <row r="504" spans="1:16" s="17" customFormat="1" ht="33" customHeight="1">
      <c r="A504" s="604"/>
      <c r="B504" s="869">
        <v>46227</v>
      </c>
      <c r="C504" s="272" t="s">
        <v>21</v>
      </c>
      <c r="D504" s="272" t="s">
        <v>30</v>
      </c>
      <c r="E504" s="871" t="s">
        <v>6546</v>
      </c>
      <c r="F504" s="871" t="s">
        <v>2978</v>
      </c>
      <c r="G504" s="872" t="s">
        <v>23</v>
      </c>
      <c r="H504" s="870" t="s">
        <v>6594</v>
      </c>
      <c r="I504" s="871" t="s">
        <v>6627</v>
      </c>
      <c r="J504" s="871" t="s">
        <v>6628</v>
      </c>
      <c r="K504" s="873" t="s">
        <v>15</v>
      </c>
      <c r="L504" s="872">
        <v>9080</v>
      </c>
      <c r="M504" s="874">
        <v>2</v>
      </c>
      <c r="N504" s="875"/>
      <c r="O504" s="876" t="s">
        <v>6595</v>
      </c>
      <c r="P504" s="847"/>
    </row>
    <row r="505" spans="1:16" s="17" customFormat="1" ht="33" customHeight="1">
      <c r="A505" s="604"/>
      <c r="B505" s="869">
        <v>46227</v>
      </c>
      <c r="C505" s="272" t="s">
        <v>64</v>
      </c>
      <c r="D505" s="272" t="s">
        <v>14</v>
      </c>
      <c r="E505" s="870" t="s">
        <v>6546</v>
      </c>
      <c r="F505" s="871" t="s">
        <v>2978</v>
      </c>
      <c r="G505" s="872" t="s">
        <v>843</v>
      </c>
      <c r="H505" s="870" t="s">
        <v>6594</v>
      </c>
      <c r="I505" s="871" t="s">
        <v>6627</v>
      </c>
      <c r="J505" s="871" t="s">
        <v>6628</v>
      </c>
      <c r="K505" s="873" t="s">
        <v>15</v>
      </c>
      <c r="L505" s="872">
        <v>9080</v>
      </c>
      <c r="M505" s="874">
        <v>2</v>
      </c>
      <c r="N505" s="875"/>
      <c r="O505" s="876" t="s">
        <v>6595</v>
      </c>
      <c r="P505" s="853"/>
    </row>
    <row r="506" spans="1:16" s="17" customFormat="1" ht="33" customHeight="1">
      <c r="A506" s="604"/>
      <c r="B506" s="399">
        <v>46227</v>
      </c>
      <c r="C506" s="4" t="s">
        <v>21</v>
      </c>
      <c r="D506" s="4" t="s">
        <v>797</v>
      </c>
      <c r="E506" s="847" t="s">
        <v>6114</v>
      </c>
      <c r="F506" s="847" t="s">
        <v>2557</v>
      </c>
      <c r="G506" s="16" t="s">
        <v>1514</v>
      </c>
      <c r="H506" s="827" t="s">
        <v>6542</v>
      </c>
      <c r="I506" s="847" t="s">
        <v>6585</v>
      </c>
      <c r="J506" s="847" t="s">
        <v>6586</v>
      </c>
      <c r="K506" s="125" t="s">
        <v>6587</v>
      </c>
      <c r="L506" s="16" t="s">
        <v>4550</v>
      </c>
      <c r="M506" s="8">
        <v>3</v>
      </c>
      <c r="N506" s="595"/>
      <c r="O506" s="430"/>
      <c r="P506" s="759"/>
    </row>
    <row r="507" spans="1:16" s="17" customFormat="1" ht="33" customHeight="1">
      <c r="A507" s="867"/>
      <c r="B507" s="369">
        <v>46228</v>
      </c>
      <c r="C507" s="3" t="s">
        <v>64</v>
      </c>
      <c r="D507" s="3" t="s">
        <v>14</v>
      </c>
      <c r="E507" s="453" t="s">
        <v>107</v>
      </c>
      <c r="F507" s="454" t="s">
        <v>2959</v>
      </c>
      <c r="G507" s="459" t="s">
        <v>6596</v>
      </c>
      <c r="H507" s="858" t="s">
        <v>6597</v>
      </c>
      <c r="I507" s="853" t="s">
        <v>6598</v>
      </c>
      <c r="J507" s="853" t="s">
        <v>6618</v>
      </c>
      <c r="K507" s="125" t="s">
        <v>15</v>
      </c>
      <c r="L507" s="16" t="s">
        <v>5263</v>
      </c>
      <c r="M507" s="8">
        <v>2</v>
      </c>
      <c r="N507" s="853"/>
      <c r="O507" s="429" t="s">
        <v>6619</v>
      </c>
      <c r="P507" s="853"/>
    </row>
    <row r="508" spans="1:16" s="17" customFormat="1" ht="33" customHeight="1">
      <c r="A508" s="867"/>
      <c r="B508" s="369">
        <v>46228</v>
      </c>
      <c r="C508" s="4" t="s">
        <v>64</v>
      </c>
      <c r="D508" s="4" t="s">
        <v>30</v>
      </c>
      <c r="E508" s="853" t="s">
        <v>6114</v>
      </c>
      <c r="F508" s="853" t="s">
        <v>6506</v>
      </c>
      <c r="G508" s="16" t="s">
        <v>200</v>
      </c>
      <c r="H508" s="858" t="s">
        <v>6614</v>
      </c>
      <c r="I508" s="853" t="s">
        <v>6585</v>
      </c>
      <c r="J508" s="853" t="s">
        <v>4463</v>
      </c>
      <c r="K508" s="125" t="s">
        <v>42</v>
      </c>
      <c r="L508" s="16" t="s">
        <v>4550</v>
      </c>
      <c r="M508" s="8">
        <v>3</v>
      </c>
      <c r="N508" s="594"/>
      <c r="O508" s="432"/>
      <c r="P508" s="759"/>
    </row>
    <row r="509" spans="1:16" s="17" customFormat="1" ht="33" customHeight="1">
      <c r="A509" s="605"/>
      <c r="B509" s="399">
        <v>46229</v>
      </c>
      <c r="C509" s="4" t="s">
        <v>64</v>
      </c>
      <c r="D509" s="4" t="s">
        <v>30</v>
      </c>
      <c r="E509" s="853" t="s">
        <v>6114</v>
      </c>
      <c r="F509" s="853" t="s">
        <v>6506</v>
      </c>
      <c r="G509" s="16" t="s">
        <v>200</v>
      </c>
      <c r="H509" s="858" t="s">
        <v>6614</v>
      </c>
      <c r="I509" s="853" t="s">
        <v>6585</v>
      </c>
      <c r="J509" s="853" t="s">
        <v>4463</v>
      </c>
      <c r="K509" s="125" t="s">
        <v>42</v>
      </c>
      <c r="L509" s="16" t="s">
        <v>4550</v>
      </c>
      <c r="M509" s="8">
        <v>3</v>
      </c>
      <c r="N509" s="866"/>
      <c r="O509" s="432"/>
      <c r="P509" s="853"/>
    </row>
    <row r="510" spans="1:16" s="17" customFormat="1" ht="33" customHeight="1">
      <c r="A510" s="881" t="s">
        <v>6617</v>
      </c>
      <c r="B510" s="869" t="s">
        <v>6630</v>
      </c>
      <c r="C510" s="272" t="s">
        <v>138</v>
      </c>
      <c r="D510" s="272" t="s">
        <v>6603</v>
      </c>
      <c r="E510" s="871" t="s">
        <v>6621</v>
      </c>
      <c r="F510" s="871" t="s">
        <v>6622</v>
      </c>
      <c r="G510" s="872" t="s">
        <v>6623</v>
      </c>
      <c r="H510" s="870" t="s">
        <v>6624</v>
      </c>
      <c r="I510" s="871" t="s">
        <v>6625</v>
      </c>
      <c r="J510" s="871" t="s">
        <v>6626</v>
      </c>
      <c r="K510" s="873" t="s">
        <v>15</v>
      </c>
      <c r="L510" s="872" t="s">
        <v>6635</v>
      </c>
      <c r="M510" s="874">
        <v>2</v>
      </c>
      <c r="N510" s="877"/>
      <c r="O510" s="878" t="s">
        <v>6599</v>
      </c>
      <c r="P510" s="853"/>
    </row>
    <row r="511" spans="1:16" s="17" customFormat="1" ht="33" customHeight="1">
      <c r="A511" s="882"/>
      <c r="B511" s="869" t="s">
        <v>6630</v>
      </c>
      <c r="C511" s="272" t="s">
        <v>6602</v>
      </c>
      <c r="D511" s="272" t="s">
        <v>6603</v>
      </c>
      <c r="E511" s="870" t="s">
        <v>6604</v>
      </c>
      <c r="F511" s="871" t="s">
        <v>6605</v>
      </c>
      <c r="G511" s="872" t="s">
        <v>6606</v>
      </c>
      <c r="H511" s="870" t="s">
        <v>6607</v>
      </c>
      <c r="I511" s="871" t="s">
        <v>3661</v>
      </c>
      <c r="J511" s="871" t="s">
        <v>6634</v>
      </c>
      <c r="K511" s="873" t="s">
        <v>15</v>
      </c>
      <c r="L511" s="872" t="s">
        <v>6636</v>
      </c>
      <c r="M511" s="874">
        <v>3</v>
      </c>
      <c r="N511" s="877"/>
      <c r="O511" s="878" t="s">
        <v>6599</v>
      </c>
      <c r="P511" s="853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6" s="17" customFormat="1" ht="33" customHeight="1">
      <c r="A513" s="603" t="s">
        <v>5631</v>
      </c>
      <c r="B513" s="399">
        <v>46230</v>
      </c>
      <c r="C513" s="3" t="s">
        <v>64</v>
      </c>
      <c r="D513" s="3" t="s">
        <v>14</v>
      </c>
      <c r="E513" s="453" t="s">
        <v>107</v>
      </c>
      <c r="F513" s="454" t="s">
        <v>2959</v>
      </c>
      <c r="G513" s="459" t="s">
        <v>6596</v>
      </c>
      <c r="H513" s="858" t="s">
        <v>6597</v>
      </c>
      <c r="I513" s="853" t="s">
        <v>6598</v>
      </c>
      <c r="J513" s="853" t="s">
        <v>3298</v>
      </c>
      <c r="K513" s="125" t="s">
        <v>15</v>
      </c>
      <c r="L513" s="16" t="s">
        <v>6612</v>
      </c>
      <c r="M513" s="8">
        <v>2</v>
      </c>
      <c r="N513" s="594"/>
      <c r="O513" s="431"/>
      <c r="P513" s="759"/>
    </row>
    <row r="514" spans="1:16" s="17" customFormat="1" ht="33" customHeight="1">
      <c r="A514" s="604"/>
      <c r="B514" s="399">
        <v>46230</v>
      </c>
      <c r="C514" s="4" t="s">
        <v>6505</v>
      </c>
      <c r="D514" s="4" t="s">
        <v>797</v>
      </c>
      <c r="E514" s="821" t="s">
        <v>6114</v>
      </c>
      <c r="F514" s="821" t="s">
        <v>6506</v>
      </c>
      <c r="G514" s="16" t="s">
        <v>6507</v>
      </c>
      <c r="H514" s="827" t="s">
        <v>6508</v>
      </c>
      <c r="I514" s="847" t="s">
        <v>6585</v>
      </c>
      <c r="J514" s="847" t="s">
        <v>6586</v>
      </c>
      <c r="K514" s="125" t="s">
        <v>42</v>
      </c>
      <c r="L514" s="16" t="s">
        <v>4550</v>
      </c>
      <c r="M514" s="8">
        <v>3</v>
      </c>
      <c r="N514" s="821"/>
      <c r="O514" s="431"/>
      <c r="P514" s="821"/>
    </row>
    <row r="515" spans="1:16" s="17" customFormat="1" ht="33" customHeight="1">
      <c r="A515" s="604"/>
      <c r="B515" s="399">
        <v>46230</v>
      </c>
      <c r="C515" s="4" t="s">
        <v>21</v>
      </c>
      <c r="D515" s="4" t="s">
        <v>6545</v>
      </c>
      <c r="E515" s="847" t="s">
        <v>6546</v>
      </c>
      <c r="F515" s="847" t="s">
        <v>2978</v>
      </c>
      <c r="G515" s="16" t="s">
        <v>23</v>
      </c>
      <c r="H515" s="850" t="s">
        <v>984</v>
      </c>
      <c r="I515" s="847" t="s">
        <v>6584</v>
      </c>
      <c r="J515" s="847" t="s">
        <v>6591</v>
      </c>
      <c r="K515" s="125" t="s">
        <v>15</v>
      </c>
      <c r="L515" s="16">
        <v>9080</v>
      </c>
      <c r="M515" s="8">
        <v>1</v>
      </c>
      <c r="N515" s="847"/>
      <c r="O515" s="431"/>
      <c r="P515" s="847"/>
    </row>
    <row r="516" spans="1:16" s="17" customFormat="1" ht="33" customHeight="1">
      <c r="A516" s="604"/>
      <c r="B516" s="399">
        <v>46230</v>
      </c>
      <c r="C516" s="4" t="s">
        <v>21</v>
      </c>
      <c r="D516" s="4" t="s">
        <v>6545</v>
      </c>
      <c r="E516" s="847" t="s">
        <v>6546</v>
      </c>
      <c r="F516" s="847" t="s">
        <v>2978</v>
      </c>
      <c r="G516" s="16" t="s">
        <v>6576</v>
      </c>
      <c r="H516" s="850" t="s">
        <v>984</v>
      </c>
      <c r="I516" s="847" t="s">
        <v>6584</v>
      </c>
      <c r="J516" s="847" t="s">
        <v>6591</v>
      </c>
      <c r="K516" s="125" t="s">
        <v>15</v>
      </c>
      <c r="L516" s="16">
        <v>9080</v>
      </c>
      <c r="M516" s="8">
        <v>1</v>
      </c>
      <c r="N516" s="847"/>
      <c r="O516" s="431"/>
      <c r="P516" s="847"/>
    </row>
    <row r="517" spans="1:16" s="17" customFormat="1" ht="33" customHeight="1">
      <c r="A517" s="604"/>
      <c r="B517" s="399">
        <v>46231</v>
      </c>
      <c r="C517" s="4" t="s">
        <v>6505</v>
      </c>
      <c r="D517" s="4" t="s">
        <v>797</v>
      </c>
      <c r="E517" s="821" t="s">
        <v>6114</v>
      </c>
      <c r="F517" s="821" t="s">
        <v>6506</v>
      </c>
      <c r="G517" s="16" t="s">
        <v>6507</v>
      </c>
      <c r="H517" s="827" t="s">
        <v>6508</v>
      </c>
      <c r="I517" s="847" t="s">
        <v>6585</v>
      </c>
      <c r="J517" s="847" t="s">
        <v>6586</v>
      </c>
      <c r="K517" s="125" t="s">
        <v>42</v>
      </c>
      <c r="L517" s="16" t="s">
        <v>4550</v>
      </c>
      <c r="M517" s="8">
        <v>3</v>
      </c>
      <c r="N517" s="594"/>
      <c r="O517" s="431"/>
      <c r="P517" s="759"/>
    </row>
    <row r="518" spans="1:16" s="17" customFormat="1" ht="33" customHeight="1">
      <c r="A518" s="604"/>
      <c r="B518" s="399">
        <v>46231</v>
      </c>
      <c r="C518" s="4" t="s">
        <v>1255</v>
      </c>
      <c r="D518" s="4" t="s">
        <v>14</v>
      </c>
      <c r="E518" s="847" t="s">
        <v>107</v>
      </c>
      <c r="F518" s="847" t="s">
        <v>2959</v>
      </c>
      <c r="G518" s="16" t="s">
        <v>3421</v>
      </c>
      <c r="H518" s="850" t="s">
        <v>6608</v>
      </c>
      <c r="I518" s="847"/>
      <c r="J518" s="847" t="s">
        <v>6609</v>
      </c>
      <c r="K518" s="125" t="s">
        <v>6610</v>
      </c>
      <c r="L518" s="16" t="s">
        <v>5263</v>
      </c>
      <c r="M518" s="8">
        <v>2</v>
      </c>
      <c r="N518" s="847"/>
      <c r="O518" s="431"/>
      <c r="P518" s="847"/>
    </row>
    <row r="519" spans="1:16" s="17" customFormat="1" ht="33" customHeight="1">
      <c r="A519" s="604"/>
      <c r="B519" s="399">
        <v>46231</v>
      </c>
      <c r="C519" s="3" t="s">
        <v>64</v>
      </c>
      <c r="D519" s="3" t="s">
        <v>14</v>
      </c>
      <c r="E519" s="453" t="s">
        <v>107</v>
      </c>
      <c r="F519" s="454" t="s">
        <v>2959</v>
      </c>
      <c r="G519" s="459" t="s">
        <v>6596</v>
      </c>
      <c r="H519" s="858" t="s">
        <v>6597</v>
      </c>
      <c r="I519" s="853" t="s">
        <v>6598</v>
      </c>
      <c r="J519" s="853" t="s">
        <v>3298</v>
      </c>
      <c r="K519" s="125" t="s">
        <v>15</v>
      </c>
      <c r="L519" s="16" t="s">
        <v>33</v>
      </c>
      <c r="M519" s="8">
        <v>2</v>
      </c>
      <c r="N519" s="853"/>
      <c r="O519" s="431"/>
      <c r="P519" s="853"/>
    </row>
    <row r="520" spans="1:16" s="17" customFormat="1" ht="33" customHeight="1">
      <c r="A520" s="604"/>
      <c r="B520" s="399">
        <v>46231</v>
      </c>
      <c r="C520" s="4" t="s">
        <v>1255</v>
      </c>
      <c r="D520" s="4" t="s">
        <v>14</v>
      </c>
      <c r="E520" s="847" t="s">
        <v>107</v>
      </c>
      <c r="F520" s="847" t="s">
        <v>2959</v>
      </c>
      <c r="G520" s="16" t="s">
        <v>1172</v>
      </c>
      <c r="H520" s="850" t="s">
        <v>6611</v>
      </c>
      <c r="I520" s="821" t="s">
        <v>126</v>
      </c>
      <c r="J520" s="821" t="s">
        <v>2828</v>
      </c>
      <c r="K520" s="125" t="s">
        <v>15</v>
      </c>
      <c r="L520" s="16" t="s">
        <v>6601</v>
      </c>
      <c r="M520" s="8">
        <v>2</v>
      </c>
      <c r="N520" s="821"/>
      <c r="O520" s="431"/>
      <c r="P520" s="821"/>
    </row>
    <row r="521" spans="1:16" s="17" customFormat="1" ht="33" customHeight="1">
      <c r="A521" s="604"/>
      <c r="B521" s="399">
        <v>46232</v>
      </c>
      <c r="C521" s="4" t="s">
        <v>6505</v>
      </c>
      <c r="D521" s="4" t="s">
        <v>797</v>
      </c>
      <c r="E521" s="821" t="s">
        <v>6114</v>
      </c>
      <c r="F521" s="821" t="s">
        <v>6506</v>
      </c>
      <c r="G521" s="16" t="s">
        <v>6507</v>
      </c>
      <c r="H521" s="827" t="s">
        <v>6509</v>
      </c>
      <c r="I521" s="847" t="s">
        <v>6585</v>
      </c>
      <c r="J521" s="847" t="s">
        <v>6586</v>
      </c>
      <c r="K521" s="125" t="s">
        <v>6588</v>
      </c>
      <c r="L521" s="16" t="s">
        <v>4550</v>
      </c>
      <c r="M521" s="8">
        <v>3</v>
      </c>
      <c r="N521" s="595"/>
      <c r="O521" s="430"/>
      <c r="P521" s="759"/>
    </row>
    <row r="522" spans="1:16" s="17" customFormat="1" ht="33" customHeight="1">
      <c r="A522" s="604"/>
      <c r="B522" s="399">
        <v>46232</v>
      </c>
      <c r="C522" s="4" t="s">
        <v>64</v>
      </c>
      <c r="D522" s="4" t="s">
        <v>14</v>
      </c>
      <c r="E522" s="853" t="s">
        <v>107</v>
      </c>
      <c r="F522" s="853" t="s">
        <v>2959</v>
      </c>
      <c r="G522" s="16" t="s">
        <v>1172</v>
      </c>
      <c r="H522" s="858" t="s">
        <v>6611</v>
      </c>
      <c r="I522" s="853" t="s">
        <v>126</v>
      </c>
      <c r="J522" s="853" t="s">
        <v>2828</v>
      </c>
      <c r="K522" s="125" t="s">
        <v>15</v>
      </c>
      <c r="L522" s="16" t="s">
        <v>6601</v>
      </c>
      <c r="M522" s="8">
        <v>2</v>
      </c>
      <c r="N522" s="826"/>
      <c r="O522" s="430"/>
      <c r="P522" s="821"/>
    </row>
    <row r="523" spans="1:16" s="17" customFormat="1" ht="33" customHeight="1">
      <c r="A523" s="604"/>
      <c r="B523" s="399">
        <v>46232</v>
      </c>
      <c r="C523" s="4" t="s">
        <v>6637</v>
      </c>
      <c r="D523" s="4" t="s">
        <v>31</v>
      </c>
      <c r="E523" s="853" t="s">
        <v>6638</v>
      </c>
      <c r="F523" s="853" t="s">
        <v>6639</v>
      </c>
      <c r="G523" s="16" t="s">
        <v>6640</v>
      </c>
      <c r="H523" s="858" t="s">
        <v>6641</v>
      </c>
      <c r="I523" s="853" t="s">
        <v>6642</v>
      </c>
      <c r="J523" s="853" t="s">
        <v>6635</v>
      </c>
      <c r="K523" s="125" t="s">
        <v>6643</v>
      </c>
      <c r="L523" s="16"/>
      <c r="M523" s="8">
        <v>2</v>
      </c>
      <c r="N523" s="857"/>
      <c r="O523" s="430"/>
      <c r="P523" s="853"/>
    </row>
    <row r="524" spans="1:16" s="17" customFormat="1" ht="33" customHeight="1">
      <c r="A524" s="604"/>
      <c r="B524" s="399">
        <v>46233</v>
      </c>
      <c r="C524" s="4" t="s">
        <v>6505</v>
      </c>
      <c r="D524" s="4" t="s">
        <v>797</v>
      </c>
      <c r="E524" s="821" t="s">
        <v>6114</v>
      </c>
      <c r="F524" s="821" t="s">
        <v>6506</v>
      </c>
      <c r="G524" s="16" t="s">
        <v>6507</v>
      </c>
      <c r="H524" s="827" t="s">
        <v>6509</v>
      </c>
      <c r="I524" s="847" t="s">
        <v>6585</v>
      </c>
      <c r="J524" s="847" t="s">
        <v>6586</v>
      </c>
      <c r="K524" s="125" t="s">
        <v>6589</v>
      </c>
      <c r="L524" s="16" t="s">
        <v>4550</v>
      </c>
      <c r="M524" s="8">
        <v>3</v>
      </c>
      <c r="N524" s="595"/>
      <c r="O524" s="430"/>
      <c r="P524" s="759"/>
    </row>
    <row r="525" spans="1:16" s="17" customFormat="1" ht="33" customHeight="1">
      <c r="A525" s="604"/>
      <c r="B525" s="399">
        <v>46233</v>
      </c>
      <c r="C525" s="3"/>
      <c r="D525" s="3"/>
      <c r="E525" s="454"/>
      <c r="F525" s="454"/>
      <c r="G525" s="459"/>
      <c r="H525" s="453"/>
      <c r="I525" s="821"/>
      <c r="J525" s="821"/>
      <c r="K525" s="125"/>
      <c r="L525" s="16"/>
      <c r="M525" s="8"/>
      <c r="N525" s="826"/>
      <c r="O525" s="430"/>
      <c r="P525" s="821"/>
    </row>
    <row r="526" spans="1:16" s="17" customFormat="1" ht="33" customHeight="1">
      <c r="A526" s="604"/>
      <c r="B526" s="399">
        <v>46234</v>
      </c>
      <c r="C526" s="4" t="s">
        <v>6505</v>
      </c>
      <c r="D526" s="4" t="s">
        <v>797</v>
      </c>
      <c r="E526" s="821" t="s">
        <v>6114</v>
      </c>
      <c r="F526" s="821" t="s">
        <v>6506</v>
      </c>
      <c r="G526" s="16" t="s">
        <v>6507</v>
      </c>
      <c r="H526" s="827" t="s">
        <v>6510</v>
      </c>
      <c r="I526" s="847" t="s">
        <v>6585</v>
      </c>
      <c r="J526" s="847" t="s">
        <v>6586</v>
      </c>
      <c r="K526" s="125" t="s">
        <v>42</v>
      </c>
      <c r="L526" s="16" t="s">
        <v>4550</v>
      </c>
      <c r="M526" s="8">
        <v>3</v>
      </c>
      <c r="N526" s="595"/>
      <c r="O526" s="430"/>
      <c r="P526" s="759"/>
    </row>
    <row r="527" spans="1:16" s="17" customFormat="1" ht="33" customHeight="1">
      <c r="A527" s="605"/>
      <c r="B527" s="369">
        <v>46235</v>
      </c>
      <c r="C527" s="4" t="s">
        <v>21</v>
      </c>
      <c r="D527" s="4" t="s">
        <v>14</v>
      </c>
      <c r="E527" s="821" t="s">
        <v>211</v>
      </c>
      <c r="F527" s="821" t="s">
        <v>6354</v>
      </c>
      <c r="G527" s="16" t="s">
        <v>6355</v>
      </c>
      <c r="H527" s="827" t="s">
        <v>6359</v>
      </c>
      <c r="I527" s="821"/>
      <c r="J527" s="594"/>
      <c r="K527" s="125"/>
      <c r="L527" s="16"/>
      <c r="M527" s="8"/>
      <c r="N527" s="594"/>
      <c r="O527" s="432"/>
      <c r="P527" s="759"/>
    </row>
    <row r="528" spans="1:16" s="17" customFormat="1" ht="33" customHeight="1">
      <c r="A528" s="322" t="s">
        <v>0</v>
      </c>
      <c r="B528" s="323" t="s">
        <v>1</v>
      </c>
      <c r="C528" s="322" t="s">
        <v>2</v>
      </c>
      <c r="D528" s="322" t="s">
        <v>3</v>
      </c>
      <c r="E528" s="322" t="s">
        <v>4</v>
      </c>
      <c r="F528" s="322" t="s">
        <v>5</v>
      </c>
      <c r="G528" s="322" t="s">
        <v>6</v>
      </c>
      <c r="H528" s="324" t="s">
        <v>7</v>
      </c>
      <c r="I528" s="322" t="s">
        <v>8</v>
      </c>
      <c r="J528" s="322" t="s">
        <v>9</v>
      </c>
      <c r="K528" s="325" t="s">
        <v>10</v>
      </c>
      <c r="L528" s="326" t="s">
        <v>11</v>
      </c>
      <c r="M528" s="322" t="s">
        <v>12</v>
      </c>
      <c r="N528" s="327" t="s">
        <v>13</v>
      </c>
      <c r="O528" s="427" t="s">
        <v>63</v>
      </c>
      <c r="P528" s="322" t="s">
        <v>123</v>
      </c>
    </row>
    <row r="529" spans="1:16" s="17" customFormat="1" ht="33" customHeight="1">
      <c r="A529" s="603" t="s">
        <v>6329</v>
      </c>
      <c r="B529" s="399">
        <v>46237</v>
      </c>
      <c r="C529" s="4"/>
      <c r="D529" s="4"/>
      <c r="E529" s="798"/>
      <c r="F529" s="798"/>
      <c r="G529" s="16"/>
      <c r="H529" s="804" t="s">
        <v>6541</v>
      </c>
      <c r="I529" s="798"/>
      <c r="J529" s="798"/>
      <c r="K529" s="125"/>
      <c r="L529" s="16"/>
      <c r="M529" s="8"/>
      <c r="N529" s="798"/>
      <c r="O529" s="431"/>
      <c r="P529" s="798"/>
    </row>
    <row r="530" spans="1:16" s="17" customFormat="1" ht="33" customHeight="1">
      <c r="A530" s="604"/>
      <c r="B530" s="399">
        <v>46237</v>
      </c>
      <c r="C530" s="4" t="s">
        <v>21</v>
      </c>
      <c r="D530" s="4" t="s">
        <v>14</v>
      </c>
      <c r="E530" s="454" t="s">
        <v>107</v>
      </c>
      <c r="F530" s="454" t="s">
        <v>3386</v>
      </c>
      <c r="G530" s="459" t="s">
        <v>964</v>
      </c>
      <c r="H530" s="453" t="s">
        <v>6561</v>
      </c>
      <c r="I530" s="454"/>
      <c r="J530" s="847"/>
      <c r="K530" s="125"/>
      <c r="L530" s="459"/>
      <c r="M530" s="455"/>
      <c r="N530" s="847"/>
      <c r="O530" s="431"/>
      <c r="P530" s="847"/>
    </row>
    <row r="531" spans="1:16" s="17" customFormat="1" ht="33" customHeight="1">
      <c r="A531" s="604"/>
      <c r="B531" s="399">
        <v>46238</v>
      </c>
      <c r="C531" s="4"/>
      <c r="D531" s="4"/>
      <c r="E531" s="291"/>
      <c r="F531" s="798"/>
      <c r="G531" s="16"/>
      <c r="H531" s="850" t="s">
        <v>6541</v>
      </c>
      <c r="I531" s="798"/>
      <c r="J531" s="798"/>
      <c r="K531" s="125"/>
      <c r="L531" s="16"/>
      <c r="M531" s="8"/>
      <c r="N531" s="798"/>
      <c r="O531" s="431"/>
      <c r="P531" s="798"/>
    </row>
    <row r="532" spans="1:16" s="17" customFormat="1" ht="33" customHeight="1">
      <c r="A532" s="604"/>
      <c r="B532" s="399">
        <v>46239</v>
      </c>
      <c r="C532" s="4"/>
      <c r="D532" s="4"/>
      <c r="E532" s="798"/>
      <c r="F532" s="798"/>
      <c r="G532" s="16"/>
      <c r="H532" s="850" t="s">
        <v>6541</v>
      </c>
      <c r="I532" s="798"/>
      <c r="J532" s="804"/>
      <c r="K532" s="125"/>
      <c r="L532" s="16"/>
      <c r="M532" s="8"/>
      <c r="N532" s="803"/>
      <c r="O532" s="430"/>
      <c r="P532" s="798"/>
    </row>
    <row r="533" spans="1:16" s="17" customFormat="1" ht="33" customHeight="1">
      <c r="A533" s="604"/>
      <c r="B533" s="399">
        <v>46240</v>
      </c>
      <c r="C533" s="4"/>
      <c r="D533" s="4"/>
      <c r="E533" s="798"/>
      <c r="F533" s="798"/>
      <c r="G533" s="16"/>
      <c r="H533" s="804"/>
      <c r="I533" s="798"/>
      <c r="J533" s="804"/>
      <c r="K533" s="125"/>
      <c r="L533" s="16"/>
      <c r="M533" s="8"/>
      <c r="N533" s="803"/>
      <c r="O533" s="430"/>
      <c r="P533" s="798"/>
    </row>
    <row r="534" spans="1:16" s="17" customFormat="1" ht="33" customHeight="1">
      <c r="A534" s="604"/>
      <c r="B534" s="399">
        <v>46241</v>
      </c>
      <c r="C534" s="4"/>
      <c r="D534" s="4"/>
      <c r="E534" s="847"/>
      <c r="F534" s="847"/>
      <c r="G534" s="16"/>
      <c r="H534" s="804"/>
      <c r="I534" s="798"/>
      <c r="J534" s="804"/>
      <c r="K534" s="125"/>
      <c r="L534" s="16"/>
      <c r="M534" s="8"/>
      <c r="N534" s="803"/>
      <c r="O534" s="430"/>
      <c r="P534" s="798"/>
    </row>
    <row r="535" spans="1:16" s="17" customFormat="1" ht="33" customHeight="1">
      <c r="A535" s="605"/>
      <c r="B535" s="399">
        <v>46242</v>
      </c>
      <c r="C535" s="4"/>
      <c r="D535" s="4"/>
      <c r="E535" s="291"/>
      <c r="F535" s="798"/>
      <c r="G535" s="16"/>
      <c r="H535" s="804"/>
      <c r="I535" s="798"/>
      <c r="J535" s="798"/>
      <c r="K535" s="125"/>
      <c r="L535" s="16"/>
      <c r="M535" s="8"/>
      <c r="N535" s="798"/>
      <c r="O535" s="432"/>
      <c r="P535" s="798"/>
    </row>
    <row r="536" spans="1:16" s="17" customFormat="1" ht="33" customHeight="1">
      <c r="A536" s="322" t="s">
        <v>0</v>
      </c>
      <c r="B536" s="323" t="s">
        <v>1</v>
      </c>
      <c r="C536" s="322" t="s">
        <v>2</v>
      </c>
      <c r="D536" s="322" t="s">
        <v>3</v>
      </c>
      <c r="E536" s="322" t="s">
        <v>4</v>
      </c>
      <c r="F536" s="322" t="s">
        <v>5</v>
      </c>
      <c r="G536" s="322" t="s">
        <v>6</v>
      </c>
      <c r="H536" s="324" t="s">
        <v>7</v>
      </c>
      <c r="I536" s="322" t="s">
        <v>8</v>
      </c>
      <c r="J536" s="322" t="s">
        <v>9</v>
      </c>
      <c r="K536" s="325" t="s">
        <v>10</v>
      </c>
      <c r="L536" s="326" t="s">
        <v>11</v>
      </c>
      <c r="M536" s="322" t="s">
        <v>12</v>
      </c>
      <c r="N536" s="327" t="s">
        <v>13</v>
      </c>
      <c r="O536" s="427" t="s">
        <v>63</v>
      </c>
      <c r="P536" s="322" t="s">
        <v>123</v>
      </c>
    </row>
    <row r="537" spans="1:16" s="17" customFormat="1" ht="33" customHeight="1">
      <c r="A537" s="603" t="s">
        <v>6330</v>
      </c>
      <c r="B537" s="399">
        <v>46244</v>
      </c>
      <c r="C537" s="3" t="s">
        <v>64</v>
      </c>
      <c r="D537" s="3" t="s">
        <v>883</v>
      </c>
      <c r="E537" s="454" t="s">
        <v>78</v>
      </c>
      <c r="F537" s="454" t="s">
        <v>1645</v>
      </c>
      <c r="G537" s="459" t="s">
        <v>23</v>
      </c>
      <c r="H537" s="453" t="s">
        <v>6528</v>
      </c>
      <c r="I537" s="853" t="s">
        <v>6312</v>
      </c>
      <c r="J537" s="853" t="s">
        <v>6613</v>
      </c>
      <c r="K537" s="125"/>
      <c r="L537" s="16"/>
      <c r="M537" s="8"/>
      <c r="N537" s="798"/>
      <c r="O537" s="431"/>
      <c r="P537" s="798"/>
    </row>
    <row r="538" spans="1:16" s="17" customFormat="1" ht="33" customHeight="1">
      <c r="A538" s="604"/>
      <c r="B538" s="399">
        <v>46245</v>
      </c>
      <c r="C538" s="4" t="s">
        <v>6562</v>
      </c>
      <c r="D538" s="4" t="s">
        <v>6563</v>
      </c>
      <c r="E538" s="847" t="s">
        <v>6564</v>
      </c>
      <c r="F538" s="847" t="s">
        <v>6565</v>
      </c>
      <c r="G538" s="16" t="s">
        <v>6566</v>
      </c>
      <c r="H538" s="850" t="s">
        <v>6567</v>
      </c>
      <c r="I538" s="798"/>
      <c r="J538" s="798"/>
      <c r="K538" s="125"/>
      <c r="L538" s="16"/>
      <c r="M538" s="8"/>
      <c r="N538" s="798"/>
      <c r="O538" s="431"/>
      <c r="P538" s="798"/>
    </row>
    <row r="539" spans="1:16" s="17" customFormat="1" ht="33" customHeight="1">
      <c r="A539" s="604"/>
      <c r="B539" s="399">
        <v>46246</v>
      </c>
      <c r="C539" s="4" t="s">
        <v>6562</v>
      </c>
      <c r="D539" s="4" t="s">
        <v>6563</v>
      </c>
      <c r="E539" s="847" t="s">
        <v>6564</v>
      </c>
      <c r="F539" s="847" t="s">
        <v>6565</v>
      </c>
      <c r="G539" s="16" t="s">
        <v>6568</v>
      </c>
      <c r="H539" s="850" t="s">
        <v>6567</v>
      </c>
      <c r="I539" s="798"/>
      <c r="J539" s="804"/>
      <c r="K539" s="125"/>
      <c r="L539" s="16"/>
      <c r="M539" s="8"/>
      <c r="N539" s="803"/>
      <c r="O539" s="430"/>
      <c r="P539" s="798"/>
    </row>
    <row r="540" spans="1:16" s="17" customFormat="1" ht="33" customHeight="1">
      <c r="A540" s="604"/>
      <c r="B540" s="399">
        <v>46247</v>
      </c>
      <c r="C540" s="4" t="s">
        <v>6562</v>
      </c>
      <c r="D540" s="4" t="s">
        <v>6563</v>
      </c>
      <c r="E540" s="847" t="s">
        <v>6564</v>
      </c>
      <c r="F540" s="847" t="s">
        <v>6565</v>
      </c>
      <c r="G540" s="16" t="s">
        <v>6569</v>
      </c>
      <c r="H540" s="850" t="s">
        <v>6567</v>
      </c>
      <c r="I540" s="798"/>
      <c r="J540" s="804"/>
      <c r="K540" s="125"/>
      <c r="L540" s="16"/>
      <c r="M540" s="8"/>
      <c r="N540" s="803"/>
      <c r="O540" s="430"/>
      <c r="P540" s="798"/>
    </row>
    <row r="541" spans="1:16" s="17" customFormat="1" ht="33" customHeight="1">
      <c r="A541" s="604"/>
      <c r="B541" s="399">
        <v>46248</v>
      </c>
      <c r="C541" s="4"/>
      <c r="D541" s="4"/>
      <c r="E541" s="847"/>
      <c r="F541" s="847"/>
      <c r="G541" s="16"/>
      <c r="H541" s="850"/>
      <c r="I541" s="798"/>
      <c r="J541" s="804"/>
      <c r="K541" s="125"/>
      <c r="L541" s="16"/>
      <c r="M541" s="8"/>
      <c r="N541" s="803"/>
      <c r="O541" s="430"/>
      <c r="P541" s="798"/>
    </row>
    <row r="542" spans="1:16" s="17" customFormat="1" ht="33" customHeight="1">
      <c r="A542" s="605"/>
      <c r="B542" s="399">
        <v>46249</v>
      </c>
      <c r="C542" s="4"/>
      <c r="D542" s="4"/>
      <c r="E542" s="291"/>
      <c r="F542" s="798"/>
      <c r="G542" s="16"/>
      <c r="H542" s="804"/>
      <c r="I542" s="798"/>
      <c r="J542" s="798"/>
      <c r="K542" s="125"/>
      <c r="L542" s="16"/>
      <c r="M542" s="8"/>
      <c r="N542" s="798"/>
      <c r="O542" s="432"/>
      <c r="P542" s="798"/>
    </row>
    <row r="543" spans="1:16" s="17" customFormat="1" ht="33" customHeight="1">
      <c r="A543" s="322" t="s">
        <v>0</v>
      </c>
      <c r="B543" s="323" t="s">
        <v>1</v>
      </c>
      <c r="C543" s="322" t="s">
        <v>2</v>
      </c>
      <c r="D543" s="322" t="s">
        <v>3</v>
      </c>
      <c r="E543" s="322" t="s">
        <v>4</v>
      </c>
      <c r="F543" s="322" t="s">
        <v>5</v>
      </c>
      <c r="G543" s="322" t="s">
        <v>6</v>
      </c>
      <c r="H543" s="324" t="s">
        <v>7</v>
      </c>
      <c r="I543" s="322" t="s">
        <v>8</v>
      </c>
      <c r="J543" s="322" t="s">
        <v>9</v>
      </c>
      <c r="K543" s="325" t="s">
        <v>10</v>
      </c>
      <c r="L543" s="326" t="s">
        <v>11</v>
      </c>
      <c r="M543" s="322" t="s">
        <v>12</v>
      </c>
      <c r="N543" s="327" t="s">
        <v>13</v>
      </c>
      <c r="O543" s="427" t="s">
        <v>63</v>
      </c>
      <c r="P543" s="322" t="s">
        <v>123</v>
      </c>
    </row>
    <row r="544" spans="1:16" s="17" customFormat="1" ht="33" customHeight="1">
      <c r="A544" s="603" t="s">
        <v>6331</v>
      </c>
      <c r="B544" s="399">
        <v>46251</v>
      </c>
      <c r="C544" s="4" t="s">
        <v>6347</v>
      </c>
      <c r="D544" s="4" t="s">
        <v>6348</v>
      </c>
      <c r="E544" s="798" t="s">
        <v>6349</v>
      </c>
      <c r="F544" s="798" t="s">
        <v>6350</v>
      </c>
      <c r="G544" s="16" t="s">
        <v>6351</v>
      </c>
      <c r="H544" s="804" t="s">
        <v>6352</v>
      </c>
      <c r="I544" s="798"/>
      <c r="J544" s="798"/>
      <c r="K544" s="125"/>
      <c r="L544" s="16"/>
      <c r="M544" s="8"/>
      <c r="N544" s="798"/>
      <c r="O544" s="431"/>
      <c r="P544" s="798"/>
    </row>
    <row r="545" spans="1:16" s="17" customFormat="1" ht="33" customHeight="1">
      <c r="A545" s="604"/>
      <c r="B545" s="399">
        <v>46252</v>
      </c>
      <c r="C545" s="4" t="s">
        <v>113</v>
      </c>
      <c r="D545" s="4" t="s">
        <v>14</v>
      </c>
      <c r="E545" s="798" t="s">
        <v>427</v>
      </c>
      <c r="F545" s="798" t="s">
        <v>1968</v>
      </c>
      <c r="G545" s="16" t="s">
        <v>376</v>
      </c>
      <c r="H545" s="804" t="s">
        <v>900</v>
      </c>
      <c r="I545" s="798"/>
      <c r="J545" s="798"/>
      <c r="K545" s="125"/>
      <c r="L545" s="16"/>
      <c r="M545" s="8"/>
      <c r="N545" s="798"/>
      <c r="O545" s="431"/>
      <c r="P545" s="798"/>
    </row>
    <row r="546" spans="1:16" s="17" customFormat="1" ht="33" customHeight="1">
      <c r="A546" s="604"/>
      <c r="B546" s="399">
        <v>46252</v>
      </c>
      <c r="C546" s="4" t="s">
        <v>6338</v>
      </c>
      <c r="D546" s="4" t="s">
        <v>6339</v>
      </c>
      <c r="E546" s="798" t="s">
        <v>6340</v>
      </c>
      <c r="F546" s="798" t="s">
        <v>6341</v>
      </c>
      <c r="G546" s="16" t="s">
        <v>6342</v>
      </c>
      <c r="H546" s="804" t="s">
        <v>6343</v>
      </c>
      <c r="I546" s="798"/>
      <c r="J546" s="798"/>
      <c r="K546" s="125"/>
      <c r="L546" s="16"/>
      <c r="M546" s="8"/>
      <c r="N546" s="798"/>
      <c r="O546" s="431"/>
      <c r="P546" s="798"/>
    </row>
    <row r="547" spans="1:16" s="17" customFormat="1" ht="33" customHeight="1">
      <c r="A547" s="604"/>
      <c r="B547" s="399">
        <v>46253</v>
      </c>
      <c r="C547" s="4" t="s">
        <v>113</v>
      </c>
      <c r="D547" s="4" t="s">
        <v>14</v>
      </c>
      <c r="E547" s="798" t="s">
        <v>427</v>
      </c>
      <c r="F547" s="798" t="s">
        <v>1968</v>
      </c>
      <c r="G547" s="16" t="s">
        <v>553</v>
      </c>
      <c r="H547" s="804" t="s">
        <v>900</v>
      </c>
      <c r="I547" s="798"/>
      <c r="J547" s="804"/>
      <c r="K547" s="125"/>
      <c r="L547" s="16"/>
      <c r="M547" s="8"/>
      <c r="N547" s="803"/>
      <c r="O547" s="430"/>
      <c r="P547" s="798"/>
    </row>
    <row r="548" spans="1:16" s="17" customFormat="1" ht="33" customHeight="1">
      <c r="A548" s="604"/>
      <c r="B548" s="399">
        <v>46254</v>
      </c>
      <c r="C548" s="4"/>
      <c r="D548" s="4"/>
      <c r="E548" s="798"/>
      <c r="F548" s="798"/>
      <c r="G548" s="16"/>
      <c r="H548" s="804"/>
      <c r="I548" s="798"/>
      <c r="J548" s="804"/>
      <c r="K548" s="125"/>
      <c r="L548" s="16"/>
      <c r="M548" s="8"/>
      <c r="N548" s="803"/>
      <c r="O548" s="430"/>
      <c r="P548" s="798"/>
    </row>
    <row r="549" spans="1:16" s="17" customFormat="1" ht="33" customHeight="1">
      <c r="A549" s="604"/>
      <c r="B549" s="399">
        <v>46255</v>
      </c>
      <c r="C549" s="4" t="s">
        <v>6347</v>
      </c>
      <c r="D549" s="4" t="s">
        <v>6348</v>
      </c>
      <c r="E549" s="805" t="s">
        <v>6349</v>
      </c>
      <c r="F549" s="805" t="s">
        <v>6350</v>
      </c>
      <c r="G549" s="16" t="s">
        <v>6351</v>
      </c>
      <c r="H549" s="816" t="s">
        <v>6353</v>
      </c>
      <c r="I549" s="798"/>
      <c r="J549" s="804"/>
      <c r="K549" s="125"/>
      <c r="L549" s="16"/>
      <c r="M549" s="8"/>
      <c r="N549" s="803"/>
      <c r="O549" s="430"/>
      <c r="P549" s="798"/>
    </row>
    <row r="550" spans="1:16" s="17" customFormat="1" ht="33" customHeight="1">
      <c r="A550" s="605"/>
      <c r="B550" s="399">
        <v>46256</v>
      </c>
      <c r="C550" s="4"/>
      <c r="D550" s="4"/>
      <c r="E550" s="291"/>
      <c r="F550" s="798"/>
      <c r="G550" s="16"/>
      <c r="H550" s="804"/>
      <c r="I550" s="798"/>
      <c r="J550" s="798"/>
      <c r="K550" s="125"/>
      <c r="L550" s="16"/>
      <c r="M550" s="8"/>
      <c r="N550" s="798"/>
      <c r="O550" s="432"/>
      <c r="P550" s="798"/>
    </row>
    <row r="551" spans="1:16" s="17" customFormat="1" ht="33" customHeight="1">
      <c r="A551" s="322" t="s">
        <v>0</v>
      </c>
      <c r="B551" s="323" t="s">
        <v>1</v>
      </c>
      <c r="C551" s="322" t="s">
        <v>2</v>
      </c>
      <c r="D551" s="322" t="s">
        <v>3</v>
      </c>
      <c r="E551" s="322" t="s">
        <v>4</v>
      </c>
      <c r="F551" s="322" t="s">
        <v>5</v>
      </c>
      <c r="G551" s="322" t="s">
        <v>6</v>
      </c>
      <c r="H551" s="324" t="s">
        <v>7</v>
      </c>
      <c r="I551" s="322" t="s">
        <v>8</v>
      </c>
      <c r="J551" s="322" t="s">
        <v>9</v>
      </c>
      <c r="K551" s="325" t="s">
        <v>10</v>
      </c>
      <c r="L551" s="326" t="s">
        <v>11</v>
      </c>
      <c r="M551" s="322" t="s">
        <v>12</v>
      </c>
      <c r="N551" s="327" t="s">
        <v>13</v>
      </c>
      <c r="O551" s="427" t="s">
        <v>63</v>
      </c>
      <c r="P551" s="322" t="s">
        <v>123</v>
      </c>
    </row>
    <row r="552" spans="1:16" s="17" customFormat="1" ht="33" customHeight="1">
      <c r="A552" s="603" t="s">
        <v>6332</v>
      </c>
      <c r="B552" s="399">
        <v>46258</v>
      </c>
      <c r="C552" s="4"/>
      <c r="D552" s="4"/>
      <c r="E552" s="798"/>
      <c r="F552" s="798"/>
      <c r="G552" s="16"/>
      <c r="H552" s="804"/>
      <c r="I552" s="798"/>
      <c r="J552" s="798"/>
      <c r="K552" s="125"/>
      <c r="L552" s="16"/>
      <c r="M552" s="8"/>
      <c r="N552" s="798"/>
      <c r="O552" s="431"/>
      <c r="P552" s="798"/>
    </row>
    <row r="553" spans="1:16" s="17" customFormat="1" ht="33" customHeight="1">
      <c r="A553" s="604"/>
      <c r="B553" s="399">
        <v>46259</v>
      </c>
      <c r="C553" s="4"/>
      <c r="D553" s="4"/>
      <c r="E553" s="291"/>
      <c r="F553" s="798"/>
      <c r="G553" s="16"/>
      <c r="H553" s="804"/>
      <c r="I553" s="798"/>
      <c r="J553" s="798"/>
      <c r="K553" s="125"/>
      <c r="L553" s="16"/>
      <c r="M553" s="8"/>
      <c r="N553" s="798"/>
      <c r="O553" s="431"/>
      <c r="P553" s="798"/>
    </row>
    <row r="554" spans="1:16" s="17" customFormat="1" ht="33" customHeight="1">
      <c r="A554" s="604"/>
      <c r="B554" s="399">
        <v>46260</v>
      </c>
      <c r="C554" s="4"/>
      <c r="D554" s="4"/>
      <c r="E554" s="798"/>
      <c r="F554" s="798"/>
      <c r="G554" s="16"/>
      <c r="H554" s="804"/>
      <c r="I554" s="798"/>
      <c r="J554" s="804"/>
      <c r="K554" s="125"/>
      <c r="L554" s="16"/>
      <c r="M554" s="8"/>
      <c r="N554" s="803"/>
      <c r="O554" s="430"/>
      <c r="P554" s="798"/>
    </row>
    <row r="555" spans="1:16" s="17" customFormat="1" ht="33" customHeight="1">
      <c r="A555" s="604"/>
      <c r="B555" s="399">
        <v>46261</v>
      </c>
      <c r="C555" s="4"/>
      <c r="D555" s="4"/>
      <c r="E555" s="798"/>
      <c r="F555" s="798"/>
      <c r="G555" s="16"/>
      <c r="H555" s="804"/>
      <c r="I555" s="798"/>
      <c r="J555" s="804"/>
      <c r="K555" s="125"/>
      <c r="L555" s="16"/>
      <c r="M555" s="8"/>
      <c r="N555" s="803"/>
      <c r="O555" s="430"/>
      <c r="P555" s="798"/>
    </row>
    <row r="556" spans="1:16" s="17" customFormat="1" ht="33" customHeight="1">
      <c r="A556" s="604"/>
      <c r="B556" s="399">
        <v>46262</v>
      </c>
      <c r="C556" s="4"/>
      <c r="D556" s="4"/>
      <c r="E556" s="798"/>
      <c r="F556" s="798"/>
      <c r="G556" s="16"/>
      <c r="H556" s="804"/>
      <c r="I556" s="798"/>
      <c r="J556" s="804"/>
      <c r="K556" s="125"/>
      <c r="L556" s="16"/>
      <c r="M556" s="8"/>
      <c r="N556" s="803"/>
      <c r="O556" s="430"/>
      <c r="P556" s="798"/>
    </row>
    <row r="557" spans="1:16" s="17" customFormat="1" ht="33" customHeight="1">
      <c r="A557" s="605"/>
      <c r="B557" s="399">
        <v>46263</v>
      </c>
      <c r="C557" s="4"/>
      <c r="D557" s="4"/>
      <c r="E557" s="291"/>
      <c r="F557" s="798"/>
      <c r="G557" s="16"/>
      <c r="H557" s="804"/>
      <c r="I557" s="798"/>
      <c r="J557" s="798"/>
      <c r="K557" s="125"/>
      <c r="L557" s="16"/>
      <c r="M557" s="8"/>
      <c r="N557" s="798"/>
      <c r="O557" s="432"/>
      <c r="P557" s="798"/>
    </row>
    <row r="558" spans="1:16" s="17" customFormat="1" ht="33" customHeight="1">
      <c r="A558" s="322" t="s">
        <v>0</v>
      </c>
      <c r="B558" s="323" t="s">
        <v>1</v>
      </c>
      <c r="C558" s="322" t="s">
        <v>2</v>
      </c>
      <c r="D558" s="322" t="s">
        <v>3</v>
      </c>
      <c r="E558" s="322" t="s">
        <v>4</v>
      </c>
      <c r="F558" s="322" t="s">
        <v>5</v>
      </c>
      <c r="G558" s="322" t="s">
        <v>6</v>
      </c>
      <c r="H558" s="324" t="s">
        <v>7</v>
      </c>
      <c r="I558" s="322" t="s">
        <v>8</v>
      </c>
      <c r="J558" s="322" t="s">
        <v>9</v>
      </c>
      <c r="K558" s="325" t="s">
        <v>10</v>
      </c>
      <c r="L558" s="326" t="s">
        <v>11</v>
      </c>
      <c r="M558" s="322" t="s">
        <v>12</v>
      </c>
      <c r="N558" s="327" t="s">
        <v>13</v>
      </c>
      <c r="O558" s="427" t="s">
        <v>63</v>
      </c>
      <c r="P558" s="322" t="s">
        <v>123</v>
      </c>
    </row>
    <row r="559" spans="1:16" s="17" customFormat="1" ht="33" customHeight="1">
      <c r="A559" s="603" t="s">
        <v>6333</v>
      </c>
      <c r="B559" s="399">
        <v>46265</v>
      </c>
      <c r="C559" s="4"/>
      <c r="D559" s="4"/>
      <c r="E559" s="798"/>
      <c r="F559" s="798"/>
      <c r="G559" s="16"/>
      <c r="H559" s="804"/>
      <c r="I559" s="798"/>
      <c r="J559" s="798"/>
      <c r="K559" s="125"/>
      <c r="L559" s="16"/>
      <c r="M559" s="8"/>
      <c r="N559" s="798"/>
      <c r="O559" s="431"/>
      <c r="P559" s="798"/>
    </row>
    <row r="560" spans="1:16" s="17" customFormat="1" ht="33" customHeight="1">
      <c r="A560" s="604"/>
      <c r="B560" s="399">
        <v>46266</v>
      </c>
      <c r="C560" s="4"/>
      <c r="D560" s="4"/>
      <c r="E560" s="291"/>
      <c r="F560" s="798"/>
      <c r="G560" s="16"/>
      <c r="H560" s="804"/>
      <c r="I560" s="798"/>
      <c r="J560" s="798"/>
      <c r="K560" s="125"/>
      <c r="L560" s="16"/>
      <c r="M560" s="8"/>
      <c r="N560" s="798"/>
      <c r="O560" s="431"/>
      <c r="P560" s="798"/>
    </row>
    <row r="561" spans="1:16" s="17" customFormat="1" ht="33" customHeight="1">
      <c r="A561" s="604"/>
      <c r="B561" s="399">
        <v>46267</v>
      </c>
      <c r="C561" s="4"/>
      <c r="D561" s="4"/>
      <c r="E561" s="798"/>
      <c r="F561" s="798"/>
      <c r="G561" s="16"/>
      <c r="H561" s="804"/>
      <c r="I561" s="798"/>
      <c r="J561" s="804"/>
      <c r="K561" s="125"/>
      <c r="L561" s="16"/>
      <c r="M561" s="8"/>
      <c r="N561" s="803"/>
      <c r="O561" s="430"/>
      <c r="P561" s="798"/>
    </row>
    <row r="562" spans="1:16" s="17" customFormat="1" ht="33" customHeight="1">
      <c r="A562" s="604"/>
      <c r="B562" s="399">
        <v>46268</v>
      </c>
      <c r="C562" s="4"/>
      <c r="D562" s="4"/>
      <c r="E562" s="798"/>
      <c r="F562" s="798"/>
      <c r="G562" s="16"/>
      <c r="H562" s="804"/>
      <c r="I562" s="798"/>
      <c r="J562" s="804"/>
      <c r="K562" s="125"/>
      <c r="L562" s="16"/>
      <c r="M562" s="8"/>
      <c r="N562" s="803"/>
      <c r="O562" s="430"/>
      <c r="P562" s="798"/>
    </row>
    <row r="563" spans="1:16" s="17" customFormat="1" ht="33" customHeight="1">
      <c r="A563" s="604"/>
      <c r="B563" s="399">
        <v>46269</v>
      </c>
      <c r="C563" s="4"/>
      <c r="D563" s="4"/>
      <c r="E563" s="798"/>
      <c r="F563" s="798"/>
      <c r="G563" s="16"/>
      <c r="H563" s="804"/>
      <c r="I563" s="798"/>
      <c r="J563" s="804"/>
      <c r="K563" s="125"/>
      <c r="L563" s="16"/>
      <c r="M563" s="8"/>
      <c r="N563" s="803"/>
      <c r="O563" s="430"/>
      <c r="P563" s="798"/>
    </row>
    <row r="564" spans="1:16" s="17" customFormat="1" ht="33" customHeight="1">
      <c r="A564" s="605"/>
      <c r="B564" s="399">
        <v>46270</v>
      </c>
      <c r="C564" s="4"/>
      <c r="D564" s="4"/>
      <c r="E564" s="291"/>
      <c r="F564" s="798"/>
      <c r="G564" s="16"/>
      <c r="H564" s="804"/>
      <c r="I564" s="798"/>
      <c r="J564" s="798"/>
      <c r="K564" s="125"/>
      <c r="L564" s="16"/>
      <c r="M564" s="8"/>
      <c r="N564" s="798"/>
      <c r="O564" s="432"/>
      <c r="P564" s="798"/>
    </row>
    <row r="565" spans="1:16" s="17" customFormat="1" ht="33" customHeight="1">
      <c r="A565" s="322" t="s">
        <v>0</v>
      </c>
      <c r="B565" s="323" t="s">
        <v>1</v>
      </c>
      <c r="C565" s="322" t="s">
        <v>2</v>
      </c>
      <c r="D565" s="322" t="s">
        <v>3</v>
      </c>
      <c r="E565" s="322" t="s">
        <v>4</v>
      </c>
      <c r="F565" s="322" t="s">
        <v>5</v>
      </c>
      <c r="G565" s="322" t="s">
        <v>6</v>
      </c>
      <c r="H565" s="324" t="s">
        <v>7</v>
      </c>
      <c r="I565" s="322" t="s">
        <v>8</v>
      </c>
      <c r="J565" s="322" t="s">
        <v>9</v>
      </c>
      <c r="K565" s="325" t="s">
        <v>10</v>
      </c>
      <c r="L565" s="326" t="s">
        <v>11</v>
      </c>
      <c r="M565" s="322" t="s">
        <v>12</v>
      </c>
      <c r="N565" s="327" t="s">
        <v>13</v>
      </c>
      <c r="O565" s="427" t="s">
        <v>63</v>
      </c>
      <c r="P565" s="322" t="s">
        <v>123</v>
      </c>
    </row>
    <row r="566" spans="1:16" s="17" customFormat="1" ht="33" customHeight="1">
      <c r="A566" s="603"/>
      <c r="B566" s="399"/>
      <c r="C566" s="4"/>
      <c r="D566" s="4"/>
      <c r="E566" s="798"/>
      <c r="F566" s="798"/>
      <c r="G566" s="16"/>
      <c r="H566" s="804"/>
      <c r="I566" s="798"/>
      <c r="J566" s="798"/>
      <c r="K566" s="125"/>
      <c r="L566" s="16"/>
      <c r="M566" s="8"/>
      <c r="N566" s="798"/>
      <c r="O566" s="431"/>
      <c r="P566" s="798"/>
    </row>
    <row r="567" spans="1:16" s="17" customFormat="1" ht="33" customHeight="1">
      <c r="A567" s="604"/>
      <c r="B567" s="399"/>
      <c r="C567" s="4"/>
      <c r="D567" s="4"/>
      <c r="E567" s="291"/>
      <c r="F567" s="798"/>
      <c r="G567" s="16"/>
      <c r="H567" s="804"/>
      <c r="I567" s="798"/>
      <c r="J567" s="798"/>
      <c r="K567" s="125"/>
      <c r="L567" s="16"/>
      <c r="M567" s="8"/>
      <c r="N567" s="798"/>
      <c r="O567" s="431"/>
      <c r="P567" s="798"/>
    </row>
    <row r="568" spans="1:16" s="17" customFormat="1" ht="33" customHeight="1">
      <c r="A568" s="604"/>
      <c r="B568" s="399"/>
      <c r="C568" s="4"/>
      <c r="D568" s="4"/>
      <c r="E568" s="798"/>
      <c r="F568" s="798"/>
      <c r="G568" s="16"/>
      <c r="H568" s="804"/>
      <c r="I568" s="798"/>
      <c r="J568" s="804"/>
      <c r="K568" s="125"/>
      <c r="L568" s="16"/>
      <c r="M568" s="8"/>
      <c r="N568" s="803"/>
      <c r="O568" s="430"/>
      <c r="P568" s="798"/>
    </row>
    <row r="569" spans="1:16" s="17" customFormat="1" ht="33" customHeight="1">
      <c r="A569" s="604"/>
      <c r="B569" s="399"/>
      <c r="C569" s="4"/>
      <c r="D569" s="4"/>
      <c r="E569" s="798"/>
      <c r="F569" s="798"/>
      <c r="G569" s="16"/>
      <c r="H569" s="804"/>
      <c r="I569" s="798"/>
      <c r="J569" s="804"/>
      <c r="K569" s="125"/>
      <c r="L569" s="16"/>
      <c r="M569" s="8"/>
      <c r="N569" s="803"/>
      <c r="O569" s="430"/>
      <c r="P569" s="798"/>
    </row>
    <row r="570" spans="1:16" s="17" customFormat="1" ht="33" customHeight="1">
      <c r="A570" s="604"/>
      <c r="B570" s="399"/>
      <c r="C570" s="4"/>
      <c r="D570" s="4"/>
      <c r="E570" s="798"/>
      <c r="F570" s="798"/>
      <c r="G570" s="16"/>
      <c r="H570" s="804"/>
      <c r="I570" s="798"/>
      <c r="J570" s="804"/>
      <c r="K570" s="125"/>
      <c r="L570" s="16"/>
      <c r="M570" s="8"/>
      <c r="N570" s="803"/>
      <c r="O570" s="430"/>
      <c r="P570" s="798"/>
    </row>
    <row r="571" spans="1:16" s="17" customFormat="1" ht="33" customHeight="1">
      <c r="A571" s="605"/>
      <c r="B571" s="399"/>
      <c r="C571" s="4"/>
      <c r="D571" s="4"/>
      <c r="E571" s="291"/>
      <c r="F571" s="798"/>
      <c r="G571" s="16"/>
      <c r="H571" s="804"/>
      <c r="I571" s="798"/>
      <c r="J571" s="798"/>
      <c r="K571" s="125"/>
      <c r="L571" s="16"/>
      <c r="M571" s="8"/>
      <c r="N571" s="798"/>
      <c r="O571" s="432"/>
      <c r="P571" s="798"/>
    </row>
    <row r="572" spans="1:16" s="17" customFormat="1" ht="33" customHeight="1">
      <c r="A572" s="322" t="s">
        <v>0</v>
      </c>
      <c r="B572" s="323" t="s">
        <v>1</v>
      </c>
      <c r="C572" s="322" t="s">
        <v>2</v>
      </c>
      <c r="D572" s="322" t="s">
        <v>3</v>
      </c>
      <c r="E572" s="322" t="s">
        <v>4</v>
      </c>
      <c r="F572" s="322" t="s">
        <v>5</v>
      </c>
      <c r="G572" s="322" t="s">
        <v>6</v>
      </c>
      <c r="H572" s="324" t="s">
        <v>7</v>
      </c>
      <c r="I572" s="322" t="s">
        <v>8</v>
      </c>
      <c r="J572" s="322" t="s">
        <v>9</v>
      </c>
      <c r="K572" s="325" t="s">
        <v>10</v>
      </c>
      <c r="L572" s="326" t="s">
        <v>11</v>
      </c>
      <c r="M572" s="322" t="s">
        <v>12</v>
      </c>
      <c r="N572" s="327" t="s">
        <v>13</v>
      </c>
      <c r="O572" s="427" t="s">
        <v>63</v>
      </c>
      <c r="P572" s="322" t="s">
        <v>123</v>
      </c>
    </row>
    <row r="573" spans="1:16" s="17" customFormat="1" ht="33" customHeight="1">
      <c r="A573" s="603"/>
      <c r="B573" s="399"/>
      <c r="C573" s="4"/>
      <c r="D573" s="4"/>
      <c r="E573" s="798"/>
      <c r="F573" s="798"/>
      <c r="G573" s="16"/>
      <c r="H573" s="804"/>
      <c r="I573" s="798"/>
      <c r="J573" s="798"/>
      <c r="K573" s="125"/>
      <c r="L573" s="16"/>
      <c r="M573" s="8"/>
      <c r="N573" s="798"/>
      <c r="O573" s="431"/>
      <c r="P573" s="798"/>
    </row>
    <row r="574" spans="1:16" s="17" customFormat="1" ht="33" customHeight="1">
      <c r="A574" s="604"/>
      <c r="B574" s="399"/>
      <c r="C574" s="4"/>
      <c r="D574" s="4"/>
      <c r="E574" s="291"/>
      <c r="F574" s="798"/>
      <c r="G574" s="16"/>
      <c r="H574" s="804"/>
      <c r="I574" s="798"/>
      <c r="J574" s="798"/>
      <c r="K574" s="125"/>
      <c r="L574" s="16"/>
      <c r="M574" s="8"/>
      <c r="N574" s="798"/>
      <c r="O574" s="431"/>
      <c r="P574" s="798"/>
    </row>
    <row r="575" spans="1:16" s="17" customFormat="1" ht="33" customHeight="1">
      <c r="A575" s="604"/>
      <c r="B575" s="399"/>
      <c r="C575" s="4"/>
      <c r="D575" s="4"/>
      <c r="E575" s="798"/>
      <c r="F575" s="798"/>
      <c r="G575" s="16"/>
      <c r="H575" s="804"/>
      <c r="I575" s="798"/>
      <c r="J575" s="804"/>
      <c r="K575" s="125"/>
      <c r="L575" s="16"/>
      <c r="M575" s="8"/>
      <c r="N575" s="803"/>
      <c r="O575" s="430"/>
      <c r="P575" s="798"/>
    </row>
    <row r="576" spans="1:16" s="17" customFormat="1" ht="33" customHeight="1">
      <c r="A576" s="604"/>
      <c r="B576" s="399"/>
      <c r="C576" s="4"/>
      <c r="D576" s="4"/>
      <c r="E576" s="798"/>
      <c r="F576" s="798"/>
      <c r="G576" s="16"/>
      <c r="H576" s="804"/>
      <c r="I576" s="798"/>
      <c r="J576" s="804"/>
      <c r="K576" s="125"/>
      <c r="L576" s="16"/>
      <c r="M576" s="8"/>
      <c r="N576" s="803"/>
      <c r="O576" s="430"/>
      <c r="P576" s="798"/>
    </row>
    <row r="577" spans="1:16" s="17" customFormat="1" ht="33" customHeight="1">
      <c r="A577" s="604"/>
      <c r="B577" s="399"/>
      <c r="C577" s="4"/>
      <c r="D577" s="4"/>
      <c r="E577" s="798"/>
      <c r="F577" s="798"/>
      <c r="G577" s="16"/>
      <c r="H577" s="804"/>
      <c r="I577" s="798"/>
      <c r="J577" s="804"/>
      <c r="K577" s="125"/>
      <c r="L577" s="16"/>
      <c r="M577" s="8"/>
      <c r="N577" s="803"/>
      <c r="O577" s="430"/>
      <c r="P577" s="798"/>
    </row>
    <row r="578" spans="1:16" s="17" customFormat="1" ht="33" customHeight="1">
      <c r="A578" s="605"/>
      <c r="B578" s="399"/>
      <c r="C578" s="4"/>
      <c r="D578" s="4"/>
      <c r="E578" s="291"/>
      <c r="F578" s="798"/>
      <c r="G578" s="16"/>
      <c r="H578" s="804"/>
      <c r="I578" s="798"/>
      <c r="J578" s="798"/>
      <c r="K578" s="125"/>
      <c r="L578" s="16"/>
      <c r="M578" s="8"/>
      <c r="N578" s="798"/>
      <c r="O578" s="432"/>
      <c r="P578" s="798"/>
    </row>
    <row r="579" spans="1:16" s="17" customFormat="1" ht="33" customHeight="1">
      <c r="A579" s="322" t="s">
        <v>0</v>
      </c>
      <c r="B579" s="323" t="s">
        <v>1</v>
      </c>
      <c r="C579" s="322" t="s">
        <v>2</v>
      </c>
      <c r="D579" s="322" t="s">
        <v>3</v>
      </c>
      <c r="E579" s="322" t="s">
        <v>4</v>
      </c>
      <c r="F579" s="322" t="s">
        <v>5</v>
      </c>
      <c r="G579" s="322" t="s">
        <v>6</v>
      </c>
      <c r="H579" s="324" t="s">
        <v>7</v>
      </c>
      <c r="I579" s="322" t="s">
        <v>8</v>
      </c>
      <c r="J579" s="322" t="s">
        <v>9</v>
      </c>
      <c r="K579" s="325" t="s">
        <v>10</v>
      </c>
      <c r="L579" s="326" t="s">
        <v>11</v>
      </c>
      <c r="M579" s="322" t="s">
        <v>12</v>
      </c>
      <c r="N579" s="327" t="s">
        <v>13</v>
      </c>
      <c r="O579" s="427" t="s">
        <v>63</v>
      </c>
      <c r="P579" s="322" t="s">
        <v>123</v>
      </c>
    </row>
    <row r="580" spans="1:16" s="17" customFormat="1" ht="33" customHeight="1">
      <c r="A580" s="603"/>
      <c r="B580" s="399"/>
      <c r="C580" s="4"/>
      <c r="D580" s="4"/>
      <c r="E580" s="798"/>
      <c r="F580" s="798"/>
      <c r="G580" s="16"/>
      <c r="H580" s="804"/>
      <c r="I580" s="798"/>
      <c r="J580" s="798"/>
      <c r="K580" s="125"/>
      <c r="L580" s="16"/>
      <c r="M580" s="8"/>
      <c r="N580" s="798"/>
      <c r="O580" s="431"/>
      <c r="P580" s="798"/>
    </row>
    <row r="581" spans="1:16" s="17" customFormat="1" ht="33" customHeight="1">
      <c r="A581" s="604"/>
      <c r="B581" s="399"/>
      <c r="C581" s="4"/>
      <c r="D581" s="4"/>
      <c r="E581" s="291"/>
      <c r="F581" s="798"/>
      <c r="G581" s="16"/>
      <c r="H581" s="804"/>
      <c r="I581" s="798"/>
      <c r="J581" s="798"/>
      <c r="K581" s="125"/>
      <c r="L581" s="16"/>
      <c r="M581" s="8"/>
      <c r="N581" s="798"/>
      <c r="O581" s="431"/>
      <c r="P581" s="798"/>
    </row>
    <row r="582" spans="1:16" s="17" customFormat="1" ht="33" customHeight="1">
      <c r="A582" s="604"/>
      <c r="B582" s="399"/>
      <c r="C582" s="4"/>
      <c r="D582" s="4"/>
      <c r="E582" s="798"/>
      <c r="F582" s="798"/>
      <c r="G582" s="16"/>
      <c r="H582" s="804"/>
      <c r="I582" s="798"/>
      <c r="J582" s="804"/>
      <c r="K582" s="125"/>
      <c r="L582" s="16"/>
      <c r="M582" s="8"/>
      <c r="N582" s="803"/>
      <c r="O582" s="430"/>
      <c r="P582" s="798"/>
    </row>
    <row r="583" spans="1:16" s="17" customFormat="1" ht="33" customHeight="1">
      <c r="A583" s="604"/>
      <c r="B583" s="399"/>
      <c r="C583" s="4"/>
      <c r="D583" s="4"/>
      <c r="E583" s="798"/>
      <c r="F583" s="798"/>
      <c r="G583" s="16"/>
      <c r="H583" s="804"/>
      <c r="I583" s="798"/>
      <c r="J583" s="804"/>
      <c r="K583" s="125"/>
      <c r="L583" s="16"/>
      <c r="M583" s="8"/>
      <c r="N583" s="803"/>
      <c r="O583" s="430"/>
      <c r="P583" s="798"/>
    </row>
    <row r="584" spans="1:16" s="17" customFormat="1" ht="33" customHeight="1">
      <c r="A584" s="604"/>
      <c r="B584" s="399"/>
      <c r="C584" s="4"/>
      <c r="D584" s="4"/>
      <c r="E584" s="798"/>
      <c r="F584" s="798"/>
      <c r="G584" s="16"/>
      <c r="H584" s="804"/>
      <c r="I584" s="798"/>
      <c r="J584" s="804"/>
      <c r="K584" s="125"/>
      <c r="L584" s="16"/>
      <c r="M584" s="8"/>
      <c r="N584" s="803"/>
      <c r="O584" s="430"/>
      <c r="P584" s="798"/>
    </row>
    <row r="585" spans="1:16" s="17" customFormat="1" ht="33" customHeight="1">
      <c r="A585" s="605"/>
      <c r="B585" s="399"/>
      <c r="C585" s="4"/>
      <c r="D585" s="4"/>
      <c r="E585" s="291"/>
      <c r="F585" s="798"/>
      <c r="G585" s="16"/>
      <c r="H585" s="804"/>
      <c r="I585" s="798"/>
      <c r="J585" s="798"/>
      <c r="K585" s="125"/>
      <c r="L585" s="16"/>
      <c r="M585" s="8"/>
      <c r="N585" s="798"/>
      <c r="O585" s="432"/>
      <c r="P585" s="798"/>
    </row>
    <row r="586" spans="1:16" s="17" customFormat="1" ht="33" customHeight="1">
      <c r="A586" s="322" t="s">
        <v>0</v>
      </c>
      <c r="B586" s="323" t="s">
        <v>1</v>
      </c>
      <c r="C586" s="322" t="s">
        <v>2</v>
      </c>
      <c r="D586" s="322" t="s">
        <v>3</v>
      </c>
      <c r="E586" s="322" t="s">
        <v>4</v>
      </c>
      <c r="F586" s="322" t="s">
        <v>5</v>
      </c>
      <c r="G586" s="322" t="s">
        <v>6</v>
      </c>
      <c r="H586" s="324" t="s">
        <v>7</v>
      </c>
      <c r="I586" s="322" t="s">
        <v>8</v>
      </c>
      <c r="J586" s="322" t="s">
        <v>9</v>
      </c>
      <c r="K586" s="325" t="s">
        <v>10</v>
      </c>
      <c r="L586" s="326" t="s">
        <v>11</v>
      </c>
      <c r="M586" s="322" t="s">
        <v>12</v>
      </c>
      <c r="N586" s="327" t="s">
        <v>13</v>
      </c>
      <c r="O586" s="427" t="s">
        <v>63</v>
      </c>
      <c r="P586" s="322" t="s">
        <v>123</v>
      </c>
    </row>
    <row r="587" spans="1:16" s="17" customFormat="1" ht="33" customHeight="1">
      <c r="A587" s="603"/>
      <c r="B587" s="399"/>
      <c r="C587" s="4"/>
      <c r="D587" s="4"/>
      <c r="E587" s="798"/>
      <c r="F587" s="798"/>
      <c r="G587" s="16"/>
      <c r="H587" s="804"/>
      <c r="I587" s="798"/>
      <c r="J587" s="798"/>
      <c r="K587" s="125"/>
      <c r="L587" s="16"/>
      <c r="M587" s="8"/>
      <c r="N587" s="798"/>
      <c r="O587" s="431"/>
      <c r="P587" s="798"/>
    </row>
    <row r="588" spans="1:16" s="17" customFormat="1" ht="33" customHeight="1">
      <c r="A588" s="604"/>
      <c r="B588" s="399"/>
      <c r="C588" s="4"/>
      <c r="D588" s="4"/>
      <c r="E588" s="291"/>
      <c r="F588" s="798"/>
      <c r="G588" s="16"/>
      <c r="H588" s="804"/>
      <c r="I588" s="798"/>
      <c r="J588" s="798"/>
      <c r="K588" s="125"/>
      <c r="L588" s="16"/>
      <c r="M588" s="8"/>
      <c r="N588" s="798"/>
      <c r="O588" s="431"/>
      <c r="P588" s="798"/>
    </row>
    <row r="589" spans="1:16" s="17" customFormat="1" ht="33" customHeight="1">
      <c r="A589" s="604"/>
      <c r="B589" s="399"/>
      <c r="C589" s="4"/>
      <c r="D589" s="4"/>
      <c r="E589" s="798"/>
      <c r="F589" s="798"/>
      <c r="G589" s="16"/>
      <c r="H589" s="804"/>
      <c r="I589" s="798"/>
      <c r="J589" s="804"/>
      <c r="K589" s="125"/>
      <c r="L589" s="16"/>
      <c r="M589" s="8"/>
      <c r="N589" s="803"/>
      <c r="O589" s="430"/>
      <c r="P589" s="798"/>
    </row>
    <row r="590" spans="1:16" s="17" customFormat="1" ht="33" customHeight="1">
      <c r="A590" s="604"/>
      <c r="B590" s="399"/>
      <c r="C590" s="4"/>
      <c r="D590" s="4"/>
      <c r="E590" s="798"/>
      <c r="F590" s="798"/>
      <c r="G590" s="16"/>
      <c r="H590" s="804"/>
      <c r="I590" s="798"/>
      <c r="J590" s="804"/>
      <c r="K590" s="125"/>
      <c r="L590" s="16"/>
      <c r="M590" s="8"/>
      <c r="N590" s="803"/>
      <c r="O590" s="430"/>
      <c r="P590" s="798"/>
    </row>
    <row r="591" spans="1:16" s="17" customFormat="1" ht="33" customHeight="1">
      <c r="A591" s="604"/>
      <c r="B591" s="399"/>
      <c r="C591" s="4"/>
      <c r="D591" s="4"/>
      <c r="E591" s="798"/>
      <c r="F591" s="798"/>
      <c r="G591" s="16"/>
      <c r="H591" s="804"/>
      <c r="I591" s="798"/>
      <c r="J591" s="804"/>
      <c r="K591" s="125"/>
      <c r="L591" s="16"/>
      <c r="M591" s="8"/>
      <c r="N591" s="803"/>
      <c r="O591" s="430"/>
      <c r="P591" s="798"/>
    </row>
    <row r="592" spans="1:16" s="17" customFormat="1" ht="33" customHeight="1">
      <c r="A592" s="605"/>
      <c r="B592" s="399"/>
      <c r="C592" s="4"/>
      <c r="D592" s="4"/>
      <c r="E592" s="291"/>
      <c r="F592" s="798"/>
      <c r="G592" s="16"/>
      <c r="H592" s="804"/>
      <c r="I592" s="798"/>
      <c r="J592" s="798"/>
      <c r="K592" s="125"/>
      <c r="L592" s="16"/>
      <c r="M592" s="8"/>
      <c r="N592" s="798"/>
      <c r="O592" s="432"/>
      <c r="P592" s="798"/>
    </row>
    <row r="593" spans="1:16" s="17" customFormat="1" ht="33" customHeight="1">
      <c r="A593" s="322" t="s">
        <v>0</v>
      </c>
      <c r="B593" s="323" t="s">
        <v>1</v>
      </c>
      <c r="C593" s="322" t="s">
        <v>2</v>
      </c>
      <c r="D593" s="322" t="s">
        <v>3</v>
      </c>
      <c r="E593" s="322" t="s">
        <v>4</v>
      </c>
      <c r="F593" s="322" t="s">
        <v>5</v>
      </c>
      <c r="G593" s="322" t="s">
        <v>6</v>
      </c>
      <c r="H593" s="324" t="s">
        <v>7</v>
      </c>
      <c r="I593" s="322" t="s">
        <v>8</v>
      </c>
      <c r="J593" s="322" t="s">
        <v>9</v>
      </c>
      <c r="K593" s="325" t="s">
        <v>10</v>
      </c>
      <c r="L593" s="326" t="s">
        <v>11</v>
      </c>
      <c r="M593" s="322" t="s">
        <v>12</v>
      </c>
      <c r="N593" s="327" t="s">
        <v>13</v>
      </c>
      <c r="O593" s="427" t="s">
        <v>63</v>
      </c>
      <c r="P593" s="322" t="s">
        <v>123</v>
      </c>
    </row>
    <row r="594" spans="1:16" s="17" customFormat="1" ht="33" customHeight="1">
      <c r="A594" s="603"/>
      <c r="B594" s="399"/>
      <c r="C594" s="4"/>
      <c r="D594" s="4"/>
      <c r="E594" s="798"/>
      <c r="F594" s="798"/>
      <c r="G594" s="16"/>
      <c r="H594" s="804"/>
      <c r="I594" s="798"/>
      <c r="J594" s="798"/>
      <c r="K594" s="125"/>
      <c r="L594" s="16"/>
      <c r="M594" s="8"/>
      <c r="N594" s="798"/>
      <c r="O594" s="431"/>
      <c r="P594" s="798"/>
    </row>
    <row r="595" spans="1:16" s="17" customFormat="1" ht="33" customHeight="1">
      <c r="A595" s="604"/>
      <c r="B595" s="399"/>
      <c r="C595" s="4"/>
      <c r="D595" s="4"/>
      <c r="E595" s="291"/>
      <c r="F595" s="798"/>
      <c r="G595" s="16"/>
      <c r="H595" s="804"/>
      <c r="I595" s="798"/>
      <c r="J595" s="798"/>
      <c r="K595" s="125"/>
      <c r="L595" s="16"/>
      <c r="M595" s="8"/>
      <c r="N595" s="798"/>
      <c r="O595" s="431"/>
      <c r="P595" s="798"/>
    </row>
    <row r="596" spans="1:16" s="17" customFormat="1" ht="33" customHeight="1">
      <c r="A596" s="604"/>
      <c r="B596" s="399"/>
      <c r="C596" s="4"/>
      <c r="D596" s="4"/>
      <c r="E596" s="798"/>
      <c r="F596" s="798"/>
      <c r="G596" s="16"/>
      <c r="H596" s="804"/>
      <c r="I596" s="798"/>
      <c r="J596" s="804"/>
      <c r="K596" s="125"/>
      <c r="L596" s="16"/>
      <c r="M596" s="8"/>
      <c r="N596" s="803"/>
      <c r="O596" s="430"/>
      <c r="P596" s="798"/>
    </row>
    <row r="597" spans="1:16" s="17" customFormat="1" ht="33" customHeight="1">
      <c r="A597" s="604"/>
      <c r="B597" s="399"/>
      <c r="C597" s="4"/>
      <c r="D597" s="4"/>
      <c r="E597" s="798"/>
      <c r="F597" s="798"/>
      <c r="G597" s="16"/>
      <c r="H597" s="804"/>
      <c r="I597" s="798"/>
      <c r="J597" s="804"/>
      <c r="K597" s="125"/>
      <c r="L597" s="16"/>
      <c r="M597" s="8"/>
      <c r="N597" s="803"/>
      <c r="O597" s="430"/>
      <c r="P597" s="798"/>
    </row>
    <row r="598" spans="1:16" s="17" customFormat="1" ht="33" customHeight="1">
      <c r="A598" s="604"/>
      <c r="B598" s="399"/>
      <c r="C598" s="4"/>
      <c r="D598" s="4"/>
      <c r="E598" s="798"/>
      <c r="F598" s="798"/>
      <c r="G598" s="16"/>
      <c r="H598" s="804"/>
      <c r="I598" s="798"/>
      <c r="J598" s="804"/>
      <c r="K598" s="125"/>
      <c r="L598" s="16"/>
      <c r="M598" s="8"/>
      <c r="N598" s="803"/>
      <c r="O598" s="430"/>
      <c r="P598" s="798"/>
    </row>
    <row r="599" spans="1:16" s="17" customFormat="1" ht="33" customHeight="1">
      <c r="A599" s="605"/>
      <c r="B599" s="399"/>
      <c r="C599" s="4"/>
      <c r="D599" s="4"/>
      <c r="E599" s="291"/>
      <c r="F599" s="798"/>
      <c r="G599" s="16"/>
      <c r="H599" s="804"/>
      <c r="I599" s="798"/>
      <c r="J599" s="798"/>
      <c r="K599" s="125"/>
      <c r="L599" s="16"/>
      <c r="M599" s="8"/>
      <c r="N599" s="798"/>
      <c r="O599" s="432"/>
      <c r="P599" s="798"/>
    </row>
    <row r="600" spans="1:16" s="17" customFormat="1" ht="33" customHeight="1">
      <c r="A600" s="322" t="s">
        <v>0</v>
      </c>
      <c r="B600" s="323" t="s">
        <v>1</v>
      </c>
      <c r="C600" s="322" t="s">
        <v>2</v>
      </c>
      <c r="D600" s="322" t="s">
        <v>3</v>
      </c>
      <c r="E600" s="322" t="s">
        <v>4</v>
      </c>
      <c r="F600" s="322" t="s">
        <v>5</v>
      </c>
      <c r="G600" s="322" t="s">
        <v>6</v>
      </c>
      <c r="H600" s="324" t="s">
        <v>7</v>
      </c>
      <c r="I600" s="322" t="s">
        <v>8</v>
      </c>
      <c r="J600" s="322" t="s">
        <v>9</v>
      </c>
      <c r="K600" s="325" t="s">
        <v>10</v>
      </c>
      <c r="L600" s="326" t="s">
        <v>11</v>
      </c>
      <c r="M600" s="322" t="s">
        <v>12</v>
      </c>
      <c r="N600" s="327" t="s">
        <v>13</v>
      </c>
      <c r="O600" s="427" t="s">
        <v>63</v>
      </c>
      <c r="P600" s="322" t="s">
        <v>123</v>
      </c>
    </row>
    <row r="601" spans="1:16" s="17" customFormat="1" ht="33" customHeight="1">
      <c r="A601" s="603"/>
      <c r="B601" s="399"/>
      <c r="C601" s="4"/>
      <c r="D601" s="4"/>
      <c r="E601" s="798"/>
      <c r="F601" s="798"/>
      <c r="G601" s="16"/>
      <c r="H601" s="804"/>
      <c r="I601" s="798"/>
      <c r="J601" s="798"/>
      <c r="K601" s="125"/>
      <c r="L601" s="16"/>
      <c r="M601" s="8"/>
      <c r="N601" s="798"/>
      <c r="O601" s="431"/>
      <c r="P601" s="798"/>
    </row>
    <row r="602" spans="1:16" s="17" customFormat="1" ht="33" customHeight="1">
      <c r="A602" s="604"/>
      <c r="B602" s="399"/>
      <c r="C602" s="4"/>
      <c r="D602" s="4"/>
      <c r="E602" s="291"/>
      <c r="F602" s="798"/>
      <c r="G602" s="16"/>
      <c r="H602" s="804"/>
      <c r="I602" s="798"/>
      <c r="J602" s="798"/>
      <c r="K602" s="125"/>
      <c r="L602" s="16"/>
      <c r="M602" s="8"/>
      <c r="N602" s="798"/>
      <c r="O602" s="431"/>
      <c r="P602" s="798"/>
    </row>
    <row r="603" spans="1:16" s="17" customFormat="1" ht="33" customHeight="1">
      <c r="A603" s="604"/>
      <c r="B603" s="399"/>
      <c r="C603" s="4"/>
      <c r="D603" s="4"/>
      <c r="E603" s="798"/>
      <c r="F603" s="798"/>
      <c r="G603" s="16"/>
      <c r="H603" s="804"/>
      <c r="I603" s="798"/>
      <c r="J603" s="804"/>
      <c r="K603" s="125"/>
      <c r="L603" s="16"/>
      <c r="M603" s="8"/>
      <c r="N603" s="803"/>
      <c r="O603" s="430"/>
      <c r="P603" s="798"/>
    </row>
    <row r="604" spans="1:16" s="17" customFormat="1" ht="33" customHeight="1">
      <c r="A604" s="604"/>
      <c r="B604" s="399"/>
      <c r="C604" s="4"/>
      <c r="D604" s="4"/>
      <c r="E604" s="798"/>
      <c r="F604" s="798"/>
      <c r="G604" s="16"/>
      <c r="H604" s="804"/>
      <c r="I604" s="798"/>
      <c r="J604" s="804"/>
      <c r="K604" s="125"/>
      <c r="L604" s="16"/>
      <c r="M604" s="8"/>
      <c r="N604" s="803"/>
      <c r="O604" s="430"/>
      <c r="P604" s="798"/>
    </row>
    <row r="605" spans="1:16" s="17" customFormat="1" ht="33" customHeight="1">
      <c r="A605" s="604"/>
      <c r="B605" s="399"/>
      <c r="C605" s="4"/>
      <c r="D605" s="4"/>
      <c r="E605" s="798"/>
      <c r="F605" s="798"/>
      <c r="G605" s="16"/>
      <c r="H605" s="804"/>
      <c r="I605" s="798"/>
      <c r="J605" s="804"/>
      <c r="K605" s="125"/>
      <c r="L605" s="16"/>
      <c r="M605" s="8"/>
      <c r="N605" s="803"/>
      <c r="O605" s="430"/>
      <c r="P605" s="798"/>
    </row>
    <row r="606" spans="1:16" s="17" customFormat="1" ht="33" customHeight="1">
      <c r="A606" s="605"/>
      <c r="B606" s="399"/>
      <c r="C606" s="4"/>
      <c r="D606" s="4"/>
      <c r="E606" s="291"/>
      <c r="F606" s="798"/>
      <c r="G606" s="16"/>
      <c r="H606" s="804"/>
      <c r="I606" s="798"/>
      <c r="J606" s="798"/>
      <c r="K606" s="125"/>
      <c r="L606" s="16"/>
      <c r="M606" s="8"/>
      <c r="N606" s="798"/>
      <c r="O606" s="432"/>
      <c r="P606" s="798"/>
    </row>
  </sheetData>
  <mergeCells count="18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A510:A511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69"/>
  <sheetViews>
    <sheetView zoomScaleNormal="100" zoomScaleSheetLayoutView="115" workbookViewId="0">
      <pane ySplit="2" topLeftCell="A1555" activePane="bottomLeft" state="frozen"/>
      <selection pane="bottomLeft" activeCell="F1572" sqref="F1572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99" t="s">
        <v>161</v>
      </c>
      <c r="B1" s="999" t="s">
        <v>162</v>
      </c>
      <c r="C1" s="997" t="s">
        <v>1</v>
      </c>
      <c r="D1" s="997" t="s">
        <v>2</v>
      </c>
      <c r="E1" s="997" t="s">
        <v>3</v>
      </c>
      <c r="F1" s="27" t="s">
        <v>54</v>
      </c>
      <c r="G1" s="997" t="s">
        <v>5</v>
      </c>
      <c r="H1" s="997" t="s">
        <v>6</v>
      </c>
      <c r="I1" s="997" t="s">
        <v>7</v>
      </c>
      <c r="J1" s="997" t="s">
        <v>55</v>
      </c>
      <c r="K1" s="1001" t="s">
        <v>483</v>
      </c>
      <c r="L1" s="1003" t="s">
        <v>56</v>
      </c>
      <c r="M1" s="995" t="s">
        <v>57</v>
      </c>
      <c r="N1" s="997" t="s">
        <v>58</v>
      </c>
    </row>
    <row r="2" spans="1:14">
      <c r="A2" s="1000"/>
      <c r="B2" s="1000"/>
      <c r="C2" s="998"/>
      <c r="D2" s="998"/>
      <c r="E2" s="998"/>
      <c r="F2" s="28" t="s">
        <v>59</v>
      </c>
      <c r="G2" s="998"/>
      <c r="H2" s="998"/>
      <c r="I2" s="998"/>
      <c r="J2" s="998"/>
      <c r="K2" s="1002"/>
      <c r="L2" s="1004"/>
      <c r="M2" s="996"/>
      <c r="N2" s="998"/>
    </row>
    <row r="3" spans="1:14" ht="27">
      <c r="A3" s="55">
        <v>1</v>
      </c>
      <c r="B3" s="958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74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59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79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80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958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74"/>
      <c r="C9" s="1005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74"/>
      <c r="C10" s="100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74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74"/>
      <c r="C12" s="1005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74"/>
      <c r="C13" s="1007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74"/>
      <c r="C14" s="1006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74"/>
      <c r="C15" s="1005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74"/>
      <c r="C16" s="1006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59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79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80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958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59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79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80"/>
    </row>
    <row r="24" spans="1:17" ht="27">
      <c r="A24" s="55">
        <v>4</v>
      </c>
      <c r="B24" s="958" t="s">
        <v>21</v>
      </c>
      <c r="C24" s="956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64" t="s">
        <v>85</v>
      </c>
      <c r="K24" s="981" t="s">
        <v>41</v>
      </c>
      <c r="L24" s="6" t="s">
        <v>15</v>
      </c>
      <c r="M24" s="986">
        <v>180000</v>
      </c>
      <c r="N24" s="45" t="s">
        <v>194</v>
      </c>
    </row>
    <row r="25" spans="1:17" ht="27">
      <c r="A25" s="55">
        <v>4</v>
      </c>
      <c r="B25" s="974"/>
      <c r="C25" s="957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65"/>
      <c r="K25" s="982"/>
      <c r="L25" s="6" t="s">
        <v>15</v>
      </c>
      <c r="M25" s="987"/>
      <c r="N25" s="45" t="s">
        <v>194</v>
      </c>
    </row>
    <row r="26" spans="1:17">
      <c r="A26" s="55">
        <v>4</v>
      </c>
      <c r="B26" s="974"/>
      <c r="C26" s="956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64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59"/>
      <c r="C27" s="957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65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58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74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74"/>
      <c r="C32" s="956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74"/>
      <c r="C33" s="957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59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958" t="s">
        <v>20</v>
      </c>
      <c r="C35" s="956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59"/>
      <c r="C36" s="957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958" t="s">
        <v>20</v>
      </c>
      <c r="C37" s="956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59"/>
      <c r="C38" s="957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92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93"/>
      <c r="C40" s="956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93"/>
      <c r="C41" s="957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94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83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84"/>
      <c r="C45" s="983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84"/>
      <c r="C46" s="990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85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88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91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91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89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88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89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958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74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59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83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84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85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958" t="s">
        <v>64</v>
      </c>
      <c r="C67" s="956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81" t="s">
        <v>435</v>
      </c>
      <c r="L67" s="6" t="s">
        <v>436</v>
      </c>
      <c r="M67" s="986">
        <v>750000</v>
      </c>
      <c r="N67" s="45" t="s">
        <v>446</v>
      </c>
    </row>
    <row r="68" spans="1:15" ht="27">
      <c r="A68" s="55">
        <v>19</v>
      </c>
      <c r="B68" s="974"/>
      <c r="C68" s="978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82"/>
      <c r="L68" s="6" t="s">
        <v>411</v>
      </c>
      <c r="M68" s="987"/>
      <c r="N68" s="45" t="s">
        <v>445</v>
      </c>
    </row>
    <row r="69" spans="1:15">
      <c r="A69" s="55">
        <v>19</v>
      </c>
      <c r="B69" s="974"/>
      <c r="C69" s="957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74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59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958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74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74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74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59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958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74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59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958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59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958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74"/>
      <c r="C83" s="956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74"/>
      <c r="C84" s="957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74"/>
      <c r="C85" s="956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74"/>
      <c r="C86" s="957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74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74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59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958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59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58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74"/>
      <c r="C93" s="956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74"/>
      <c r="C94" s="978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74"/>
      <c r="C95" s="957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74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59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58" t="s">
        <v>21</v>
      </c>
      <c r="C99" s="956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74"/>
      <c r="C100" s="957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74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74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59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958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74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74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59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958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59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975" t="s">
        <v>658</v>
      </c>
      <c r="C110" s="975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76"/>
      <c r="C111" s="1008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76"/>
      <c r="C112" s="1009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1008"/>
      <c r="C113" s="1008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1009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76"/>
      <c r="C115" s="975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977"/>
      <c r="C116" s="1008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958" t="s">
        <v>20</v>
      </c>
      <c r="C117" s="1018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64" t="s">
        <v>168</v>
      </c>
      <c r="K117" s="981" t="s">
        <v>645</v>
      </c>
      <c r="L117" s="57" t="s">
        <v>209</v>
      </c>
      <c r="M117" s="1010">
        <f>250000*5</f>
        <v>1250000</v>
      </c>
      <c r="N117" s="958" t="s">
        <v>121</v>
      </c>
    </row>
    <row r="118" spans="1:14">
      <c r="A118" s="101">
        <v>28</v>
      </c>
      <c r="B118" s="974"/>
      <c r="C118" s="978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20"/>
      <c r="K118" s="1019"/>
      <c r="L118" s="57" t="s">
        <v>209</v>
      </c>
      <c r="M118" s="1011"/>
      <c r="N118" s="974"/>
    </row>
    <row r="119" spans="1:14">
      <c r="A119" s="101">
        <v>28</v>
      </c>
      <c r="B119" s="974"/>
      <c r="C119" s="978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65"/>
      <c r="K119" s="982"/>
      <c r="L119" s="57" t="s">
        <v>209</v>
      </c>
      <c r="M119" s="1012"/>
      <c r="N119" s="959"/>
    </row>
    <row r="120" spans="1:14">
      <c r="A120" s="101">
        <v>28</v>
      </c>
      <c r="B120" s="959"/>
      <c r="C120" s="957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975" t="s">
        <v>307</v>
      </c>
      <c r="C122" s="975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76"/>
      <c r="C123" s="976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75" t="s">
        <v>664</v>
      </c>
      <c r="K123" s="983" t="s">
        <v>707</v>
      </c>
      <c r="L123" s="110" t="s">
        <v>324</v>
      </c>
      <c r="M123" s="1013" t="s">
        <v>708</v>
      </c>
      <c r="N123" s="110"/>
    </row>
    <row r="124" spans="1:14">
      <c r="A124" s="55">
        <v>29</v>
      </c>
      <c r="B124" s="976"/>
      <c r="C124" s="976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76"/>
      <c r="K124" s="984"/>
      <c r="L124" s="110" t="s">
        <v>324</v>
      </c>
      <c r="M124" s="1014"/>
      <c r="N124" s="110"/>
    </row>
    <row r="125" spans="1:14">
      <c r="A125" s="55">
        <v>29</v>
      </c>
      <c r="B125" s="976"/>
      <c r="C125" s="976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77"/>
      <c r="K125" s="985"/>
      <c r="L125" s="110" t="s">
        <v>324</v>
      </c>
      <c r="M125" s="1015"/>
      <c r="N125" s="110"/>
    </row>
    <row r="126" spans="1:14">
      <c r="A126" s="55">
        <v>29</v>
      </c>
      <c r="B126" s="977"/>
      <c r="C126" s="977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975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76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76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76"/>
      <c r="C130" s="975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76"/>
      <c r="C131" s="977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76"/>
      <c r="C132" s="975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76"/>
      <c r="C133" s="977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977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958" t="s">
        <v>618</v>
      </c>
      <c r="C135" s="956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74"/>
      <c r="C136" s="978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74"/>
      <c r="C137" s="978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59"/>
      <c r="C138" s="957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958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74"/>
      <c r="C140" s="956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74"/>
      <c r="C141" s="957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58" t="s">
        <v>735</v>
      </c>
    </row>
    <row r="142" spans="1:14">
      <c r="A142" s="55">
        <v>30</v>
      </c>
      <c r="B142" s="959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59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958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59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958" t="s">
        <v>20</v>
      </c>
      <c r="C146" s="956" t="s">
        <v>869</v>
      </c>
      <c r="D146" s="981" t="s">
        <v>19</v>
      </c>
      <c r="E146" s="101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59"/>
      <c r="C147" s="957"/>
      <c r="D147" s="982"/>
      <c r="E147" s="101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958" t="s">
        <v>123</v>
      </c>
      <c r="C148" s="956" t="s">
        <v>782</v>
      </c>
      <c r="D148" s="981" t="s">
        <v>19</v>
      </c>
      <c r="E148" s="101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59"/>
      <c r="C149" s="957"/>
      <c r="D149" s="982"/>
      <c r="E149" s="101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958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74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59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958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58" t="s">
        <v>247</v>
      </c>
    </row>
    <row r="154" spans="1:14" ht="27">
      <c r="A154" s="55">
        <v>34</v>
      </c>
      <c r="B154" s="974"/>
      <c r="C154" s="956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74"/>
    </row>
    <row r="155" spans="1:14" ht="27">
      <c r="A155" s="55">
        <v>34</v>
      </c>
      <c r="B155" s="974"/>
      <c r="C155" s="957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59"/>
    </row>
    <row r="156" spans="1:14" ht="27">
      <c r="A156" s="55">
        <v>34</v>
      </c>
      <c r="B156" s="974"/>
      <c r="C156" s="956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58" t="s">
        <v>825</v>
      </c>
    </row>
    <row r="157" spans="1:14" ht="27">
      <c r="A157" s="55">
        <v>34</v>
      </c>
      <c r="B157" s="974"/>
      <c r="C157" s="957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74"/>
    </row>
    <row r="158" spans="1:14" ht="27">
      <c r="A158" s="55">
        <v>34</v>
      </c>
      <c r="B158" s="974"/>
      <c r="C158" s="956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74"/>
    </row>
    <row r="159" spans="1:14" ht="27">
      <c r="A159" s="55">
        <v>34</v>
      </c>
      <c r="B159" s="974"/>
      <c r="C159" s="957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74"/>
    </row>
    <row r="160" spans="1:14" ht="27">
      <c r="A160" s="55">
        <v>34</v>
      </c>
      <c r="B160" s="974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74"/>
    </row>
    <row r="161" spans="1:15" ht="27">
      <c r="A161" s="55">
        <v>34</v>
      </c>
      <c r="B161" s="974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59"/>
    </row>
    <row r="162" spans="1:15" ht="27">
      <c r="A162" s="55">
        <v>34</v>
      </c>
      <c r="B162" s="959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958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74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74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59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934" t="s">
        <v>849</v>
      </c>
      <c r="C167" s="925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935"/>
      <c r="C168" s="926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935"/>
      <c r="C169" s="926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936"/>
      <c r="C170" s="927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934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935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935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935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936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934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935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935"/>
      <c r="C178" s="925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936"/>
      <c r="C179" s="927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934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935"/>
      <c r="C181" s="956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64" t="s">
        <v>838</v>
      </c>
      <c r="K181" s="981" t="s">
        <v>985</v>
      </c>
      <c r="L181" s="6" t="s">
        <v>910</v>
      </c>
      <c r="M181" s="1010">
        <f>180000+200000+200000</f>
        <v>580000</v>
      </c>
      <c r="N181" s="45" t="s">
        <v>806</v>
      </c>
    </row>
    <row r="182" spans="1:14">
      <c r="A182" s="55">
        <v>36</v>
      </c>
      <c r="B182" s="935"/>
      <c r="C182" s="978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65"/>
      <c r="K182" s="982"/>
      <c r="L182" s="6" t="s">
        <v>911</v>
      </c>
      <c r="M182" s="1012"/>
      <c r="N182" s="45" t="s">
        <v>806</v>
      </c>
    </row>
    <row r="183" spans="1:14">
      <c r="A183" s="55">
        <v>36</v>
      </c>
      <c r="B183" s="935"/>
      <c r="C183" s="957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936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934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935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935"/>
      <c r="C187" s="925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936"/>
      <c r="C188" s="927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934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935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936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934" t="s">
        <v>939</v>
      </c>
      <c r="C192" s="925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935"/>
      <c r="C193" s="927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936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934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935"/>
      <c r="C196" s="956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935"/>
      <c r="C197" s="957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935"/>
      <c r="C198" s="956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936"/>
      <c r="C199" s="957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934" t="s">
        <v>20</v>
      </c>
      <c r="C200" s="925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935"/>
      <c r="C201" s="927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935"/>
      <c r="C202" s="925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936"/>
      <c r="C203" s="927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934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935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936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934" t="s">
        <v>20</v>
      </c>
      <c r="C207" s="925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935"/>
      <c r="C208" s="927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936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934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936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934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935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936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934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935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936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934" t="s">
        <v>20</v>
      </c>
      <c r="C218" s="925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935"/>
      <c r="C219" s="927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936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934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935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936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934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935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58" t="s">
        <v>247</v>
      </c>
    </row>
    <row r="226" spans="1:14">
      <c r="A226" s="55">
        <v>44</v>
      </c>
      <c r="B226" s="935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74"/>
    </row>
    <row r="227" spans="1:14">
      <c r="A227" s="55">
        <v>44</v>
      </c>
      <c r="B227" s="936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59"/>
    </row>
    <row r="228" spans="1:14">
      <c r="A228" s="55">
        <v>44</v>
      </c>
      <c r="B228" s="934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936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934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935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935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936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934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936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934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935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936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934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935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936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934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936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934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936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934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935"/>
      <c r="C249" s="925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58" t="s">
        <v>247</v>
      </c>
    </row>
    <row r="250" spans="1:14">
      <c r="A250" s="55">
        <v>48</v>
      </c>
      <c r="B250" s="936"/>
      <c r="C250" s="927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59"/>
    </row>
    <row r="251" spans="1:14">
      <c r="A251" s="55">
        <v>48</v>
      </c>
      <c r="B251" s="934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935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935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936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934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935"/>
      <c r="C256" s="925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58" t="s">
        <v>247</v>
      </c>
    </row>
    <row r="257" spans="1:14">
      <c r="A257" s="55">
        <v>49</v>
      </c>
      <c r="B257" s="936"/>
      <c r="C257" s="927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59"/>
    </row>
    <row r="258" spans="1:14" ht="40.5">
      <c r="A258" s="55">
        <v>49</v>
      </c>
      <c r="B258" s="934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936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947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948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45" t="s">
        <v>1103</v>
      </c>
    </row>
    <row r="262" spans="1:14" ht="25.5">
      <c r="A262" s="132">
        <v>49</v>
      </c>
      <c r="B262" s="949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46"/>
    </row>
    <row r="263" spans="1:14" ht="16.5" customHeight="1">
      <c r="A263" s="55">
        <v>50</v>
      </c>
      <c r="B263" s="934" t="s">
        <v>20</v>
      </c>
      <c r="C263" s="925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935"/>
      <c r="C264" s="926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935"/>
      <c r="C265" s="926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935"/>
      <c r="C266" s="926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936"/>
      <c r="C267" s="927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947" t="s">
        <v>658</v>
      </c>
      <c r="C268" s="94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948"/>
      <c r="C269" s="973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949"/>
      <c r="C270" s="94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934" t="s">
        <v>20</v>
      </c>
      <c r="C271" s="925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935"/>
      <c r="C272" s="926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935"/>
      <c r="C273" s="927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935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935"/>
      <c r="C275" s="925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935"/>
      <c r="C276" s="927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936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968" t="s">
        <v>1196</v>
      </c>
      <c r="B278" s="969"/>
      <c r="C278" s="969"/>
      <c r="D278" s="969"/>
      <c r="E278" s="969"/>
      <c r="F278" s="969"/>
      <c r="G278" s="969"/>
      <c r="H278" s="969"/>
      <c r="I278" s="969"/>
      <c r="J278" s="969"/>
      <c r="K278" s="969"/>
      <c r="L278" s="969"/>
      <c r="M278" s="969"/>
      <c r="N278" s="970"/>
    </row>
    <row r="279" spans="1:15" ht="16.5" customHeight="1">
      <c r="A279" s="55">
        <v>1</v>
      </c>
      <c r="B279" s="934" t="s">
        <v>20</v>
      </c>
      <c r="C279" s="925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936"/>
      <c r="C280" s="927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934" t="s">
        <v>64</v>
      </c>
      <c r="C281" s="925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935"/>
      <c r="C282" s="927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935"/>
      <c r="C283" s="925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64" t="s">
        <v>1174</v>
      </c>
      <c r="K283" s="966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935"/>
      <c r="C284" s="927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65"/>
      <c r="K284" s="967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935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936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71" t="s">
        <v>123</v>
      </c>
      <c r="C287" s="94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972"/>
      <c r="C288" s="94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947" t="s">
        <v>64</v>
      </c>
      <c r="C289" s="94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948"/>
      <c r="C290" s="962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948"/>
      <c r="C291" s="963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45" t="s">
        <v>638</v>
      </c>
      <c r="K291" s="960" t="s">
        <v>671</v>
      </c>
      <c r="L291" s="148" t="s">
        <v>309</v>
      </c>
      <c r="M291" s="954" t="s">
        <v>672</v>
      </c>
      <c r="N291" s="148" t="s">
        <v>723</v>
      </c>
    </row>
    <row r="292" spans="1:15">
      <c r="A292" s="55">
        <v>2</v>
      </c>
      <c r="B292" s="948"/>
      <c r="C292" s="962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46"/>
      <c r="K292" s="961"/>
      <c r="L292" s="148" t="s">
        <v>309</v>
      </c>
      <c r="M292" s="955"/>
      <c r="N292" s="148" t="s">
        <v>723</v>
      </c>
    </row>
    <row r="293" spans="1:15">
      <c r="A293" s="55">
        <v>2</v>
      </c>
      <c r="B293" s="948"/>
      <c r="C293" s="963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948"/>
      <c r="C294" s="94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949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934" t="s">
        <v>20</v>
      </c>
      <c r="C296" s="925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935"/>
      <c r="C297" s="926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936"/>
      <c r="C298" s="927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934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935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936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934" t="s">
        <v>20</v>
      </c>
      <c r="C302" s="925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935"/>
      <c r="C303" s="926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935"/>
      <c r="C304" s="926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935"/>
      <c r="C305" s="926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936"/>
      <c r="C306" s="927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934" t="s">
        <v>20</v>
      </c>
      <c r="C308" s="925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936"/>
      <c r="C309" s="927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934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935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936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947" t="s">
        <v>307</v>
      </c>
      <c r="C313" s="94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949"/>
      <c r="C314" s="94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934" t="s">
        <v>20</v>
      </c>
      <c r="C316" s="925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935"/>
      <c r="C317" s="926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936"/>
      <c r="C318" s="927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934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935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936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934" t="s">
        <v>20</v>
      </c>
      <c r="C322" s="925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936"/>
      <c r="C323" s="927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934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935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935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935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936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934" t="s">
        <v>20</v>
      </c>
      <c r="C329" s="925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935"/>
      <c r="C330" s="926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936"/>
      <c r="C331" s="927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934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936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934" t="s">
        <v>20</v>
      </c>
      <c r="C334" s="925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935"/>
      <c r="C335" s="926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935"/>
      <c r="C336" s="926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936"/>
      <c r="C337" s="927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934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935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935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936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934" t="s">
        <v>20</v>
      </c>
      <c r="C342" s="925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935"/>
      <c r="C343" s="927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936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934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935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935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935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935"/>
      <c r="C349" s="956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936"/>
      <c r="C350" s="957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947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948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948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948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949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947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948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948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949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934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935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936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934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935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935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935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935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936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934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935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935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936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934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936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947" t="s">
        <v>307</v>
      </c>
      <c r="C375" s="128" t="s">
        <v>1531</v>
      </c>
      <c r="D375" s="945" t="s">
        <v>306</v>
      </c>
      <c r="E375" s="945" t="s">
        <v>322</v>
      </c>
      <c r="F375" s="945" t="s">
        <v>307</v>
      </c>
      <c r="G375" s="950">
        <v>4266</v>
      </c>
      <c r="H375" s="945" t="s">
        <v>640</v>
      </c>
      <c r="I375" s="950" t="s">
        <v>1533</v>
      </c>
      <c r="J375" s="945" t="s">
        <v>1534</v>
      </c>
      <c r="K375" s="952" t="s">
        <v>692</v>
      </c>
      <c r="L375" s="945" t="s">
        <v>324</v>
      </c>
      <c r="M375" s="954" t="s">
        <v>1535</v>
      </c>
      <c r="N375" s="945" t="s">
        <v>425</v>
      </c>
    </row>
    <row r="376" spans="1:19">
      <c r="A376" s="199" t="s">
        <v>1539</v>
      </c>
      <c r="B376" s="948"/>
      <c r="C376" s="129" t="s">
        <v>1532</v>
      </c>
      <c r="D376" s="946"/>
      <c r="E376" s="946"/>
      <c r="F376" s="946"/>
      <c r="G376" s="951"/>
      <c r="H376" s="946"/>
      <c r="I376" s="951"/>
      <c r="J376" s="946"/>
      <c r="K376" s="953"/>
      <c r="L376" s="946"/>
      <c r="M376" s="955"/>
      <c r="N376" s="946"/>
    </row>
    <row r="377" spans="1:19">
      <c r="A377" s="199" t="s">
        <v>1539</v>
      </c>
      <c r="B377" s="948"/>
      <c r="C377" s="128" t="s">
        <v>1536</v>
      </c>
      <c r="D377" s="945" t="s">
        <v>306</v>
      </c>
      <c r="E377" s="945" t="s">
        <v>322</v>
      </c>
      <c r="F377" s="945" t="s">
        <v>307</v>
      </c>
      <c r="G377" s="950">
        <v>3306</v>
      </c>
      <c r="H377" s="945" t="s">
        <v>1153</v>
      </c>
      <c r="I377" s="950" t="s">
        <v>1538</v>
      </c>
      <c r="J377" s="945" t="s">
        <v>1534</v>
      </c>
      <c r="K377" s="952" t="s">
        <v>692</v>
      </c>
      <c r="L377" s="945" t="s">
        <v>324</v>
      </c>
      <c r="M377" s="954" t="s">
        <v>1535</v>
      </c>
      <c r="N377" s="945" t="s">
        <v>425</v>
      </c>
    </row>
    <row r="378" spans="1:19">
      <c r="A378" s="199" t="s">
        <v>1539</v>
      </c>
      <c r="B378" s="949"/>
      <c r="C378" s="129" t="s">
        <v>1537</v>
      </c>
      <c r="D378" s="946"/>
      <c r="E378" s="946"/>
      <c r="F378" s="946"/>
      <c r="G378" s="951"/>
      <c r="H378" s="946"/>
      <c r="I378" s="951"/>
      <c r="J378" s="946"/>
      <c r="K378" s="953"/>
      <c r="L378" s="946"/>
      <c r="M378" s="955"/>
      <c r="N378" s="946"/>
    </row>
    <row r="379" spans="1:19" ht="27" customHeight="1">
      <c r="A379" s="123">
        <v>15</v>
      </c>
      <c r="B379" s="934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935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935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936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934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936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934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935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935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936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934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935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935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936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934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935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936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934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935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935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935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935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935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936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922" t="s">
        <v>1782</v>
      </c>
      <c r="C403" s="226" t="s">
        <v>1748</v>
      </c>
      <c r="D403" s="939" t="s">
        <v>306</v>
      </c>
      <c r="E403" s="939" t="s">
        <v>322</v>
      </c>
      <c r="F403" s="939" t="s">
        <v>307</v>
      </c>
      <c r="G403" s="941">
        <v>3306</v>
      </c>
      <c r="H403" s="939" t="s">
        <v>1153</v>
      </c>
      <c r="I403" s="941" t="s">
        <v>1749</v>
      </c>
      <c r="J403" s="939" t="s">
        <v>664</v>
      </c>
      <c r="K403" s="943" t="s">
        <v>1288</v>
      </c>
      <c r="L403" s="939" t="s">
        <v>324</v>
      </c>
      <c r="M403" s="937" t="s">
        <v>1750</v>
      </c>
      <c r="N403" s="939" t="s">
        <v>665</v>
      </c>
    </row>
    <row r="404" spans="1:14">
      <c r="A404" s="123">
        <v>18</v>
      </c>
      <c r="B404" s="923"/>
      <c r="C404" s="226" t="s">
        <v>1751</v>
      </c>
      <c r="D404" s="940"/>
      <c r="E404" s="940"/>
      <c r="F404" s="940"/>
      <c r="G404" s="942"/>
      <c r="H404" s="940"/>
      <c r="I404" s="942"/>
      <c r="J404" s="940"/>
      <c r="K404" s="944"/>
      <c r="L404" s="940"/>
      <c r="M404" s="938"/>
      <c r="N404" s="940"/>
    </row>
    <row r="405" spans="1:14" ht="22.5">
      <c r="A405" s="123">
        <v>18</v>
      </c>
      <c r="B405" s="92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923"/>
      <c r="C406" s="226" t="s">
        <v>1755</v>
      </c>
      <c r="D406" s="939" t="s">
        <v>306</v>
      </c>
      <c r="E406" s="939" t="s">
        <v>322</v>
      </c>
      <c r="F406" s="939" t="s">
        <v>307</v>
      </c>
      <c r="G406" s="941" t="s">
        <v>1756</v>
      </c>
      <c r="H406" s="939" t="s">
        <v>347</v>
      </c>
      <c r="I406" s="941" t="s">
        <v>1154</v>
      </c>
      <c r="J406" s="939" t="s">
        <v>664</v>
      </c>
      <c r="K406" s="939" t="s">
        <v>1757</v>
      </c>
      <c r="L406" s="939" t="s">
        <v>324</v>
      </c>
      <c r="M406" s="937" t="s">
        <v>1758</v>
      </c>
      <c r="N406" s="939" t="s">
        <v>665</v>
      </c>
    </row>
    <row r="407" spans="1:14">
      <c r="A407" s="123">
        <v>18</v>
      </c>
      <c r="B407" s="923"/>
      <c r="C407" s="226" t="s">
        <v>1759</v>
      </c>
      <c r="D407" s="940"/>
      <c r="E407" s="940"/>
      <c r="F407" s="940"/>
      <c r="G407" s="942"/>
      <c r="H407" s="940"/>
      <c r="I407" s="942"/>
      <c r="J407" s="940"/>
      <c r="K407" s="940"/>
      <c r="L407" s="940"/>
      <c r="M407" s="938"/>
      <c r="N407" s="940"/>
    </row>
    <row r="408" spans="1:14" ht="16.5" customHeight="1">
      <c r="A408" s="123">
        <v>18</v>
      </c>
      <c r="B408" s="923"/>
      <c r="C408" s="228" t="s">
        <v>1760</v>
      </c>
      <c r="D408" s="939" t="s">
        <v>306</v>
      </c>
      <c r="E408" s="939" t="s">
        <v>322</v>
      </c>
      <c r="F408" s="939" t="s">
        <v>307</v>
      </c>
      <c r="G408" s="941" t="s">
        <v>1761</v>
      </c>
      <c r="H408" s="939" t="s">
        <v>329</v>
      </c>
      <c r="I408" s="941" t="s">
        <v>1762</v>
      </c>
      <c r="J408" s="939" t="s">
        <v>664</v>
      </c>
      <c r="K408" s="939" t="s">
        <v>1763</v>
      </c>
      <c r="L408" s="939" t="s">
        <v>324</v>
      </c>
      <c r="M408" s="937" t="s">
        <v>1764</v>
      </c>
      <c r="N408" s="939" t="s">
        <v>1765</v>
      </c>
    </row>
    <row r="409" spans="1:14">
      <c r="A409" s="123">
        <v>18</v>
      </c>
      <c r="B409" s="924"/>
      <c r="C409" s="226" t="s">
        <v>1766</v>
      </c>
      <c r="D409" s="940"/>
      <c r="E409" s="940"/>
      <c r="F409" s="940"/>
      <c r="G409" s="942"/>
      <c r="H409" s="940"/>
      <c r="I409" s="942"/>
      <c r="J409" s="940"/>
      <c r="K409" s="940"/>
      <c r="L409" s="940"/>
      <c r="M409" s="938"/>
      <c r="N409" s="940"/>
    </row>
    <row r="410" spans="1:14" ht="16.5" customHeight="1">
      <c r="A410" s="123">
        <v>18</v>
      </c>
      <c r="B410" s="922" t="s">
        <v>253</v>
      </c>
      <c r="C410" s="1021" t="s">
        <v>1767</v>
      </c>
      <c r="D410" s="939" t="s">
        <v>311</v>
      </c>
      <c r="E410" s="939" t="s">
        <v>320</v>
      </c>
      <c r="F410" s="939" t="s">
        <v>709</v>
      </c>
      <c r="G410" s="939" t="s">
        <v>1768</v>
      </c>
      <c r="H410" s="1021" t="s">
        <v>1769</v>
      </c>
      <c r="I410" s="227" t="s">
        <v>1770</v>
      </c>
      <c r="J410" s="939"/>
      <c r="K410" s="1023" t="s">
        <v>1771</v>
      </c>
      <c r="L410" s="939" t="s">
        <v>309</v>
      </c>
      <c r="M410" s="937" t="s">
        <v>1764</v>
      </c>
      <c r="N410" s="939" t="s">
        <v>1772</v>
      </c>
    </row>
    <row r="411" spans="1:14">
      <c r="A411" s="123">
        <v>18</v>
      </c>
      <c r="B411" s="923"/>
      <c r="C411" s="1022"/>
      <c r="D411" s="940"/>
      <c r="E411" s="940"/>
      <c r="F411" s="940"/>
      <c r="G411" s="940"/>
      <c r="H411" s="1022"/>
      <c r="I411" s="227" t="s">
        <v>1773</v>
      </c>
      <c r="J411" s="940"/>
      <c r="K411" s="1024"/>
      <c r="L411" s="940"/>
      <c r="M411" s="938"/>
      <c r="N411" s="940"/>
    </row>
    <row r="412" spans="1:14" ht="22.5">
      <c r="A412" s="123">
        <v>18</v>
      </c>
      <c r="B412" s="92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923"/>
      <c r="C413" s="1021" t="s">
        <v>1776</v>
      </c>
      <c r="D413" s="1021" t="s">
        <v>700</v>
      </c>
      <c r="E413" s="939" t="s">
        <v>675</v>
      </c>
      <c r="F413" s="1021" t="s">
        <v>1777</v>
      </c>
      <c r="G413" s="1021" t="s">
        <v>1778</v>
      </c>
      <c r="H413" s="1021" t="s">
        <v>662</v>
      </c>
      <c r="I413" s="227" t="s">
        <v>1779</v>
      </c>
      <c r="J413" s="939" t="s">
        <v>638</v>
      </c>
      <c r="K413" s="939" t="s">
        <v>731</v>
      </c>
      <c r="L413" s="939" t="s">
        <v>309</v>
      </c>
      <c r="M413" s="937" t="s">
        <v>1780</v>
      </c>
      <c r="N413" s="939" t="s">
        <v>1781</v>
      </c>
    </row>
    <row r="414" spans="1:14">
      <c r="A414" s="123">
        <v>18</v>
      </c>
      <c r="B414" s="924"/>
      <c r="C414" s="1022"/>
      <c r="D414" s="1022"/>
      <c r="E414" s="940"/>
      <c r="F414" s="1022"/>
      <c r="G414" s="1022"/>
      <c r="H414" s="1022"/>
      <c r="I414" s="26"/>
      <c r="J414" s="940"/>
      <c r="K414" s="940"/>
      <c r="L414" s="940"/>
      <c r="M414" s="938"/>
      <c r="N414" s="940"/>
    </row>
    <row r="415" spans="1:14" ht="16.5" customHeight="1">
      <c r="A415" s="123">
        <v>19</v>
      </c>
      <c r="B415" s="922" t="s">
        <v>20</v>
      </c>
      <c r="C415" s="148" t="s">
        <v>1794</v>
      </c>
      <c r="D415" s="945" t="s">
        <v>306</v>
      </c>
      <c r="E415" s="945" t="s">
        <v>322</v>
      </c>
      <c r="F415" s="945" t="s">
        <v>307</v>
      </c>
      <c r="G415" s="950" t="s">
        <v>1796</v>
      </c>
      <c r="H415" s="945" t="s">
        <v>1797</v>
      </c>
      <c r="I415" s="950" t="s">
        <v>1792</v>
      </c>
      <c r="J415" s="945" t="s">
        <v>664</v>
      </c>
      <c r="K415" s="148" t="s">
        <v>1520</v>
      </c>
      <c r="L415" s="945" t="s">
        <v>324</v>
      </c>
      <c r="M415" s="954" t="s">
        <v>1799</v>
      </c>
      <c r="N415" s="945" t="s">
        <v>665</v>
      </c>
    </row>
    <row r="416" spans="1:14">
      <c r="A416" s="123">
        <v>19</v>
      </c>
      <c r="B416" s="923"/>
      <c r="C416" s="148" t="s">
        <v>1795</v>
      </c>
      <c r="D416" s="946"/>
      <c r="E416" s="946"/>
      <c r="F416" s="946"/>
      <c r="G416" s="951"/>
      <c r="H416" s="946"/>
      <c r="I416" s="951"/>
      <c r="J416" s="946"/>
      <c r="K416" s="148" t="s">
        <v>1798</v>
      </c>
      <c r="L416" s="946"/>
      <c r="M416" s="955"/>
      <c r="N416" s="946"/>
    </row>
    <row r="417" spans="1:14">
      <c r="A417" s="123">
        <v>19</v>
      </c>
      <c r="B417" s="923"/>
      <c r="C417" s="148" t="s">
        <v>1800</v>
      </c>
      <c r="D417" s="945" t="s">
        <v>306</v>
      </c>
      <c r="E417" s="945" t="s">
        <v>322</v>
      </c>
      <c r="F417" s="945" t="s">
        <v>307</v>
      </c>
      <c r="G417" s="950" t="s">
        <v>1801</v>
      </c>
      <c r="H417" s="945" t="s">
        <v>1802</v>
      </c>
      <c r="I417" s="950" t="s">
        <v>1803</v>
      </c>
      <c r="J417" s="945" t="s">
        <v>664</v>
      </c>
      <c r="K417" s="960" t="s">
        <v>1155</v>
      </c>
      <c r="L417" s="945" t="s">
        <v>324</v>
      </c>
      <c r="M417" s="954" t="s">
        <v>1804</v>
      </c>
      <c r="N417" s="945" t="s">
        <v>665</v>
      </c>
    </row>
    <row r="418" spans="1:14">
      <c r="A418" s="123">
        <v>19</v>
      </c>
      <c r="B418" s="924"/>
      <c r="C418" s="148" t="s">
        <v>1795</v>
      </c>
      <c r="D418" s="946"/>
      <c r="E418" s="946"/>
      <c r="F418" s="946"/>
      <c r="G418" s="951"/>
      <c r="H418" s="946"/>
      <c r="I418" s="951"/>
      <c r="J418" s="946"/>
      <c r="K418" s="961"/>
      <c r="L418" s="946"/>
      <c r="M418" s="955"/>
      <c r="N418" s="946"/>
    </row>
    <row r="419" spans="1:14" ht="16.5" customHeight="1">
      <c r="A419" s="123">
        <v>19</v>
      </c>
      <c r="B419" s="922" t="s">
        <v>21</v>
      </c>
      <c r="C419" s="975" t="s">
        <v>1805</v>
      </c>
      <c r="D419" s="975" t="s">
        <v>700</v>
      </c>
      <c r="E419" s="945" t="s">
        <v>675</v>
      </c>
      <c r="F419" s="975" t="s">
        <v>1806</v>
      </c>
      <c r="G419" s="975" t="s">
        <v>1807</v>
      </c>
      <c r="H419" s="975" t="s">
        <v>662</v>
      </c>
      <c r="I419" s="950" t="s">
        <v>1808</v>
      </c>
      <c r="J419" s="945"/>
      <c r="K419" s="1025" t="s">
        <v>1809</v>
      </c>
      <c r="L419" s="945" t="s">
        <v>309</v>
      </c>
      <c r="M419" s="954" t="s">
        <v>1810</v>
      </c>
      <c r="N419" s="149" t="s">
        <v>1811</v>
      </c>
    </row>
    <row r="420" spans="1:14">
      <c r="A420" s="123">
        <v>19</v>
      </c>
      <c r="B420" s="923"/>
      <c r="C420" s="977"/>
      <c r="D420" s="977"/>
      <c r="E420" s="946"/>
      <c r="F420" s="977"/>
      <c r="G420" s="977"/>
      <c r="H420" s="977"/>
      <c r="I420" s="951"/>
      <c r="J420" s="946"/>
      <c r="K420" s="1026"/>
      <c r="L420" s="946"/>
      <c r="M420" s="955"/>
      <c r="N420" s="149" t="s">
        <v>1812</v>
      </c>
    </row>
    <row r="421" spans="1:14">
      <c r="A421" s="123">
        <v>19</v>
      </c>
      <c r="B421" s="923"/>
      <c r="C421" s="1027" t="s">
        <v>1813</v>
      </c>
      <c r="D421" s="975" t="s">
        <v>700</v>
      </c>
      <c r="E421" s="945" t="s">
        <v>320</v>
      </c>
      <c r="F421" s="945" t="s">
        <v>337</v>
      </c>
      <c r="G421" s="975" t="s">
        <v>353</v>
      </c>
      <c r="H421" s="975" t="s">
        <v>1814</v>
      </c>
      <c r="I421" s="950" t="s">
        <v>1815</v>
      </c>
      <c r="J421" s="945" t="s">
        <v>638</v>
      </c>
      <c r="K421" s="1029" t="s">
        <v>692</v>
      </c>
      <c r="L421" s="945" t="s">
        <v>309</v>
      </c>
      <c r="M421" s="954" t="s">
        <v>1816</v>
      </c>
      <c r="N421" s="148" t="s">
        <v>1817</v>
      </c>
    </row>
    <row r="422" spans="1:14">
      <c r="A422" s="123">
        <v>19</v>
      </c>
      <c r="B422" s="923"/>
      <c r="C422" s="1028"/>
      <c r="D422" s="977"/>
      <c r="E422" s="946"/>
      <c r="F422" s="946"/>
      <c r="G422" s="977"/>
      <c r="H422" s="977"/>
      <c r="I422" s="951"/>
      <c r="J422" s="946"/>
      <c r="K422" s="1030"/>
      <c r="L422" s="946"/>
      <c r="M422" s="955"/>
      <c r="N422" s="148" t="s">
        <v>1818</v>
      </c>
    </row>
    <row r="423" spans="1:14">
      <c r="A423" s="123">
        <v>19</v>
      </c>
      <c r="B423" s="92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923"/>
      <c r="C424" s="975" t="s">
        <v>1820</v>
      </c>
      <c r="D424" s="975" t="s">
        <v>700</v>
      </c>
      <c r="E424" s="945" t="s">
        <v>320</v>
      </c>
      <c r="F424" s="945" t="s">
        <v>709</v>
      </c>
      <c r="G424" s="945" t="s">
        <v>1768</v>
      </c>
      <c r="H424" s="975" t="s">
        <v>1821</v>
      </c>
      <c r="I424" s="149" t="s">
        <v>1822</v>
      </c>
      <c r="J424" s="945" t="s">
        <v>638</v>
      </c>
      <c r="K424" s="945" t="s">
        <v>692</v>
      </c>
      <c r="L424" s="945" t="s">
        <v>309</v>
      </c>
      <c r="M424" s="954" t="s">
        <v>1535</v>
      </c>
      <c r="N424" s="950" t="s">
        <v>1824</v>
      </c>
    </row>
    <row r="425" spans="1:14">
      <c r="A425" s="123">
        <v>19</v>
      </c>
      <c r="B425" s="923"/>
      <c r="C425" s="977"/>
      <c r="D425" s="977"/>
      <c r="E425" s="946"/>
      <c r="F425" s="946"/>
      <c r="G425" s="946"/>
      <c r="H425" s="977"/>
      <c r="I425" s="149" t="s">
        <v>1823</v>
      </c>
      <c r="J425" s="946"/>
      <c r="K425" s="946"/>
      <c r="L425" s="946"/>
      <c r="M425" s="955"/>
      <c r="N425" s="951"/>
    </row>
    <row r="426" spans="1:14">
      <c r="A426" s="123">
        <v>19</v>
      </c>
      <c r="B426" s="92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92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92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92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92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92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92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92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92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92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92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92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92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92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92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92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92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92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92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92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92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92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92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92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92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92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922" t="s">
        <v>2078</v>
      </c>
      <c r="C452" s="243" t="s">
        <v>1906</v>
      </c>
      <c r="D452" s="920" t="s">
        <v>306</v>
      </c>
      <c r="E452" s="920" t="s">
        <v>322</v>
      </c>
      <c r="F452" s="920" t="s">
        <v>307</v>
      </c>
      <c r="G452" s="920">
        <v>3306</v>
      </c>
      <c r="H452" s="920" t="s">
        <v>1153</v>
      </c>
      <c r="I452" s="920" t="s">
        <v>1907</v>
      </c>
      <c r="J452" s="920" t="s">
        <v>1111</v>
      </c>
      <c r="K452" s="920" t="s">
        <v>692</v>
      </c>
      <c r="L452" s="920" t="s">
        <v>324</v>
      </c>
      <c r="M452" s="932" t="s">
        <v>1908</v>
      </c>
      <c r="N452" s="920" t="s">
        <v>665</v>
      </c>
    </row>
    <row r="453" spans="1:14">
      <c r="A453" s="123">
        <v>23</v>
      </c>
      <c r="B453" s="923"/>
      <c r="C453" s="243" t="s">
        <v>1909</v>
      </c>
      <c r="D453" s="921"/>
      <c r="E453" s="921"/>
      <c r="F453" s="921"/>
      <c r="G453" s="921"/>
      <c r="H453" s="921"/>
      <c r="I453" s="921"/>
      <c r="J453" s="921"/>
      <c r="K453" s="921"/>
      <c r="L453" s="921"/>
      <c r="M453" s="933"/>
      <c r="N453" s="921"/>
    </row>
    <row r="454" spans="1:14">
      <c r="A454" s="123">
        <v>23</v>
      </c>
      <c r="B454" s="923"/>
      <c r="C454" s="243" t="s">
        <v>1910</v>
      </c>
      <c r="D454" s="920" t="s">
        <v>306</v>
      </c>
      <c r="E454" s="920" t="s">
        <v>322</v>
      </c>
      <c r="F454" s="920" t="s">
        <v>307</v>
      </c>
      <c r="G454" s="928" t="s">
        <v>1418</v>
      </c>
      <c r="H454" s="920" t="s">
        <v>1911</v>
      </c>
      <c r="I454" s="928" t="s">
        <v>1154</v>
      </c>
      <c r="J454" s="920" t="s">
        <v>664</v>
      </c>
      <c r="K454" s="1031" t="s">
        <v>1763</v>
      </c>
      <c r="L454" s="920" t="s">
        <v>324</v>
      </c>
      <c r="M454" s="932" t="s">
        <v>1535</v>
      </c>
      <c r="N454" s="920" t="s">
        <v>665</v>
      </c>
    </row>
    <row r="455" spans="1:14">
      <c r="A455" s="123">
        <v>23</v>
      </c>
      <c r="B455" s="923"/>
      <c r="C455" s="243" t="s">
        <v>1909</v>
      </c>
      <c r="D455" s="921"/>
      <c r="E455" s="921"/>
      <c r="F455" s="921"/>
      <c r="G455" s="929"/>
      <c r="H455" s="921"/>
      <c r="I455" s="929"/>
      <c r="J455" s="921"/>
      <c r="K455" s="1032"/>
      <c r="L455" s="921"/>
      <c r="M455" s="933"/>
      <c r="N455" s="921"/>
    </row>
    <row r="456" spans="1:14">
      <c r="A456" s="123">
        <v>23</v>
      </c>
      <c r="B456" s="92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923"/>
      <c r="C457" s="243" t="s">
        <v>1917</v>
      </c>
      <c r="D457" s="920" t="s">
        <v>306</v>
      </c>
      <c r="E457" s="920" t="s">
        <v>322</v>
      </c>
      <c r="F457" s="920" t="s">
        <v>307</v>
      </c>
      <c r="G457" s="928">
        <v>4267</v>
      </c>
      <c r="H457" s="920" t="s">
        <v>640</v>
      </c>
      <c r="I457" s="928" t="s">
        <v>1154</v>
      </c>
      <c r="J457" s="920" t="s">
        <v>664</v>
      </c>
      <c r="K457" s="1031" t="s">
        <v>1763</v>
      </c>
      <c r="L457" s="920" t="s">
        <v>324</v>
      </c>
      <c r="M457" s="932" t="s">
        <v>1535</v>
      </c>
      <c r="N457" s="920" t="s">
        <v>665</v>
      </c>
    </row>
    <row r="458" spans="1:14">
      <c r="A458" s="123">
        <v>23</v>
      </c>
      <c r="B458" s="923"/>
      <c r="C458" s="243" t="s">
        <v>1918</v>
      </c>
      <c r="D458" s="921"/>
      <c r="E458" s="921"/>
      <c r="F458" s="921"/>
      <c r="G458" s="929"/>
      <c r="H458" s="921"/>
      <c r="I458" s="929"/>
      <c r="J458" s="921"/>
      <c r="K458" s="1032"/>
      <c r="L458" s="921"/>
      <c r="M458" s="933"/>
      <c r="N458" s="921"/>
    </row>
    <row r="459" spans="1:14">
      <c r="A459" s="123">
        <v>23</v>
      </c>
      <c r="B459" s="923"/>
      <c r="C459" s="243" t="s">
        <v>1917</v>
      </c>
      <c r="D459" s="920" t="s">
        <v>306</v>
      </c>
      <c r="E459" s="920" t="s">
        <v>322</v>
      </c>
      <c r="F459" s="920" t="s">
        <v>307</v>
      </c>
      <c r="G459" s="928" t="s">
        <v>1919</v>
      </c>
      <c r="H459" s="920" t="s">
        <v>662</v>
      </c>
      <c r="I459" s="928" t="s">
        <v>1920</v>
      </c>
      <c r="J459" s="920" t="s">
        <v>349</v>
      </c>
      <c r="K459" s="1033" t="s">
        <v>1916</v>
      </c>
      <c r="L459" s="920" t="s">
        <v>324</v>
      </c>
      <c r="M459" s="932" t="s">
        <v>1535</v>
      </c>
      <c r="N459" s="920" t="s">
        <v>425</v>
      </c>
    </row>
    <row r="460" spans="1:14">
      <c r="A460" s="123">
        <v>23</v>
      </c>
      <c r="B460" s="924"/>
      <c r="C460" s="244" t="s">
        <v>1918</v>
      </c>
      <c r="D460" s="921"/>
      <c r="E460" s="921"/>
      <c r="F460" s="921"/>
      <c r="G460" s="929"/>
      <c r="H460" s="921"/>
      <c r="I460" s="929"/>
      <c r="J460" s="921"/>
      <c r="K460" s="1034"/>
      <c r="L460" s="921"/>
      <c r="M460" s="933"/>
      <c r="N460" s="921"/>
    </row>
    <row r="461" spans="1:14">
      <c r="A461" s="123">
        <v>23</v>
      </c>
      <c r="B461" s="92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923"/>
      <c r="C462" s="920" t="s">
        <v>1921</v>
      </c>
      <c r="D462" s="920" t="s">
        <v>311</v>
      </c>
      <c r="E462" s="920" t="s">
        <v>675</v>
      </c>
      <c r="F462" s="920" t="s">
        <v>1926</v>
      </c>
      <c r="G462" s="920" t="s">
        <v>1927</v>
      </c>
      <c r="H462" s="930" t="s">
        <v>347</v>
      </c>
      <c r="I462" s="242" t="s">
        <v>1928</v>
      </c>
      <c r="J462" s="920"/>
      <c r="K462" s="928" t="s">
        <v>1924</v>
      </c>
      <c r="L462" s="920" t="s">
        <v>309</v>
      </c>
      <c r="M462" s="932" t="s">
        <v>1828</v>
      </c>
      <c r="N462" s="928" t="s">
        <v>1925</v>
      </c>
    </row>
    <row r="463" spans="1:14">
      <c r="A463" s="123">
        <v>23</v>
      </c>
      <c r="B463" s="923"/>
      <c r="C463" s="921"/>
      <c r="D463" s="921"/>
      <c r="E463" s="921"/>
      <c r="F463" s="921"/>
      <c r="G463" s="921"/>
      <c r="H463" s="931"/>
      <c r="I463" s="242" t="s">
        <v>1929</v>
      </c>
      <c r="J463" s="921"/>
      <c r="K463" s="929"/>
      <c r="L463" s="921"/>
      <c r="M463" s="933"/>
      <c r="N463" s="929"/>
    </row>
    <row r="464" spans="1:14" ht="24">
      <c r="A464" s="123">
        <v>23</v>
      </c>
      <c r="B464" s="92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92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92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92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92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92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92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92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92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92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92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92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92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92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92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92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92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92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92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92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92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92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92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92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92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92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92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92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92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92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92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92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92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92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92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92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92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92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92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92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92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92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92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92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92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92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92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92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92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92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92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92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92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92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92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92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92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92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92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92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92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92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92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92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92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92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92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92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92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92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92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92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92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92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92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92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92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92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92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92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92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92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92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92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92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92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92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92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92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92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92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92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92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92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92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92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92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92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92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92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92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92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92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92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92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92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925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927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925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926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926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927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92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92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925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926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926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927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92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92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92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92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92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92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92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92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92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92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92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92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92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92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92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92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92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92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92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92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92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92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25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926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927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92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92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92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92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92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92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92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92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92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92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1036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1037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1037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1037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1038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92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92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92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92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92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92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92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92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92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92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92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92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92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92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92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92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92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92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92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923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92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92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92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92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92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92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92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92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92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92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92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92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92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92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92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92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92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92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92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92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1035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92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92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92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92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92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92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92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92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92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92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92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92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92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923"/>
      <c r="C687" s="148" t="s">
        <v>2726</v>
      </c>
      <c r="D687" s="945" t="s">
        <v>306</v>
      </c>
      <c r="E687" s="945" t="s">
        <v>322</v>
      </c>
      <c r="F687" s="945" t="s">
        <v>307</v>
      </c>
      <c r="G687" s="950" t="s">
        <v>2719</v>
      </c>
      <c r="H687" s="945" t="s">
        <v>1047</v>
      </c>
      <c r="I687" s="950" t="s">
        <v>704</v>
      </c>
      <c r="J687" s="945" t="s">
        <v>664</v>
      </c>
      <c r="K687" s="1039" t="s">
        <v>1763</v>
      </c>
      <c r="L687" s="945"/>
      <c r="M687" s="954" t="s">
        <v>458</v>
      </c>
      <c r="N687" s="945" t="s">
        <v>665</v>
      </c>
    </row>
    <row r="688" spans="1:14">
      <c r="A688" s="123">
        <v>8</v>
      </c>
      <c r="B688" s="923"/>
      <c r="C688" s="148" t="s">
        <v>2727</v>
      </c>
      <c r="D688" s="946"/>
      <c r="E688" s="946"/>
      <c r="F688" s="946"/>
      <c r="G688" s="951"/>
      <c r="H688" s="946"/>
      <c r="I688" s="951"/>
      <c r="J688" s="946"/>
      <c r="K688" s="1040"/>
      <c r="L688" s="946"/>
      <c r="M688" s="955"/>
      <c r="N688" s="946"/>
    </row>
    <row r="689" spans="1:14">
      <c r="A689" s="123">
        <v>8</v>
      </c>
      <c r="B689" s="92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923"/>
      <c r="C690" s="148" t="s">
        <v>2730</v>
      </c>
      <c r="D690" s="945" t="s">
        <v>306</v>
      </c>
      <c r="E690" s="945" t="s">
        <v>322</v>
      </c>
      <c r="F690" s="945" t="s">
        <v>307</v>
      </c>
      <c r="G690" s="950" t="s">
        <v>2731</v>
      </c>
      <c r="H690" s="945" t="s">
        <v>640</v>
      </c>
      <c r="I690" s="950" t="s">
        <v>668</v>
      </c>
      <c r="J690" s="945" t="s">
        <v>349</v>
      </c>
      <c r="K690" s="1041" t="s">
        <v>2732</v>
      </c>
      <c r="L690" s="945"/>
      <c r="M690" s="954" t="s">
        <v>2769</v>
      </c>
      <c r="N690" s="945" t="s">
        <v>425</v>
      </c>
    </row>
    <row r="691" spans="1:14">
      <c r="A691" s="123">
        <v>8</v>
      </c>
      <c r="B691" s="924"/>
      <c r="C691" s="148" t="s">
        <v>2723</v>
      </c>
      <c r="D691" s="946"/>
      <c r="E691" s="946"/>
      <c r="F691" s="946"/>
      <c r="G691" s="951"/>
      <c r="H691" s="946"/>
      <c r="I691" s="951"/>
      <c r="J691" s="946"/>
      <c r="K691" s="1042"/>
      <c r="L691" s="946"/>
      <c r="M691" s="955"/>
      <c r="N691" s="946"/>
    </row>
    <row r="692" spans="1:14">
      <c r="A692" s="123">
        <v>8</v>
      </c>
      <c r="B692" s="92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923"/>
      <c r="C693" s="945" t="s">
        <v>2768</v>
      </c>
      <c r="D693" s="945" t="s">
        <v>311</v>
      </c>
      <c r="E693" s="945" t="s">
        <v>675</v>
      </c>
      <c r="F693" s="149" t="s">
        <v>1806</v>
      </c>
      <c r="G693" s="950" t="s">
        <v>689</v>
      </c>
      <c r="H693" s="950" t="s">
        <v>662</v>
      </c>
      <c r="I693" s="950" t="s">
        <v>2739</v>
      </c>
      <c r="J693" s="950"/>
      <c r="K693" s="950" t="s">
        <v>698</v>
      </c>
      <c r="L693" s="945" t="s">
        <v>309</v>
      </c>
      <c r="M693" s="954" t="s">
        <v>672</v>
      </c>
      <c r="N693" s="945" t="s">
        <v>2740</v>
      </c>
    </row>
    <row r="694" spans="1:14">
      <c r="A694" s="123">
        <v>8</v>
      </c>
      <c r="B694" s="924"/>
      <c r="C694" s="946"/>
      <c r="D694" s="946"/>
      <c r="E694" s="946"/>
      <c r="F694" s="149" t="s">
        <v>2738</v>
      </c>
      <c r="G694" s="951"/>
      <c r="H694" s="951"/>
      <c r="I694" s="951"/>
      <c r="J694" s="951"/>
      <c r="K694" s="951"/>
      <c r="L694" s="946"/>
      <c r="M694" s="955"/>
      <c r="N694" s="973"/>
    </row>
    <row r="695" spans="1:14">
      <c r="A695" s="123">
        <v>9</v>
      </c>
      <c r="B695" s="92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92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923"/>
      <c r="C697" s="243" t="s">
        <v>2745</v>
      </c>
      <c r="D697" s="920" t="s">
        <v>306</v>
      </c>
      <c r="E697" s="920" t="s">
        <v>322</v>
      </c>
      <c r="F697" s="920" t="s">
        <v>307</v>
      </c>
      <c r="G697" s="928" t="s">
        <v>2746</v>
      </c>
      <c r="H697" s="920" t="s">
        <v>405</v>
      </c>
      <c r="I697" s="928" t="s">
        <v>2747</v>
      </c>
      <c r="J697" s="920" t="s">
        <v>664</v>
      </c>
      <c r="K697" s="1043" t="s">
        <v>1757</v>
      </c>
      <c r="L697" s="920"/>
      <c r="M697" s="932">
        <v>750000</v>
      </c>
      <c r="N697" s="920" t="s">
        <v>665</v>
      </c>
    </row>
    <row r="698" spans="1:14">
      <c r="A698" s="123">
        <v>9</v>
      </c>
      <c r="B698" s="923"/>
      <c r="C698" s="243" t="s">
        <v>2748</v>
      </c>
      <c r="D698" s="921"/>
      <c r="E698" s="921"/>
      <c r="F698" s="921"/>
      <c r="G698" s="929"/>
      <c r="H698" s="921"/>
      <c r="I698" s="929"/>
      <c r="J698" s="921"/>
      <c r="K698" s="1044"/>
      <c r="L698" s="921"/>
      <c r="M698" s="933"/>
      <c r="N698" s="921"/>
    </row>
    <row r="699" spans="1:14">
      <c r="A699" s="123">
        <v>9</v>
      </c>
      <c r="B699" s="923"/>
      <c r="C699" s="243" t="s">
        <v>2745</v>
      </c>
      <c r="D699" s="920" t="s">
        <v>306</v>
      </c>
      <c r="E699" s="920" t="s">
        <v>322</v>
      </c>
      <c r="F699" s="920" t="s">
        <v>307</v>
      </c>
      <c r="G699" s="928" t="s">
        <v>2749</v>
      </c>
      <c r="H699" s="920" t="s">
        <v>662</v>
      </c>
      <c r="I699" s="928" t="s">
        <v>668</v>
      </c>
      <c r="J699" s="920" t="s">
        <v>349</v>
      </c>
      <c r="K699" s="1045" t="s">
        <v>2732</v>
      </c>
      <c r="L699" s="920"/>
      <c r="M699" s="932">
        <v>1000000</v>
      </c>
      <c r="N699" s="920" t="s">
        <v>425</v>
      </c>
    </row>
    <row r="700" spans="1:14">
      <c r="A700" s="123">
        <v>9</v>
      </c>
      <c r="B700" s="923"/>
      <c r="C700" s="243" t="s">
        <v>2750</v>
      </c>
      <c r="D700" s="921"/>
      <c r="E700" s="921"/>
      <c r="F700" s="921"/>
      <c r="G700" s="929"/>
      <c r="H700" s="921"/>
      <c r="I700" s="929"/>
      <c r="J700" s="921"/>
      <c r="K700" s="1046"/>
      <c r="L700" s="921"/>
      <c r="M700" s="933"/>
      <c r="N700" s="921"/>
    </row>
    <row r="701" spans="1:14">
      <c r="A701" s="123">
        <v>9</v>
      </c>
      <c r="B701" s="92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92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92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92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92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92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92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92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92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92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92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92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92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92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92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92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92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92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92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92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92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92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92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92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92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92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923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92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92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92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92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047" t="s">
        <v>2821</v>
      </c>
    </row>
    <row r="734" spans="1:14" ht="27">
      <c r="A734" s="123">
        <v>15</v>
      </c>
      <c r="B734" s="92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048"/>
    </row>
    <row r="735" spans="1:14">
      <c r="A735" s="123">
        <v>15</v>
      </c>
      <c r="B735" s="92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92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92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92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92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92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92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92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92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92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924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92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92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92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92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92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922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92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92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92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92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92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92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92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92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92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92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92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92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92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92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92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92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92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924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92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92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92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92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92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92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92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92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92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92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92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92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92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92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92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92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92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92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92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92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92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92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925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926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927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92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92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92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92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92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922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923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923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924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92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92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92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92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92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92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92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92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92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92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92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92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92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92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92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92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92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92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92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92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92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92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92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92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92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92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92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92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922" t="s">
        <v>3097</v>
      </c>
      <c r="C835" s="148" t="s">
        <v>3079</v>
      </c>
      <c r="D835" s="945" t="s">
        <v>306</v>
      </c>
      <c r="E835" s="945" t="s">
        <v>322</v>
      </c>
      <c r="F835" s="945" t="s">
        <v>307</v>
      </c>
      <c r="G835" s="950" t="s">
        <v>3051</v>
      </c>
      <c r="H835" s="945" t="s">
        <v>1993</v>
      </c>
      <c r="I835" s="950" t="s">
        <v>3052</v>
      </c>
      <c r="J835" s="945" t="s">
        <v>664</v>
      </c>
      <c r="K835" s="148" t="s">
        <v>3081</v>
      </c>
      <c r="L835" s="945"/>
      <c r="M835" s="1050" t="s">
        <v>3082</v>
      </c>
      <c r="N835" s="148" t="s">
        <v>3083</v>
      </c>
    </row>
    <row r="836" spans="1:14">
      <c r="A836" s="123">
        <v>29</v>
      </c>
      <c r="B836" s="923"/>
      <c r="C836" s="148" t="s">
        <v>3080</v>
      </c>
      <c r="D836" s="973"/>
      <c r="E836" s="973"/>
      <c r="F836" s="973"/>
      <c r="G836" s="1049"/>
      <c r="H836" s="973"/>
      <c r="I836" s="1049"/>
      <c r="J836" s="973"/>
      <c r="K836" s="148" t="s">
        <v>707</v>
      </c>
      <c r="L836" s="973"/>
      <c r="M836" s="1051"/>
      <c r="N836" s="148"/>
    </row>
    <row r="837" spans="1:14">
      <c r="A837" s="123">
        <v>29</v>
      </c>
      <c r="B837" s="923"/>
      <c r="C837" s="148"/>
      <c r="D837" s="946"/>
      <c r="E837" s="946"/>
      <c r="F837" s="946"/>
      <c r="G837" s="951"/>
      <c r="H837" s="946"/>
      <c r="I837" s="951"/>
      <c r="J837" s="946"/>
      <c r="K837" s="148"/>
      <c r="L837" s="946"/>
      <c r="M837" s="1052"/>
      <c r="N837" s="148" t="s">
        <v>3084</v>
      </c>
    </row>
    <row r="838" spans="1:14">
      <c r="A838" s="123">
        <v>29</v>
      </c>
      <c r="B838" s="92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92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922" t="s">
        <v>21</v>
      </c>
      <c r="C840" s="111" t="s">
        <v>3087</v>
      </c>
      <c r="D840" s="945" t="s">
        <v>311</v>
      </c>
      <c r="E840" s="945" t="s">
        <v>320</v>
      </c>
      <c r="F840" s="950" t="s">
        <v>2601</v>
      </c>
      <c r="G840" s="950" t="s">
        <v>3059</v>
      </c>
      <c r="H840" s="950" t="s">
        <v>3060</v>
      </c>
      <c r="I840" s="950" t="s">
        <v>3061</v>
      </c>
      <c r="J840" s="950" t="s">
        <v>702</v>
      </c>
      <c r="K840" s="950" t="s">
        <v>3062</v>
      </c>
      <c r="L840" s="945" t="s">
        <v>309</v>
      </c>
      <c r="M840" s="1050" t="s">
        <v>1816</v>
      </c>
      <c r="N840" s="945" t="s">
        <v>3088</v>
      </c>
    </row>
    <row r="841" spans="1:14">
      <c r="A841" s="123">
        <v>29</v>
      </c>
      <c r="B841" s="923"/>
      <c r="C841" s="111" t="s">
        <v>3065</v>
      </c>
      <c r="D841" s="946"/>
      <c r="E841" s="946"/>
      <c r="F841" s="951"/>
      <c r="G841" s="951"/>
      <c r="H841" s="951"/>
      <c r="I841" s="951"/>
      <c r="J841" s="951"/>
      <c r="K841" s="951"/>
      <c r="L841" s="946"/>
      <c r="M841" s="1052"/>
      <c r="N841" s="946"/>
    </row>
    <row r="842" spans="1:14">
      <c r="A842" s="123">
        <v>29</v>
      </c>
      <c r="B842" s="92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92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923"/>
      <c r="C844" s="111" t="s">
        <v>3079</v>
      </c>
      <c r="D844" s="945" t="s">
        <v>311</v>
      </c>
      <c r="E844" s="945" t="s">
        <v>320</v>
      </c>
      <c r="F844" s="950" t="s">
        <v>3068</v>
      </c>
      <c r="G844" s="950" t="s">
        <v>1919</v>
      </c>
      <c r="H844" s="950" t="s">
        <v>3069</v>
      </c>
      <c r="I844" s="149" t="s">
        <v>3090</v>
      </c>
      <c r="J844" s="950"/>
      <c r="K844" s="950" t="s">
        <v>3070</v>
      </c>
      <c r="L844" s="945" t="s">
        <v>309</v>
      </c>
      <c r="M844" s="1053" t="s">
        <v>3092</v>
      </c>
      <c r="N844" s="945" t="s">
        <v>1206</v>
      </c>
    </row>
    <row r="845" spans="1:14">
      <c r="A845" s="123">
        <v>29</v>
      </c>
      <c r="B845" s="923"/>
      <c r="C845" s="111" t="s">
        <v>3089</v>
      </c>
      <c r="D845" s="946"/>
      <c r="E845" s="946"/>
      <c r="F845" s="951"/>
      <c r="G845" s="951"/>
      <c r="H845" s="951"/>
      <c r="I845" s="149" t="s">
        <v>3091</v>
      </c>
      <c r="J845" s="951"/>
      <c r="K845" s="951"/>
      <c r="L845" s="946"/>
      <c r="M845" s="1054"/>
      <c r="N845" s="946"/>
    </row>
    <row r="846" spans="1:14">
      <c r="A846" s="123">
        <v>29</v>
      </c>
      <c r="B846" s="923"/>
      <c r="C846" s="111" t="s">
        <v>3079</v>
      </c>
      <c r="D846" s="945" t="s">
        <v>311</v>
      </c>
      <c r="E846" s="945" t="s">
        <v>320</v>
      </c>
      <c r="F846" s="950" t="s">
        <v>2601</v>
      </c>
      <c r="G846" s="950" t="s">
        <v>3059</v>
      </c>
      <c r="H846" s="950" t="s">
        <v>3060</v>
      </c>
      <c r="I846" s="950" t="s">
        <v>3071</v>
      </c>
      <c r="J846" s="950" t="s">
        <v>702</v>
      </c>
      <c r="K846" s="950" t="s">
        <v>1054</v>
      </c>
      <c r="L846" s="945" t="s">
        <v>309</v>
      </c>
      <c r="M846" s="1050" t="s">
        <v>3094</v>
      </c>
      <c r="N846" s="945" t="s">
        <v>3095</v>
      </c>
    </row>
    <row r="847" spans="1:14">
      <c r="A847" s="123">
        <v>29</v>
      </c>
      <c r="B847" s="923"/>
      <c r="C847" s="111"/>
      <c r="D847" s="973"/>
      <c r="E847" s="973"/>
      <c r="F847" s="1049"/>
      <c r="G847" s="1049"/>
      <c r="H847" s="1049"/>
      <c r="I847" s="1049"/>
      <c r="J847" s="1049"/>
      <c r="K847" s="1049"/>
      <c r="L847" s="973"/>
      <c r="M847" s="1051"/>
      <c r="N847" s="973"/>
    </row>
    <row r="848" spans="1:14">
      <c r="A848" s="123">
        <v>29</v>
      </c>
      <c r="B848" s="923"/>
      <c r="C848" s="111" t="s">
        <v>3093</v>
      </c>
      <c r="D848" s="946"/>
      <c r="E848" s="946"/>
      <c r="F848" s="951"/>
      <c r="G848" s="951"/>
      <c r="H848" s="951"/>
      <c r="I848" s="951"/>
      <c r="J848" s="951"/>
      <c r="K848" s="951"/>
      <c r="L848" s="946"/>
      <c r="M848" s="1052"/>
      <c r="N848" s="946"/>
    </row>
    <row r="849" spans="1:14">
      <c r="A849" s="123">
        <v>29</v>
      </c>
      <c r="B849" s="923"/>
      <c r="C849" s="111" t="s">
        <v>3096</v>
      </c>
      <c r="D849" s="945" t="s">
        <v>311</v>
      </c>
      <c r="E849" s="945" t="s">
        <v>320</v>
      </c>
      <c r="F849" s="950" t="s">
        <v>337</v>
      </c>
      <c r="G849" s="950" t="s">
        <v>3072</v>
      </c>
      <c r="H849" s="950" t="s">
        <v>354</v>
      </c>
      <c r="I849" s="950" t="s">
        <v>310</v>
      </c>
      <c r="J849" s="950" t="s">
        <v>638</v>
      </c>
      <c r="K849" s="950" t="s">
        <v>3073</v>
      </c>
      <c r="L849" s="945" t="s">
        <v>309</v>
      </c>
      <c r="M849" s="1050" t="s">
        <v>1816</v>
      </c>
      <c r="N849" s="945" t="s">
        <v>3095</v>
      </c>
    </row>
    <row r="850" spans="1:14">
      <c r="A850" s="123">
        <v>29</v>
      </c>
      <c r="B850" s="924"/>
      <c r="C850" s="111" t="s">
        <v>3089</v>
      </c>
      <c r="D850" s="946"/>
      <c r="E850" s="946"/>
      <c r="F850" s="951"/>
      <c r="G850" s="951"/>
      <c r="H850" s="951"/>
      <c r="I850" s="951"/>
      <c r="J850" s="951"/>
      <c r="K850" s="951"/>
      <c r="L850" s="946"/>
      <c r="M850" s="1052"/>
      <c r="N850" s="946"/>
    </row>
    <row r="851" spans="1:14">
      <c r="A851" s="123">
        <v>30</v>
      </c>
      <c r="B851" s="1057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1058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1058"/>
      <c r="C853" s="148" t="s">
        <v>3106</v>
      </c>
      <c r="D853" s="945" t="s">
        <v>306</v>
      </c>
      <c r="E853" s="945" t="s">
        <v>322</v>
      </c>
      <c r="F853" s="945" t="s">
        <v>307</v>
      </c>
      <c r="G853" s="950" t="s">
        <v>3051</v>
      </c>
      <c r="H853" s="945" t="s">
        <v>1993</v>
      </c>
      <c r="I853" s="950" t="s">
        <v>3108</v>
      </c>
      <c r="J853" s="945" t="s">
        <v>664</v>
      </c>
      <c r="K853" s="148" t="s">
        <v>3109</v>
      </c>
      <c r="L853" s="945"/>
      <c r="M853" s="954" t="s">
        <v>3110</v>
      </c>
      <c r="N853" s="945" t="s">
        <v>665</v>
      </c>
    </row>
    <row r="854" spans="1:14">
      <c r="A854" s="123">
        <v>30</v>
      </c>
      <c r="B854" s="1058"/>
      <c r="C854" s="148" t="s">
        <v>3107</v>
      </c>
      <c r="D854" s="946"/>
      <c r="E854" s="946"/>
      <c r="F854" s="946"/>
      <c r="G854" s="951"/>
      <c r="H854" s="946"/>
      <c r="I854" s="951"/>
      <c r="J854" s="946"/>
      <c r="K854" s="148" t="s">
        <v>655</v>
      </c>
      <c r="L854" s="946"/>
      <c r="M854" s="955"/>
      <c r="N854" s="946"/>
    </row>
    <row r="855" spans="1:14">
      <c r="A855" s="123">
        <v>30</v>
      </c>
      <c r="B855" s="1059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922" t="s">
        <v>3116</v>
      </c>
      <c r="C856" s="1055" t="s">
        <v>3117</v>
      </c>
      <c r="D856" s="945" t="s">
        <v>311</v>
      </c>
      <c r="E856" s="945" t="s">
        <v>320</v>
      </c>
      <c r="F856" s="950" t="s">
        <v>2601</v>
      </c>
      <c r="G856" s="950" t="s">
        <v>2749</v>
      </c>
      <c r="H856" s="950" t="s">
        <v>347</v>
      </c>
      <c r="I856" s="950" t="s">
        <v>3118</v>
      </c>
      <c r="J856" s="950" t="s">
        <v>638</v>
      </c>
      <c r="K856" s="950" t="s">
        <v>698</v>
      </c>
      <c r="L856" s="945" t="s">
        <v>309</v>
      </c>
      <c r="M856" s="954" t="s">
        <v>1810</v>
      </c>
      <c r="N856" s="148" t="s">
        <v>3119</v>
      </c>
    </row>
    <row r="857" spans="1:14">
      <c r="A857" s="123">
        <v>30</v>
      </c>
      <c r="B857" s="923"/>
      <c r="C857" s="1056"/>
      <c r="D857" s="946"/>
      <c r="E857" s="946"/>
      <c r="F857" s="951"/>
      <c r="G857" s="951"/>
      <c r="H857" s="951"/>
      <c r="I857" s="951"/>
      <c r="J857" s="951"/>
      <c r="K857" s="951"/>
      <c r="L857" s="946"/>
      <c r="M857" s="955"/>
      <c r="N857" s="148" t="s">
        <v>3120</v>
      </c>
    </row>
    <row r="858" spans="1:14" ht="16.5" customHeight="1">
      <c r="A858" s="123">
        <v>30</v>
      </c>
      <c r="B858" s="923"/>
      <c r="C858" s="1055" t="s">
        <v>3117</v>
      </c>
      <c r="D858" s="945" t="s">
        <v>311</v>
      </c>
      <c r="E858" s="945" t="s">
        <v>320</v>
      </c>
      <c r="F858" s="950" t="s">
        <v>709</v>
      </c>
      <c r="G858" s="149" t="s">
        <v>3121</v>
      </c>
      <c r="H858" s="950" t="s">
        <v>640</v>
      </c>
      <c r="I858" s="950" t="s">
        <v>3122</v>
      </c>
      <c r="J858" s="950"/>
      <c r="K858" s="950" t="s">
        <v>692</v>
      </c>
      <c r="L858" s="945" t="s">
        <v>309</v>
      </c>
      <c r="M858" s="954" t="s">
        <v>1535</v>
      </c>
      <c r="N858" s="945" t="s">
        <v>1772</v>
      </c>
    </row>
    <row r="859" spans="1:14">
      <c r="A859" s="123">
        <v>30</v>
      </c>
      <c r="B859" s="923"/>
      <c r="C859" s="1056"/>
      <c r="D859" s="946"/>
      <c r="E859" s="946"/>
      <c r="F859" s="951"/>
      <c r="G859" s="149">
        <v>2651</v>
      </c>
      <c r="H859" s="951"/>
      <c r="I859" s="951"/>
      <c r="J859" s="951"/>
      <c r="K859" s="951"/>
      <c r="L859" s="946"/>
      <c r="M859" s="955"/>
      <c r="N859" s="946"/>
    </row>
    <row r="860" spans="1:14">
      <c r="A860" s="123">
        <v>30</v>
      </c>
      <c r="B860" s="923"/>
      <c r="C860" s="1055" t="s">
        <v>3123</v>
      </c>
      <c r="D860" s="945" t="s">
        <v>311</v>
      </c>
      <c r="E860" s="945" t="s">
        <v>320</v>
      </c>
      <c r="F860" s="950" t="s">
        <v>720</v>
      </c>
      <c r="G860" s="950" t="s">
        <v>1756</v>
      </c>
      <c r="H860" s="950" t="s">
        <v>347</v>
      </c>
      <c r="I860" s="149" t="s">
        <v>3124</v>
      </c>
      <c r="J860" s="950"/>
      <c r="K860" s="950" t="s">
        <v>3126</v>
      </c>
      <c r="L860" s="945" t="s">
        <v>309</v>
      </c>
      <c r="M860" s="954" t="s">
        <v>1933</v>
      </c>
      <c r="N860" s="945" t="s">
        <v>1206</v>
      </c>
    </row>
    <row r="861" spans="1:14">
      <c r="A861" s="123">
        <v>30</v>
      </c>
      <c r="B861" s="923"/>
      <c r="C861" s="1056"/>
      <c r="D861" s="946"/>
      <c r="E861" s="946"/>
      <c r="F861" s="951"/>
      <c r="G861" s="951"/>
      <c r="H861" s="951"/>
      <c r="I861" s="149" t="s">
        <v>3125</v>
      </c>
      <c r="J861" s="951"/>
      <c r="K861" s="951"/>
      <c r="L861" s="946"/>
      <c r="M861" s="955"/>
      <c r="N861" s="946"/>
    </row>
    <row r="862" spans="1:14">
      <c r="A862" s="123">
        <v>30</v>
      </c>
      <c r="B862" s="923"/>
      <c r="C862" s="111" t="s">
        <v>3127</v>
      </c>
      <c r="D862" s="945" t="s">
        <v>311</v>
      </c>
      <c r="E862" s="945" t="s">
        <v>320</v>
      </c>
      <c r="F862" s="950" t="s">
        <v>690</v>
      </c>
      <c r="G862" s="950" t="s">
        <v>3066</v>
      </c>
      <c r="H862" s="950" t="s">
        <v>354</v>
      </c>
      <c r="I862" s="950" t="s">
        <v>3129</v>
      </c>
      <c r="J862" s="950" t="s">
        <v>638</v>
      </c>
      <c r="K862" s="950" t="s">
        <v>655</v>
      </c>
      <c r="L862" s="945" t="s">
        <v>309</v>
      </c>
      <c r="M862" s="954" t="s">
        <v>1535</v>
      </c>
      <c r="N862" s="945" t="s">
        <v>1206</v>
      </c>
    </row>
    <row r="863" spans="1:14">
      <c r="A863" s="123">
        <v>30</v>
      </c>
      <c r="B863" s="923"/>
      <c r="C863" s="111" t="s">
        <v>3128</v>
      </c>
      <c r="D863" s="946"/>
      <c r="E863" s="946"/>
      <c r="F863" s="951"/>
      <c r="G863" s="951"/>
      <c r="H863" s="951"/>
      <c r="I863" s="951"/>
      <c r="J863" s="951"/>
      <c r="K863" s="951"/>
      <c r="L863" s="946"/>
      <c r="M863" s="955"/>
      <c r="N863" s="946"/>
    </row>
    <row r="864" spans="1:14">
      <c r="A864" s="123">
        <v>30</v>
      </c>
      <c r="B864" s="923"/>
      <c r="C864" s="111" t="s">
        <v>3130</v>
      </c>
      <c r="D864" s="945" t="s">
        <v>311</v>
      </c>
      <c r="E864" s="945" t="s">
        <v>320</v>
      </c>
      <c r="F864" s="950" t="s">
        <v>337</v>
      </c>
      <c r="G864" s="950" t="s">
        <v>3072</v>
      </c>
      <c r="H864" s="950" t="s">
        <v>354</v>
      </c>
      <c r="I864" s="950" t="s">
        <v>3131</v>
      </c>
      <c r="J864" s="950" t="s">
        <v>638</v>
      </c>
      <c r="K864" s="950" t="s">
        <v>713</v>
      </c>
      <c r="L864" s="945" t="s">
        <v>309</v>
      </c>
      <c r="M864" s="954" t="s">
        <v>1810</v>
      </c>
      <c r="N864" s="945" t="s">
        <v>1206</v>
      </c>
    </row>
    <row r="865" spans="1:14">
      <c r="A865" s="123">
        <v>30</v>
      </c>
      <c r="B865" s="923"/>
      <c r="C865" s="111" t="s">
        <v>3107</v>
      </c>
      <c r="D865" s="946"/>
      <c r="E865" s="946"/>
      <c r="F865" s="951"/>
      <c r="G865" s="951"/>
      <c r="H865" s="951"/>
      <c r="I865" s="951"/>
      <c r="J865" s="951"/>
      <c r="K865" s="951"/>
      <c r="L865" s="946"/>
      <c r="M865" s="955"/>
      <c r="N865" s="946"/>
    </row>
    <row r="866" spans="1:14" ht="25.5">
      <c r="A866" s="123">
        <v>30</v>
      </c>
      <c r="B866" s="92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923"/>
      <c r="C867" s="1055" t="s">
        <v>3111</v>
      </c>
      <c r="D867" s="945" t="s">
        <v>311</v>
      </c>
      <c r="E867" s="945" t="s">
        <v>675</v>
      </c>
      <c r="F867" s="950" t="s">
        <v>660</v>
      </c>
      <c r="G867" s="950" t="s">
        <v>661</v>
      </c>
      <c r="H867" s="950" t="s">
        <v>662</v>
      </c>
      <c r="I867" s="149" t="s">
        <v>3134</v>
      </c>
      <c r="J867" s="950" t="s">
        <v>638</v>
      </c>
      <c r="K867" s="950" t="s">
        <v>731</v>
      </c>
      <c r="L867" s="945" t="s">
        <v>309</v>
      </c>
      <c r="M867" s="954" t="s">
        <v>1828</v>
      </c>
      <c r="N867" s="945" t="s">
        <v>3136</v>
      </c>
    </row>
    <row r="868" spans="1:14">
      <c r="A868" s="123">
        <v>30</v>
      </c>
      <c r="B868" s="924"/>
      <c r="C868" s="1056"/>
      <c r="D868" s="946"/>
      <c r="E868" s="946"/>
      <c r="F868" s="951"/>
      <c r="G868" s="951"/>
      <c r="H868" s="951"/>
      <c r="I868" s="149" t="s">
        <v>3135</v>
      </c>
      <c r="J868" s="951"/>
      <c r="K868" s="951"/>
      <c r="L868" s="946"/>
      <c r="M868" s="955"/>
      <c r="N868" s="946"/>
    </row>
    <row r="869" spans="1:14">
      <c r="A869" s="123">
        <v>31</v>
      </c>
      <c r="B869" s="92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923"/>
      <c r="C870" s="148" t="s">
        <v>3140</v>
      </c>
      <c r="D870" s="945" t="s">
        <v>306</v>
      </c>
      <c r="E870" s="945" t="s">
        <v>322</v>
      </c>
      <c r="F870" s="945" t="s">
        <v>307</v>
      </c>
      <c r="G870" s="950">
        <v>1566</v>
      </c>
      <c r="H870" s="945" t="s">
        <v>1911</v>
      </c>
      <c r="I870" s="950" t="s">
        <v>3142</v>
      </c>
      <c r="J870" s="945" t="s">
        <v>664</v>
      </c>
      <c r="K870" s="945" t="s">
        <v>3143</v>
      </c>
      <c r="L870" s="945"/>
      <c r="M870" s="954" t="s">
        <v>3144</v>
      </c>
      <c r="N870" s="945" t="s">
        <v>665</v>
      </c>
    </row>
    <row r="871" spans="1:14">
      <c r="A871" s="123">
        <v>31</v>
      </c>
      <c r="B871" s="923"/>
      <c r="C871" s="148" t="s">
        <v>3141</v>
      </c>
      <c r="D871" s="946"/>
      <c r="E871" s="946"/>
      <c r="F871" s="946"/>
      <c r="G871" s="951"/>
      <c r="H871" s="946"/>
      <c r="I871" s="951"/>
      <c r="J871" s="946"/>
      <c r="K871" s="946"/>
      <c r="L871" s="946"/>
      <c r="M871" s="955"/>
      <c r="N871" s="946"/>
    </row>
    <row r="872" spans="1:14">
      <c r="A872" s="123">
        <v>31</v>
      </c>
      <c r="B872" s="92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923"/>
      <c r="C873" s="388" t="s">
        <v>3140</v>
      </c>
      <c r="D873" s="945" t="s">
        <v>306</v>
      </c>
      <c r="E873" s="945" t="s">
        <v>322</v>
      </c>
      <c r="F873" s="945" t="s">
        <v>307</v>
      </c>
      <c r="G873" s="950" t="s">
        <v>3147</v>
      </c>
      <c r="H873" s="945" t="s">
        <v>3148</v>
      </c>
      <c r="I873" s="950" t="s">
        <v>332</v>
      </c>
      <c r="J873" s="945" t="s">
        <v>1534</v>
      </c>
      <c r="K873" s="945" t="s">
        <v>1157</v>
      </c>
      <c r="L873" s="945"/>
      <c r="M873" s="954" t="s">
        <v>3149</v>
      </c>
      <c r="N873" s="945" t="s">
        <v>425</v>
      </c>
    </row>
    <row r="874" spans="1:14">
      <c r="A874" s="123">
        <v>31</v>
      </c>
      <c r="B874" s="924"/>
      <c r="C874" s="388" t="s">
        <v>3146</v>
      </c>
      <c r="D874" s="946"/>
      <c r="E874" s="946"/>
      <c r="F874" s="946"/>
      <c r="G874" s="951"/>
      <c r="H874" s="946"/>
      <c r="I874" s="951"/>
      <c r="J874" s="946"/>
      <c r="K874" s="946"/>
      <c r="L874" s="946"/>
      <c r="M874" s="955"/>
      <c r="N874" s="946"/>
    </row>
    <row r="875" spans="1:14">
      <c r="A875" s="123">
        <v>31</v>
      </c>
      <c r="B875" s="92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923"/>
      <c r="C876" s="945" t="s">
        <v>3128</v>
      </c>
      <c r="D876" s="945" t="s">
        <v>311</v>
      </c>
      <c r="E876" s="945" t="s">
        <v>675</v>
      </c>
      <c r="F876" s="950" t="s">
        <v>660</v>
      </c>
      <c r="G876" s="950" t="s">
        <v>661</v>
      </c>
      <c r="H876" s="950" t="s">
        <v>662</v>
      </c>
      <c r="I876" s="149" t="s">
        <v>3134</v>
      </c>
      <c r="J876" s="950"/>
      <c r="K876" s="950" t="s">
        <v>698</v>
      </c>
      <c r="L876" s="945" t="s">
        <v>309</v>
      </c>
      <c r="M876" s="954" t="s">
        <v>3139</v>
      </c>
      <c r="N876" s="945" t="s">
        <v>3152</v>
      </c>
    </row>
    <row r="877" spans="1:14">
      <c r="A877" s="123">
        <v>31</v>
      </c>
      <c r="B877" s="923"/>
      <c r="C877" s="946"/>
      <c r="D877" s="946"/>
      <c r="E877" s="946"/>
      <c r="F877" s="951"/>
      <c r="G877" s="951"/>
      <c r="H877" s="951"/>
      <c r="I877" s="149" t="s">
        <v>3135</v>
      </c>
      <c r="J877" s="951"/>
      <c r="K877" s="951"/>
      <c r="L877" s="946"/>
      <c r="M877" s="955"/>
      <c r="N877" s="946"/>
    </row>
    <row r="878" spans="1:14" ht="16.5" customHeight="1">
      <c r="A878" s="123">
        <v>31</v>
      </c>
      <c r="B878" s="923"/>
      <c r="C878" s="148" t="s">
        <v>3153</v>
      </c>
      <c r="D878" s="945" t="s">
        <v>311</v>
      </c>
      <c r="E878" s="945" t="s">
        <v>320</v>
      </c>
      <c r="F878" s="950" t="s">
        <v>3068</v>
      </c>
      <c r="G878" s="950" t="s">
        <v>1919</v>
      </c>
      <c r="H878" s="950" t="s">
        <v>3069</v>
      </c>
      <c r="I878" s="950" t="s">
        <v>3154</v>
      </c>
      <c r="J878" s="950"/>
      <c r="K878" s="950" t="s">
        <v>3155</v>
      </c>
      <c r="L878" s="945" t="s">
        <v>309</v>
      </c>
      <c r="M878" s="954" t="s">
        <v>3156</v>
      </c>
      <c r="N878" s="945" t="s">
        <v>3151</v>
      </c>
    </row>
    <row r="879" spans="1:14">
      <c r="A879" s="123">
        <v>31</v>
      </c>
      <c r="B879" s="923"/>
      <c r="C879" s="148" t="s">
        <v>3111</v>
      </c>
      <c r="D879" s="946"/>
      <c r="E879" s="946"/>
      <c r="F879" s="951"/>
      <c r="G879" s="951"/>
      <c r="H879" s="951"/>
      <c r="I879" s="951"/>
      <c r="J879" s="951"/>
      <c r="K879" s="951"/>
      <c r="L879" s="946"/>
      <c r="M879" s="955"/>
      <c r="N879" s="946"/>
    </row>
    <row r="880" spans="1:14">
      <c r="A880" s="123">
        <v>31</v>
      </c>
      <c r="B880" s="92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923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92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923"/>
      <c r="C883" s="111" t="s">
        <v>3166</v>
      </c>
      <c r="D883" s="945" t="s">
        <v>311</v>
      </c>
      <c r="E883" s="945" t="s">
        <v>320</v>
      </c>
      <c r="F883" s="950" t="s">
        <v>337</v>
      </c>
      <c r="G883" s="950" t="s">
        <v>3168</v>
      </c>
      <c r="H883" s="950" t="s">
        <v>3169</v>
      </c>
      <c r="I883" s="950" t="s">
        <v>3170</v>
      </c>
      <c r="J883" s="950" t="s">
        <v>3171</v>
      </c>
      <c r="K883" s="950" t="s">
        <v>3172</v>
      </c>
      <c r="L883" s="945" t="s">
        <v>309</v>
      </c>
      <c r="M883" s="954" t="s">
        <v>3173</v>
      </c>
      <c r="N883" s="945" t="s">
        <v>3136</v>
      </c>
    </row>
    <row r="884" spans="1:14">
      <c r="A884" s="123">
        <v>31</v>
      </c>
      <c r="B884" s="924"/>
      <c r="C884" s="111" t="s">
        <v>3167</v>
      </c>
      <c r="D884" s="946"/>
      <c r="E884" s="946"/>
      <c r="F884" s="951"/>
      <c r="G884" s="951"/>
      <c r="H884" s="951"/>
      <c r="I884" s="951"/>
      <c r="J884" s="951"/>
      <c r="K884" s="951"/>
      <c r="L884" s="946"/>
      <c r="M884" s="955"/>
      <c r="N884" s="946"/>
    </row>
    <row r="885" spans="1:14" ht="27">
      <c r="A885" s="123">
        <v>32</v>
      </c>
      <c r="B885" s="1060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1061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1061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1062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1060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1061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1061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1062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1060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1061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1062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1060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1061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1062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934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935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935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936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934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935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935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935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935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935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935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936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934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935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935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935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935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936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934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935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935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935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935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935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935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935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935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936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919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919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919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919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919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919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919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919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919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919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919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919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919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919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919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919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919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919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919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919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919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919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919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919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919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919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919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919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919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919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919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919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919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919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919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919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919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919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919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919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919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919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919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919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919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919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919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919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919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919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919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919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919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919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919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919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919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919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919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919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919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919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919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919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919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919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919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919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919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919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919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919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919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919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919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919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919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919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919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919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919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919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919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919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919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919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919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919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919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919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919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919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919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919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919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919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919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919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919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919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919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919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919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919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919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919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919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919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919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919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919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919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919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919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919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919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919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919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919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919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919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919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919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919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919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919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919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919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919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919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919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919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919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919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919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919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919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919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919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919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919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919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919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919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919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919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919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919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919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919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919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919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919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919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919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919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919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919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919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919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919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919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919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919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919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919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919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919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919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919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919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919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919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919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919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919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919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919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919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919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919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919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919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919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919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919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919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919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919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919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919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919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919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919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919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919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919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919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919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919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919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919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919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919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919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919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919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919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919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919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919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919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919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919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919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919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919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919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919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919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919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919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919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919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919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919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919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919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919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919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919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919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919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919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919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919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919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919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919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919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919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919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919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919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919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919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919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919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919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919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919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919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919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919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919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919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919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919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919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919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919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919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903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903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903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903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903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903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903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903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903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903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903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903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903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903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903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903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903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903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903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903"/>
      <c r="C1208" s="911" t="s">
        <v>5007</v>
      </c>
      <c r="D1208" s="904" t="s">
        <v>311</v>
      </c>
      <c r="E1208" s="904" t="s">
        <v>675</v>
      </c>
      <c r="F1208" s="911" t="s">
        <v>337</v>
      </c>
      <c r="G1208" s="911" t="s">
        <v>353</v>
      </c>
      <c r="H1208" s="911" t="s">
        <v>5008</v>
      </c>
      <c r="I1208" s="476" t="s">
        <v>5009</v>
      </c>
      <c r="J1208" s="911" t="s">
        <v>638</v>
      </c>
      <c r="K1208" s="911" t="s">
        <v>713</v>
      </c>
      <c r="L1208" s="904" t="s">
        <v>309</v>
      </c>
      <c r="M1208" s="914">
        <v>250000</v>
      </c>
      <c r="N1208" s="904" t="s">
        <v>4990</v>
      </c>
    </row>
    <row r="1209" spans="1:14">
      <c r="A1209" s="123">
        <v>2</v>
      </c>
      <c r="B1209" s="903"/>
      <c r="C1209" s="911"/>
      <c r="D1209" s="904"/>
      <c r="E1209" s="904"/>
      <c r="F1209" s="911"/>
      <c r="G1209" s="911"/>
      <c r="H1209" s="911"/>
      <c r="I1209" s="476" t="s">
        <v>5010</v>
      </c>
      <c r="J1209" s="911"/>
      <c r="K1209" s="911"/>
      <c r="L1209" s="904"/>
      <c r="M1209" s="914"/>
      <c r="N1209" s="904"/>
    </row>
    <row r="1210" spans="1:14">
      <c r="A1210" s="123">
        <v>2</v>
      </c>
      <c r="B1210" s="903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903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903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903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903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903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903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903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903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903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903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903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903"/>
      <c r="C1222" s="911" t="s">
        <v>5033</v>
      </c>
      <c r="D1222" s="904" t="s">
        <v>311</v>
      </c>
      <c r="E1222" s="904" t="s">
        <v>675</v>
      </c>
      <c r="F1222" s="149" t="s">
        <v>5034</v>
      </c>
      <c r="G1222" s="149" t="s">
        <v>5036</v>
      </c>
      <c r="H1222" s="911" t="s">
        <v>347</v>
      </c>
      <c r="I1222" s="149" t="s">
        <v>5038</v>
      </c>
      <c r="J1222" s="911"/>
      <c r="K1222" s="911" t="s">
        <v>705</v>
      </c>
      <c r="L1222" s="904" t="s">
        <v>309</v>
      </c>
      <c r="M1222" s="914">
        <v>500000</v>
      </c>
      <c r="N1222" s="904" t="s">
        <v>5032</v>
      </c>
    </row>
    <row r="1223" spans="1:14">
      <c r="A1223" s="123">
        <v>3</v>
      </c>
      <c r="B1223" s="903"/>
      <c r="C1223" s="911"/>
      <c r="D1223" s="904"/>
      <c r="E1223" s="904"/>
      <c r="F1223" s="149" t="s">
        <v>5035</v>
      </c>
      <c r="G1223" s="149" t="s">
        <v>5037</v>
      </c>
      <c r="H1223" s="911"/>
      <c r="I1223" s="149" t="s">
        <v>5039</v>
      </c>
      <c r="J1223" s="911"/>
      <c r="K1223" s="911"/>
      <c r="L1223" s="904"/>
      <c r="M1223" s="914"/>
      <c r="N1223" s="904"/>
    </row>
    <row r="1224" spans="1:14">
      <c r="A1224" s="123">
        <v>3</v>
      </c>
      <c r="B1224" s="903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903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903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903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903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903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903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903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903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903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903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903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903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903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903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903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903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903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903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903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903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903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903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903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903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903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903"/>
      <c r="C1250" s="911" t="s">
        <v>5098</v>
      </c>
      <c r="D1250" s="904" t="s">
        <v>311</v>
      </c>
      <c r="E1250" s="904" t="s">
        <v>675</v>
      </c>
      <c r="F1250" s="904" t="s">
        <v>4986</v>
      </c>
      <c r="G1250" s="904">
        <v>1017</v>
      </c>
      <c r="H1250" s="904" t="s">
        <v>347</v>
      </c>
      <c r="I1250" s="149" t="s">
        <v>5099</v>
      </c>
      <c r="J1250" s="911"/>
      <c r="K1250" s="911" t="s">
        <v>692</v>
      </c>
      <c r="L1250" s="904" t="s">
        <v>309</v>
      </c>
      <c r="M1250" s="914">
        <v>500000</v>
      </c>
      <c r="N1250" s="904" t="s">
        <v>5032</v>
      </c>
    </row>
    <row r="1251" spans="1:14">
      <c r="A1251" s="123">
        <v>5</v>
      </c>
      <c r="B1251" s="903"/>
      <c r="C1251" s="911"/>
      <c r="D1251" s="904"/>
      <c r="E1251" s="904"/>
      <c r="F1251" s="904"/>
      <c r="G1251" s="904"/>
      <c r="H1251" s="904"/>
      <c r="I1251" s="149" t="s">
        <v>5100</v>
      </c>
      <c r="J1251" s="911"/>
      <c r="K1251" s="911"/>
      <c r="L1251" s="904"/>
      <c r="M1251" s="914"/>
      <c r="N1251" s="904"/>
    </row>
    <row r="1252" spans="1:14">
      <c r="A1252" s="123">
        <v>5</v>
      </c>
      <c r="B1252" s="903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903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903"/>
      <c r="C1254" s="911" t="s">
        <v>5103</v>
      </c>
      <c r="D1254" s="904" t="s">
        <v>311</v>
      </c>
      <c r="E1254" s="904" t="s">
        <v>675</v>
      </c>
      <c r="F1254" s="911" t="s">
        <v>5070</v>
      </c>
      <c r="G1254" s="911">
        <v>3006</v>
      </c>
      <c r="H1254" s="911" t="s">
        <v>347</v>
      </c>
      <c r="I1254" s="476" t="s">
        <v>5104</v>
      </c>
      <c r="J1254" s="911"/>
      <c r="K1254" s="911" t="s">
        <v>705</v>
      </c>
      <c r="L1254" s="904" t="s">
        <v>309</v>
      </c>
      <c r="M1254" s="914">
        <v>500000</v>
      </c>
      <c r="N1254" s="904" t="s">
        <v>5032</v>
      </c>
    </row>
    <row r="1255" spans="1:14">
      <c r="A1255" s="123">
        <v>5</v>
      </c>
      <c r="B1255" s="903"/>
      <c r="C1255" s="911"/>
      <c r="D1255" s="904"/>
      <c r="E1255" s="904"/>
      <c r="F1255" s="911"/>
      <c r="G1255" s="911"/>
      <c r="H1255" s="911"/>
      <c r="I1255" s="476" t="s">
        <v>5105</v>
      </c>
      <c r="J1255" s="911"/>
      <c r="K1255" s="911"/>
      <c r="L1255" s="904"/>
      <c r="M1255" s="914"/>
      <c r="N1255" s="904"/>
    </row>
    <row r="1256" spans="1:14">
      <c r="A1256" s="123">
        <v>5</v>
      </c>
      <c r="B1256" s="903"/>
      <c r="C1256" s="911" t="s">
        <v>5103</v>
      </c>
      <c r="D1256" s="904" t="s">
        <v>311</v>
      </c>
      <c r="E1256" s="904" t="s">
        <v>675</v>
      </c>
      <c r="F1256" s="911" t="s">
        <v>5070</v>
      </c>
      <c r="G1256" s="911">
        <v>3006</v>
      </c>
      <c r="H1256" s="911" t="s">
        <v>347</v>
      </c>
      <c r="I1256" s="476" t="s">
        <v>5104</v>
      </c>
      <c r="J1256" s="911"/>
      <c r="K1256" s="911" t="s">
        <v>4936</v>
      </c>
      <c r="L1256" s="904" t="s">
        <v>309</v>
      </c>
      <c r="M1256" s="914">
        <v>600000</v>
      </c>
      <c r="N1256" s="904" t="s">
        <v>5032</v>
      </c>
    </row>
    <row r="1257" spans="1:14">
      <c r="A1257" s="123">
        <v>5</v>
      </c>
      <c r="B1257" s="903"/>
      <c r="C1257" s="911"/>
      <c r="D1257" s="904"/>
      <c r="E1257" s="904"/>
      <c r="F1257" s="911"/>
      <c r="G1257" s="911"/>
      <c r="H1257" s="911"/>
      <c r="I1257" s="476" t="s">
        <v>5105</v>
      </c>
      <c r="J1257" s="911"/>
      <c r="K1257" s="911"/>
      <c r="L1257" s="904"/>
      <c r="M1257" s="914"/>
      <c r="N1257" s="904"/>
    </row>
    <row r="1258" spans="1:14">
      <c r="A1258" s="123">
        <v>5</v>
      </c>
      <c r="B1258" s="903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903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903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903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903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903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903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903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903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903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903"/>
      <c r="C1268" s="911" t="s">
        <v>5122</v>
      </c>
      <c r="D1268" s="904" t="s">
        <v>311</v>
      </c>
      <c r="E1268" s="904" t="s">
        <v>675</v>
      </c>
      <c r="F1268" s="149" t="s">
        <v>5123</v>
      </c>
      <c r="G1268" s="475" t="s">
        <v>5125</v>
      </c>
      <c r="H1268" s="389" t="s">
        <v>347</v>
      </c>
      <c r="I1268" s="911" t="s">
        <v>5128</v>
      </c>
      <c r="J1268" s="911" t="s">
        <v>638</v>
      </c>
      <c r="K1268" s="911" t="s">
        <v>692</v>
      </c>
      <c r="L1268" s="904" t="s">
        <v>309</v>
      </c>
      <c r="M1268" s="914">
        <v>500000</v>
      </c>
      <c r="N1268" s="904" t="s">
        <v>1772</v>
      </c>
    </row>
    <row r="1269" spans="1:14">
      <c r="A1269" s="123">
        <v>6</v>
      </c>
      <c r="B1269" s="903"/>
      <c r="C1269" s="911"/>
      <c r="D1269" s="904"/>
      <c r="E1269" s="904"/>
      <c r="F1269" s="149" t="s">
        <v>5124</v>
      </c>
      <c r="G1269" s="475" t="s">
        <v>5126</v>
      </c>
      <c r="H1269" s="389" t="s">
        <v>5127</v>
      </c>
      <c r="I1269" s="911"/>
      <c r="J1269" s="911"/>
      <c r="K1269" s="911"/>
      <c r="L1269" s="904"/>
      <c r="M1269" s="914"/>
      <c r="N1269" s="904"/>
    </row>
    <row r="1270" spans="1:14" ht="24">
      <c r="A1270" s="123">
        <v>6</v>
      </c>
      <c r="B1270" s="903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903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903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903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903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903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903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903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903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903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903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903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903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903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903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903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903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903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903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903"/>
      <c r="C1289" s="910" t="s">
        <v>5158</v>
      </c>
      <c r="D1289" s="912" t="s">
        <v>311</v>
      </c>
      <c r="E1289" s="912" t="s">
        <v>675</v>
      </c>
      <c r="F1289" s="506" t="s">
        <v>5123</v>
      </c>
      <c r="G1289" s="507" t="s">
        <v>5125</v>
      </c>
      <c r="H1289" s="507" t="s">
        <v>347</v>
      </c>
      <c r="I1289" s="910" t="s">
        <v>5128</v>
      </c>
      <c r="J1289" s="910"/>
      <c r="K1289" s="910" t="s">
        <v>692</v>
      </c>
      <c r="L1289" s="912" t="s">
        <v>309</v>
      </c>
      <c r="M1289" s="913">
        <v>500000</v>
      </c>
      <c r="N1289" s="904" t="s">
        <v>5032</v>
      </c>
    </row>
    <row r="1290" spans="1:14" ht="19.5">
      <c r="A1290" s="123">
        <v>8</v>
      </c>
      <c r="B1290" s="903"/>
      <c r="C1290" s="911"/>
      <c r="D1290" s="904"/>
      <c r="E1290" s="904"/>
      <c r="F1290" s="149" t="s">
        <v>5124</v>
      </c>
      <c r="G1290" s="475" t="s">
        <v>5126</v>
      </c>
      <c r="H1290" s="477" t="s">
        <v>5127</v>
      </c>
      <c r="I1290" s="911"/>
      <c r="J1290" s="911"/>
      <c r="K1290" s="911"/>
      <c r="L1290" s="904"/>
      <c r="M1290" s="914"/>
      <c r="N1290" s="904"/>
    </row>
    <row r="1291" spans="1:14">
      <c r="A1291" s="123">
        <v>8</v>
      </c>
      <c r="B1291" s="903"/>
      <c r="C1291" s="910" t="s">
        <v>5159</v>
      </c>
      <c r="D1291" s="912" t="s">
        <v>311</v>
      </c>
      <c r="E1291" s="912" t="s">
        <v>320</v>
      </c>
      <c r="F1291" s="917" t="s">
        <v>709</v>
      </c>
      <c r="G1291" s="910" t="s">
        <v>3098</v>
      </c>
      <c r="H1291" s="910" t="s">
        <v>3099</v>
      </c>
      <c r="I1291" s="506" t="s">
        <v>5312</v>
      </c>
      <c r="J1291" s="910" t="s">
        <v>638</v>
      </c>
      <c r="K1291" s="910" t="s">
        <v>713</v>
      </c>
      <c r="L1291" s="912" t="s">
        <v>309</v>
      </c>
      <c r="M1291" s="913">
        <v>250000</v>
      </c>
      <c r="N1291" s="904" t="s">
        <v>5032</v>
      </c>
    </row>
    <row r="1292" spans="1:14">
      <c r="A1292" s="123">
        <v>8</v>
      </c>
      <c r="B1292" s="903"/>
      <c r="C1292" s="911"/>
      <c r="D1292" s="904"/>
      <c r="E1292" s="904"/>
      <c r="F1292" s="918"/>
      <c r="G1292" s="911"/>
      <c r="H1292" s="911"/>
      <c r="I1292" s="149" t="s">
        <v>5160</v>
      </c>
      <c r="J1292" s="911"/>
      <c r="K1292" s="911"/>
      <c r="L1292" s="904"/>
      <c r="M1292" s="914"/>
      <c r="N1292" s="904"/>
    </row>
    <row r="1293" spans="1:14">
      <c r="A1293" s="123">
        <v>8</v>
      </c>
      <c r="B1293" s="903"/>
      <c r="C1293" s="910" t="s">
        <v>5161</v>
      </c>
      <c r="D1293" s="912" t="s">
        <v>311</v>
      </c>
      <c r="E1293" s="912" t="s">
        <v>320</v>
      </c>
      <c r="F1293" s="910" t="s">
        <v>337</v>
      </c>
      <c r="G1293" s="910" t="s">
        <v>3168</v>
      </c>
      <c r="H1293" s="910" t="s">
        <v>3057</v>
      </c>
      <c r="I1293" s="506" t="s">
        <v>5313</v>
      </c>
      <c r="J1293" s="910" t="s">
        <v>638</v>
      </c>
      <c r="K1293" s="910" t="s">
        <v>692</v>
      </c>
      <c r="L1293" s="912" t="s">
        <v>309</v>
      </c>
      <c r="M1293" s="913">
        <v>500000</v>
      </c>
      <c r="N1293" s="904" t="s">
        <v>1206</v>
      </c>
    </row>
    <row r="1294" spans="1:14">
      <c r="A1294" s="123">
        <v>8</v>
      </c>
      <c r="B1294" s="903"/>
      <c r="C1294" s="911"/>
      <c r="D1294" s="904"/>
      <c r="E1294" s="904"/>
      <c r="F1294" s="911"/>
      <c r="G1294" s="911"/>
      <c r="H1294" s="911"/>
      <c r="I1294" s="149" t="s">
        <v>5162</v>
      </c>
      <c r="J1294" s="911"/>
      <c r="K1294" s="911"/>
      <c r="L1294" s="904"/>
      <c r="M1294" s="914"/>
      <c r="N1294" s="904"/>
    </row>
    <row r="1295" spans="1:14">
      <c r="A1295" s="123">
        <v>9</v>
      </c>
      <c r="B1295" s="903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903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903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903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903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903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903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903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903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903"/>
      <c r="C1304" s="910" t="s">
        <v>5175</v>
      </c>
      <c r="D1304" s="912" t="s">
        <v>311</v>
      </c>
      <c r="E1304" s="912" t="s">
        <v>320</v>
      </c>
      <c r="F1304" s="910" t="s">
        <v>337</v>
      </c>
      <c r="G1304" s="910" t="s">
        <v>3168</v>
      </c>
      <c r="H1304" s="910" t="s">
        <v>3057</v>
      </c>
      <c r="I1304" s="510" t="s">
        <v>5176</v>
      </c>
      <c r="J1304" s="910" t="s">
        <v>638</v>
      </c>
      <c r="K1304" s="910" t="s">
        <v>713</v>
      </c>
      <c r="L1304" s="912" t="s">
        <v>309</v>
      </c>
      <c r="M1304" s="913">
        <v>250000</v>
      </c>
      <c r="N1304" s="904" t="s">
        <v>5032</v>
      </c>
    </row>
    <row r="1305" spans="1:14">
      <c r="A1305" s="123">
        <v>9</v>
      </c>
      <c r="B1305" s="903"/>
      <c r="C1305" s="911"/>
      <c r="D1305" s="904"/>
      <c r="E1305" s="904"/>
      <c r="F1305" s="911"/>
      <c r="G1305" s="911"/>
      <c r="H1305" s="911"/>
      <c r="I1305" s="476" t="s">
        <v>5177</v>
      </c>
      <c r="J1305" s="911"/>
      <c r="K1305" s="911"/>
      <c r="L1305" s="904"/>
      <c r="M1305" s="914"/>
      <c r="N1305" s="904"/>
    </row>
    <row r="1306" spans="1:14">
      <c r="A1306" s="123">
        <v>9</v>
      </c>
      <c r="B1306" s="903"/>
      <c r="C1306" s="910" t="s">
        <v>5175</v>
      </c>
      <c r="D1306" s="912" t="s">
        <v>311</v>
      </c>
      <c r="E1306" s="912" t="s">
        <v>320</v>
      </c>
      <c r="F1306" s="910" t="s">
        <v>5178</v>
      </c>
      <c r="G1306" s="506" t="s">
        <v>689</v>
      </c>
      <c r="H1306" s="910" t="s">
        <v>5180</v>
      </c>
      <c r="I1306" s="506" t="s">
        <v>5315</v>
      </c>
      <c r="J1306" s="910"/>
      <c r="K1306" s="910" t="s">
        <v>713</v>
      </c>
      <c r="L1306" s="912" t="s">
        <v>309</v>
      </c>
      <c r="M1306" s="913">
        <v>250000</v>
      </c>
      <c r="N1306" s="904" t="s">
        <v>5032</v>
      </c>
    </row>
    <row r="1307" spans="1:14">
      <c r="A1307" s="123">
        <v>9</v>
      </c>
      <c r="B1307" s="903"/>
      <c r="C1307" s="911"/>
      <c r="D1307" s="904"/>
      <c r="E1307" s="904"/>
      <c r="F1307" s="911"/>
      <c r="G1307" s="149" t="s">
        <v>5179</v>
      </c>
      <c r="H1307" s="911"/>
      <c r="I1307" s="149" t="s">
        <v>5181</v>
      </c>
      <c r="J1307" s="911"/>
      <c r="K1307" s="911"/>
      <c r="L1307" s="904"/>
      <c r="M1307" s="914"/>
      <c r="N1307" s="904"/>
    </row>
    <row r="1308" spans="1:14">
      <c r="A1308" s="123">
        <v>9</v>
      </c>
      <c r="B1308" s="903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903"/>
      <c r="C1309" s="910" t="s">
        <v>5183</v>
      </c>
      <c r="D1309" s="912" t="s">
        <v>311</v>
      </c>
      <c r="E1309" s="912" t="s">
        <v>320</v>
      </c>
      <c r="F1309" s="910" t="s">
        <v>337</v>
      </c>
      <c r="G1309" s="506" t="s">
        <v>3401</v>
      </c>
      <c r="H1309" s="910" t="s">
        <v>5029</v>
      </c>
      <c r="I1309" s="910" t="s">
        <v>5316</v>
      </c>
      <c r="J1309" s="910"/>
      <c r="K1309" s="910" t="s">
        <v>692</v>
      </c>
      <c r="L1309" s="912" t="s">
        <v>309</v>
      </c>
      <c r="M1309" s="913">
        <v>500000</v>
      </c>
      <c r="N1309" s="904" t="s">
        <v>5032</v>
      </c>
    </row>
    <row r="1310" spans="1:14">
      <c r="A1310" s="123">
        <v>9</v>
      </c>
      <c r="B1310" s="903"/>
      <c r="C1310" s="911"/>
      <c r="D1310" s="904"/>
      <c r="E1310" s="904"/>
      <c r="F1310" s="911"/>
      <c r="G1310" s="149" t="s">
        <v>5184</v>
      </c>
      <c r="H1310" s="911"/>
      <c r="I1310" s="911"/>
      <c r="J1310" s="911"/>
      <c r="K1310" s="911"/>
      <c r="L1310" s="904"/>
      <c r="M1310" s="914"/>
      <c r="N1310" s="904"/>
    </row>
    <row r="1311" spans="1:14" ht="24">
      <c r="A1311" s="123">
        <v>9</v>
      </c>
      <c r="B1311" s="903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903"/>
      <c r="C1312" s="910" t="s">
        <v>5187</v>
      </c>
      <c r="D1312" s="912" t="s">
        <v>311</v>
      </c>
      <c r="E1312" s="912" t="s">
        <v>675</v>
      </c>
      <c r="F1312" s="910" t="s">
        <v>5188</v>
      </c>
      <c r="G1312" s="507" t="s">
        <v>1919</v>
      </c>
      <c r="H1312" s="910" t="s">
        <v>347</v>
      </c>
      <c r="I1312" s="910" t="s">
        <v>5319</v>
      </c>
      <c r="J1312" s="910"/>
      <c r="K1312" s="910" t="s">
        <v>692</v>
      </c>
      <c r="L1312" s="912" t="s">
        <v>309</v>
      </c>
      <c r="M1312" s="915">
        <v>500000</v>
      </c>
      <c r="N1312" s="904" t="s">
        <v>1925</v>
      </c>
    </row>
    <row r="1313" spans="1:14">
      <c r="A1313" s="123">
        <v>9</v>
      </c>
      <c r="B1313" s="903"/>
      <c r="C1313" s="911"/>
      <c r="D1313" s="904"/>
      <c r="E1313" s="904"/>
      <c r="F1313" s="911"/>
      <c r="G1313" s="475" t="s">
        <v>5189</v>
      </c>
      <c r="H1313" s="911"/>
      <c r="I1313" s="911"/>
      <c r="J1313" s="911"/>
      <c r="K1313" s="911"/>
      <c r="L1313" s="904"/>
      <c r="M1313" s="916"/>
      <c r="N1313" s="904"/>
    </row>
    <row r="1314" spans="1:14">
      <c r="A1314" s="123">
        <v>10</v>
      </c>
      <c r="B1314" s="903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903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903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903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903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903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903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903"/>
      <c r="C1321" s="911" t="s">
        <v>5201</v>
      </c>
      <c r="D1321" s="904" t="s">
        <v>311</v>
      </c>
      <c r="E1321" s="904" t="s">
        <v>320</v>
      </c>
      <c r="F1321" s="911" t="s">
        <v>337</v>
      </c>
      <c r="G1321" s="911" t="s">
        <v>3168</v>
      </c>
      <c r="H1321" s="911" t="s">
        <v>3057</v>
      </c>
      <c r="I1321" s="476" t="s">
        <v>5176</v>
      </c>
      <c r="J1321" s="911" t="s">
        <v>638</v>
      </c>
      <c r="K1321" s="911" t="s">
        <v>705</v>
      </c>
      <c r="L1321" s="904" t="s">
        <v>309</v>
      </c>
      <c r="M1321" s="914">
        <v>500000</v>
      </c>
      <c r="N1321" s="904" t="s">
        <v>1206</v>
      </c>
    </row>
    <row r="1322" spans="1:14">
      <c r="A1322" s="123">
        <v>10</v>
      </c>
      <c r="B1322" s="903"/>
      <c r="C1322" s="911"/>
      <c r="D1322" s="904"/>
      <c r="E1322" s="904"/>
      <c r="F1322" s="911"/>
      <c r="G1322" s="911"/>
      <c r="H1322" s="911"/>
      <c r="I1322" s="476" t="s">
        <v>5177</v>
      </c>
      <c r="J1322" s="911"/>
      <c r="K1322" s="911"/>
      <c r="L1322" s="904"/>
      <c r="M1322" s="914"/>
      <c r="N1322" s="904"/>
    </row>
    <row r="1323" spans="1:14">
      <c r="A1323" s="123">
        <v>10</v>
      </c>
      <c r="B1323" s="903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903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903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903"/>
      <c r="C1326" s="911" t="s">
        <v>5202</v>
      </c>
      <c r="D1326" s="904" t="s">
        <v>311</v>
      </c>
      <c r="E1326" s="904" t="s">
        <v>320</v>
      </c>
      <c r="F1326" s="911" t="s">
        <v>337</v>
      </c>
      <c r="G1326" s="911" t="s">
        <v>3168</v>
      </c>
      <c r="H1326" s="911" t="s">
        <v>3057</v>
      </c>
      <c r="I1326" s="476" t="s">
        <v>5176</v>
      </c>
      <c r="J1326" s="911"/>
      <c r="K1326" s="911" t="s">
        <v>705</v>
      </c>
      <c r="L1326" s="904" t="s">
        <v>309</v>
      </c>
      <c r="M1326" s="914">
        <v>500000</v>
      </c>
      <c r="N1326" s="904" t="s">
        <v>1206</v>
      </c>
    </row>
    <row r="1327" spans="1:14">
      <c r="A1327" s="123">
        <v>10</v>
      </c>
      <c r="B1327" s="903"/>
      <c r="C1327" s="911"/>
      <c r="D1327" s="904"/>
      <c r="E1327" s="904"/>
      <c r="F1327" s="911"/>
      <c r="G1327" s="911"/>
      <c r="H1327" s="911"/>
      <c r="I1327" s="476" t="s">
        <v>5177</v>
      </c>
      <c r="J1327" s="911"/>
      <c r="K1327" s="911"/>
      <c r="L1327" s="904"/>
      <c r="M1327" s="914"/>
      <c r="N1327" s="904"/>
    </row>
    <row r="1328" spans="1:14" ht="25.5">
      <c r="A1328" s="123">
        <v>10</v>
      </c>
      <c r="B1328" s="903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903"/>
      <c r="C1329" s="910" t="s">
        <v>5209</v>
      </c>
      <c r="D1329" s="912" t="s">
        <v>311</v>
      </c>
      <c r="E1329" s="912" t="s">
        <v>675</v>
      </c>
      <c r="F1329" s="506" t="s">
        <v>5210</v>
      </c>
      <c r="G1329" s="910" t="s">
        <v>5212</v>
      </c>
      <c r="H1329" s="910" t="s">
        <v>662</v>
      </c>
      <c r="I1329" s="910" t="s">
        <v>5321</v>
      </c>
      <c r="J1329" s="910" t="s">
        <v>638</v>
      </c>
      <c r="K1329" s="910" t="s">
        <v>713</v>
      </c>
      <c r="L1329" s="912" t="s">
        <v>309</v>
      </c>
      <c r="M1329" s="913">
        <v>250000</v>
      </c>
      <c r="N1329" s="904" t="s">
        <v>5032</v>
      </c>
    </row>
    <row r="1330" spans="1:14">
      <c r="A1330" s="123">
        <v>10</v>
      </c>
      <c r="B1330" s="903"/>
      <c r="C1330" s="911"/>
      <c r="D1330" s="904"/>
      <c r="E1330" s="904"/>
      <c r="F1330" s="149" t="s">
        <v>5211</v>
      </c>
      <c r="G1330" s="911"/>
      <c r="H1330" s="911"/>
      <c r="I1330" s="911"/>
      <c r="J1330" s="911"/>
      <c r="K1330" s="911"/>
      <c r="L1330" s="904"/>
      <c r="M1330" s="914"/>
      <c r="N1330" s="904"/>
    </row>
    <row r="1331" spans="1:14">
      <c r="A1331" s="123">
        <v>10</v>
      </c>
      <c r="B1331" s="903"/>
      <c r="C1331" s="910" t="s">
        <v>5213</v>
      </c>
      <c r="D1331" s="912" t="s">
        <v>311</v>
      </c>
      <c r="E1331" s="912" t="s">
        <v>675</v>
      </c>
      <c r="F1331" s="910" t="s">
        <v>5214</v>
      </c>
      <c r="G1331" s="507" t="s">
        <v>5126</v>
      </c>
      <c r="H1331" s="905" t="s">
        <v>347</v>
      </c>
      <c r="I1331" s="506" t="s">
        <v>5322</v>
      </c>
      <c r="J1331" s="910"/>
      <c r="K1331" s="910" t="s">
        <v>692</v>
      </c>
      <c r="L1331" s="912" t="s">
        <v>309</v>
      </c>
      <c r="M1331" s="913">
        <v>500000</v>
      </c>
      <c r="N1331" s="904" t="s">
        <v>5032</v>
      </c>
    </row>
    <row r="1332" spans="1:14">
      <c r="A1332" s="123">
        <v>10</v>
      </c>
      <c r="B1332" s="903"/>
      <c r="C1332" s="911"/>
      <c r="D1332" s="904"/>
      <c r="E1332" s="904"/>
      <c r="F1332" s="911"/>
      <c r="G1332" s="475" t="s">
        <v>5215</v>
      </c>
      <c r="H1332" s="906"/>
      <c r="I1332" s="149" t="s">
        <v>5217</v>
      </c>
      <c r="J1332" s="911"/>
      <c r="K1332" s="911"/>
      <c r="L1332" s="904"/>
      <c r="M1332" s="914"/>
      <c r="N1332" s="904"/>
    </row>
    <row r="1333" spans="1:14">
      <c r="A1333" s="123">
        <v>11</v>
      </c>
      <c r="B1333" s="903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903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903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903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903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903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903" t="s">
        <v>5163</v>
      </c>
      <c r="C1339" s="905" t="s">
        <v>5218</v>
      </c>
      <c r="D1339" s="907" t="s">
        <v>311</v>
      </c>
      <c r="E1339" s="907" t="s">
        <v>675</v>
      </c>
      <c r="F1339" s="905" t="s">
        <v>5214</v>
      </c>
      <c r="G1339" s="510" t="s">
        <v>5126</v>
      </c>
      <c r="H1339" s="905" t="s">
        <v>347</v>
      </c>
      <c r="I1339" s="510" t="s">
        <v>5216</v>
      </c>
      <c r="J1339" s="905"/>
      <c r="K1339" s="905" t="s">
        <v>692</v>
      </c>
      <c r="L1339" s="907" t="s">
        <v>309</v>
      </c>
      <c r="M1339" s="908">
        <v>500000</v>
      </c>
      <c r="N1339" s="906" t="s">
        <v>5225</v>
      </c>
    </row>
    <row r="1340" spans="1:14">
      <c r="A1340" s="123">
        <v>11</v>
      </c>
      <c r="B1340" s="903"/>
      <c r="C1340" s="906"/>
      <c r="D1340" s="901"/>
      <c r="E1340" s="901"/>
      <c r="F1340" s="906"/>
      <c r="G1340" s="476" t="s">
        <v>5215</v>
      </c>
      <c r="H1340" s="906"/>
      <c r="I1340" s="476" t="s">
        <v>5217</v>
      </c>
      <c r="J1340" s="906"/>
      <c r="K1340" s="906"/>
      <c r="L1340" s="901"/>
      <c r="M1340" s="909"/>
      <c r="N1340" s="906"/>
    </row>
    <row r="1341" spans="1:14">
      <c r="A1341" s="123">
        <v>11</v>
      </c>
      <c r="B1341" s="903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903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903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903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903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903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903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903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19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903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903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903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903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903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2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903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6" t="s">
        <v>686</v>
      </c>
      <c r="L1354" s="249"/>
      <c r="M1354" s="463">
        <v>250000</v>
      </c>
    </row>
    <row r="1355" spans="1:14">
      <c r="A1355" s="123">
        <v>13</v>
      </c>
      <c r="B1355" s="903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903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903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903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903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19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903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6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903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6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903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903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903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2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903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8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903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8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903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5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903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8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899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1" t="s">
        <v>3105</v>
      </c>
      <c r="L1369" s="478"/>
      <c r="M1369" s="481">
        <v>250000</v>
      </c>
      <c r="N1369" s="901" t="s">
        <v>5443</v>
      </c>
    </row>
    <row r="1370" spans="1:14">
      <c r="A1370" s="123">
        <v>14</v>
      </c>
      <c r="B1370" s="900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6" t="s">
        <v>713</v>
      </c>
      <c r="L1370" s="478"/>
      <c r="M1370" s="481">
        <v>250000</v>
      </c>
      <c r="N1370" s="901"/>
    </row>
    <row r="1371" spans="1:14">
      <c r="A1371" s="123">
        <v>14</v>
      </c>
      <c r="B1371" s="900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1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900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1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900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6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900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6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900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0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900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79" t="s">
        <v>705</v>
      </c>
      <c r="L1376" s="478"/>
      <c r="M1376" s="481">
        <v>500000</v>
      </c>
      <c r="N1376" s="26"/>
    </row>
    <row r="1377" spans="1:14">
      <c r="A1377" s="123">
        <v>14</v>
      </c>
      <c r="B1377" s="902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6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902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8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902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4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902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4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902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4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902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4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919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919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2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919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7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919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3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919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919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3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919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919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3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919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3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919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2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919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2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919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3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919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2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919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919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919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3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919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919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3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919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3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919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0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919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919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602">
        <v>17</v>
      </c>
      <c r="B1405" s="903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>
      <c r="A1406" s="602">
        <v>17</v>
      </c>
      <c r="B1406" s="903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>
      <c r="A1407" s="602">
        <v>17</v>
      </c>
      <c r="B1407" s="903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>
      <c r="A1408" s="602">
        <v>17</v>
      </c>
      <c r="B1408" s="903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8" t="s">
        <v>5614</v>
      </c>
      <c r="L1408" s="596"/>
      <c r="M1408" s="392">
        <f>250000*4</f>
        <v>1000000</v>
      </c>
      <c r="N1408" s="26"/>
    </row>
    <row r="1409" spans="1:14" ht="26.25" customHeight="1">
      <c r="A1409" s="602">
        <v>17</v>
      </c>
      <c r="B1409" s="903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>
      <c r="A1410" s="602">
        <v>17</v>
      </c>
      <c r="B1410" s="922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1" t="s">
        <v>41</v>
      </c>
      <c r="L1410" s="136" t="s">
        <v>15</v>
      </c>
      <c r="M1410" s="96">
        <v>250000</v>
      </c>
      <c r="N1410" s="26"/>
    </row>
    <row r="1411" spans="1:14">
      <c r="A1411" s="602">
        <v>17</v>
      </c>
      <c r="B1411" s="923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602">
        <v>17</v>
      </c>
      <c r="B1412" s="923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>
      <c r="A1413" s="602">
        <v>17</v>
      </c>
      <c r="B1413" s="923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>
      <c r="A1414" s="602">
        <v>17</v>
      </c>
      <c r="B1414" s="924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>
      <c r="A1415" s="602">
        <v>18</v>
      </c>
      <c r="B1415" s="903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0"/>
      <c r="M1415" s="392">
        <f>250000*2</f>
        <v>500000</v>
      </c>
      <c r="N1415" s="698"/>
    </row>
    <row r="1416" spans="1:14">
      <c r="A1416" s="602">
        <v>18</v>
      </c>
      <c r="B1416" s="903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0"/>
      <c r="M1416" s="392">
        <f>250000*2</f>
        <v>500000</v>
      </c>
      <c r="N1416" s="698"/>
    </row>
    <row r="1417" spans="1:14">
      <c r="A1417" s="602">
        <v>18</v>
      </c>
      <c r="B1417" s="903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0"/>
      <c r="M1417" s="392">
        <f>250000*1</f>
        <v>250000</v>
      </c>
      <c r="N1417" s="579"/>
    </row>
    <row r="1418" spans="1:14">
      <c r="A1418" s="602">
        <v>18</v>
      </c>
      <c r="B1418" s="903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0"/>
      <c r="M1418" s="392">
        <f>250000*2</f>
        <v>500000</v>
      </c>
      <c r="N1418" s="579"/>
    </row>
    <row r="1419" spans="1:14">
      <c r="A1419" s="602">
        <v>18</v>
      </c>
      <c r="B1419" s="903" t="s">
        <v>5694</v>
      </c>
      <c r="C1419" s="369">
        <v>46140</v>
      </c>
      <c r="D1419" s="4" t="s">
        <v>21</v>
      </c>
      <c r="E1419" s="4" t="s">
        <v>14</v>
      </c>
      <c r="F1419" s="609" t="s">
        <v>78</v>
      </c>
      <c r="G1419" s="611" t="s">
        <v>3008</v>
      </c>
      <c r="H1419" s="16" t="s">
        <v>1382</v>
      </c>
      <c r="I1419" s="611" t="s">
        <v>5438</v>
      </c>
      <c r="J1419" s="609" t="s">
        <v>202</v>
      </c>
      <c r="K1419" s="609" t="s">
        <v>686</v>
      </c>
      <c r="L1419" s="125" t="s">
        <v>15</v>
      </c>
      <c r="M1419" s="96">
        <v>250000</v>
      </c>
      <c r="N1419" s="655" t="s">
        <v>5667</v>
      </c>
    </row>
    <row r="1420" spans="1:14">
      <c r="A1420" s="602">
        <v>18</v>
      </c>
      <c r="B1420" s="903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5" t="s">
        <v>5667</v>
      </c>
    </row>
    <row r="1421" spans="1:14" ht="27">
      <c r="A1421" s="602">
        <v>18</v>
      </c>
      <c r="B1421" s="903"/>
      <c r="C1421" s="369">
        <v>46146</v>
      </c>
      <c r="D1421" s="4" t="s">
        <v>24</v>
      </c>
      <c r="E1421" s="4" t="s">
        <v>31</v>
      </c>
      <c r="F1421" s="609" t="s">
        <v>5632</v>
      </c>
      <c r="G1421" s="611" t="s">
        <v>3970</v>
      </c>
      <c r="H1421" s="16" t="s">
        <v>23</v>
      </c>
      <c r="I1421" s="611" t="s">
        <v>5633</v>
      </c>
      <c r="J1421" s="609"/>
      <c r="K1421" s="611" t="s">
        <v>3075</v>
      </c>
      <c r="L1421" s="125" t="s">
        <v>15</v>
      </c>
      <c r="M1421" s="96">
        <v>400000</v>
      </c>
      <c r="N1421" s="655" t="s">
        <v>127</v>
      </c>
    </row>
    <row r="1422" spans="1:14">
      <c r="A1422" s="602">
        <v>18</v>
      </c>
      <c r="B1422" s="903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602">
        <v>18</v>
      </c>
      <c r="B1423" s="903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602">
        <v>18</v>
      </c>
      <c r="B1424" s="903"/>
      <c r="C1424" s="369">
        <v>46150</v>
      </c>
      <c r="D1424" s="4" t="s">
        <v>21</v>
      </c>
      <c r="E1424" s="4" t="s">
        <v>14</v>
      </c>
      <c r="F1424" s="609" t="s">
        <v>1787</v>
      </c>
      <c r="G1424" s="609" t="s">
        <v>2978</v>
      </c>
      <c r="H1424" s="16" t="s">
        <v>67</v>
      </c>
      <c r="I1424" s="611" t="s">
        <v>5651</v>
      </c>
      <c r="J1424" s="609" t="s">
        <v>5484</v>
      </c>
      <c r="K1424" s="611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602">
        <v>19</v>
      </c>
      <c r="B1425" s="1073" t="s">
        <v>5770</v>
      </c>
      <c r="C1425" s="661" t="s">
        <v>5759</v>
      </c>
      <c r="D1425" s="658" t="s">
        <v>306</v>
      </c>
      <c r="E1425" s="658" t="s">
        <v>322</v>
      </c>
      <c r="F1425" s="661" t="s">
        <v>5400</v>
      </c>
      <c r="G1425" s="661" t="s">
        <v>5760</v>
      </c>
      <c r="H1425" s="661" t="s">
        <v>1911</v>
      </c>
      <c r="I1425" s="677" t="s">
        <v>4915</v>
      </c>
      <c r="J1425" s="658" t="s">
        <v>1534</v>
      </c>
      <c r="K1425" s="658" t="s">
        <v>4943</v>
      </c>
      <c r="L1425" s="658"/>
      <c r="M1425" s="689">
        <v>750000</v>
      </c>
      <c r="N1425" s="695"/>
    </row>
    <row r="1426" spans="1:14">
      <c r="A1426" s="602">
        <v>19</v>
      </c>
      <c r="B1426" s="1073"/>
      <c r="C1426" s="661" t="s">
        <v>5761</v>
      </c>
      <c r="D1426" s="658" t="s">
        <v>306</v>
      </c>
      <c r="E1426" s="658" t="s">
        <v>322</v>
      </c>
      <c r="F1426" s="661" t="s">
        <v>5400</v>
      </c>
      <c r="G1426" s="697" t="s">
        <v>5771</v>
      </c>
      <c r="H1426" s="661" t="s">
        <v>1047</v>
      </c>
      <c r="I1426" s="677" t="s">
        <v>5762</v>
      </c>
      <c r="J1426" s="658" t="s">
        <v>1534</v>
      </c>
      <c r="K1426" s="658" t="s">
        <v>5763</v>
      </c>
      <c r="L1426" s="658"/>
      <c r="M1426" s="689">
        <v>1500000</v>
      </c>
      <c r="N1426" s="695"/>
    </row>
    <row r="1427" spans="1:14">
      <c r="A1427" s="602">
        <v>19</v>
      </c>
      <c r="B1427" s="1073"/>
      <c r="C1427" s="661" t="s">
        <v>5764</v>
      </c>
      <c r="D1427" s="658" t="s">
        <v>306</v>
      </c>
      <c r="E1427" s="658" t="s">
        <v>322</v>
      </c>
      <c r="F1427" s="661" t="s">
        <v>5400</v>
      </c>
      <c r="G1427" s="661" t="s">
        <v>5760</v>
      </c>
      <c r="H1427" s="661" t="s">
        <v>640</v>
      </c>
      <c r="I1427" s="677" t="s">
        <v>4915</v>
      </c>
      <c r="J1427" s="658" t="s">
        <v>1534</v>
      </c>
      <c r="K1427" s="658" t="s">
        <v>3101</v>
      </c>
      <c r="L1427" s="658"/>
      <c r="M1427" s="689">
        <v>500000</v>
      </c>
      <c r="N1427" s="695"/>
    </row>
    <row r="1428" spans="1:14">
      <c r="A1428" s="602">
        <v>19</v>
      </c>
      <c r="B1428" s="1073"/>
      <c r="C1428" s="661" t="s">
        <v>5765</v>
      </c>
      <c r="D1428" s="658" t="s">
        <v>306</v>
      </c>
      <c r="E1428" s="658" t="s">
        <v>322</v>
      </c>
      <c r="F1428" s="661" t="s">
        <v>5400</v>
      </c>
      <c r="G1428" s="661" t="s">
        <v>5766</v>
      </c>
      <c r="H1428" s="661" t="s">
        <v>5767</v>
      </c>
      <c r="I1428" s="677" t="s">
        <v>5768</v>
      </c>
      <c r="J1428" s="658" t="s">
        <v>664</v>
      </c>
      <c r="K1428" s="658" t="s">
        <v>5769</v>
      </c>
      <c r="L1428" s="658"/>
      <c r="M1428" s="689">
        <v>1000000</v>
      </c>
      <c r="N1428" s="661"/>
    </row>
    <row r="1429" spans="1:14" ht="22.5">
      <c r="A1429" s="602">
        <v>19</v>
      </c>
      <c r="B1429" s="1073" t="s">
        <v>21</v>
      </c>
      <c r="C1429" s="676">
        <v>46150</v>
      </c>
      <c r="D1429" s="658" t="s">
        <v>21</v>
      </c>
      <c r="E1429" s="658" t="s">
        <v>14</v>
      </c>
      <c r="F1429" s="684" t="s">
        <v>1787</v>
      </c>
      <c r="G1429" s="684" t="s">
        <v>2817</v>
      </c>
      <c r="H1429" s="660" t="s">
        <v>67</v>
      </c>
      <c r="I1429" s="675" t="s">
        <v>5651</v>
      </c>
      <c r="J1429" s="684" t="s">
        <v>120</v>
      </c>
      <c r="K1429" s="675" t="s">
        <v>5273</v>
      </c>
      <c r="L1429" s="658" t="s">
        <v>15</v>
      </c>
      <c r="M1429" s="690">
        <v>550000</v>
      </c>
      <c r="N1429" s="658" t="s">
        <v>5700</v>
      </c>
    </row>
    <row r="1430" spans="1:14">
      <c r="A1430" s="602">
        <v>19</v>
      </c>
      <c r="B1430" s="1073"/>
      <c r="C1430" s="676">
        <v>46153</v>
      </c>
      <c r="D1430" s="631" t="s">
        <v>24</v>
      </c>
      <c r="E1430" s="631" t="s">
        <v>14</v>
      </c>
      <c r="F1430" s="670" t="s">
        <v>5707</v>
      </c>
      <c r="G1430" s="670" t="s">
        <v>1968</v>
      </c>
      <c r="H1430" s="633" t="s">
        <v>142</v>
      </c>
      <c r="I1430" s="671" t="s">
        <v>5706</v>
      </c>
      <c r="J1430" s="670" t="s">
        <v>5473</v>
      </c>
      <c r="K1430" s="670" t="s">
        <v>3074</v>
      </c>
      <c r="L1430" s="631" t="s">
        <v>181</v>
      </c>
      <c r="M1430" s="690">
        <v>400000</v>
      </c>
      <c r="N1430" s="658"/>
    </row>
    <row r="1431" spans="1:14">
      <c r="A1431" s="602">
        <v>19</v>
      </c>
      <c r="B1431" s="1073"/>
      <c r="C1431" s="676">
        <v>46153</v>
      </c>
      <c r="D1431" s="631" t="s">
        <v>21</v>
      </c>
      <c r="E1431" s="631" t="s">
        <v>14</v>
      </c>
      <c r="F1431" s="670" t="s">
        <v>1893</v>
      </c>
      <c r="G1431" s="670" t="s">
        <v>4939</v>
      </c>
      <c r="H1431" s="633" t="s">
        <v>2193</v>
      </c>
      <c r="I1431" s="675" t="s">
        <v>271</v>
      </c>
      <c r="J1431" s="684" t="s">
        <v>202</v>
      </c>
      <c r="K1431" s="684" t="s">
        <v>641</v>
      </c>
      <c r="L1431" s="658" t="s">
        <v>15</v>
      </c>
      <c r="M1431" s="690">
        <v>500000</v>
      </c>
      <c r="N1431" s="658"/>
    </row>
    <row r="1432" spans="1:14">
      <c r="A1432" s="602">
        <v>19</v>
      </c>
      <c r="B1432" s="1073"/>
      <c r="C1432" s="676">
        <v>46154</v>
      </c>
      <c r="D1432" s="631" t="s">
        <v>21</v>
      </c>
      <c r="E1432" s="631" t="s">
        <v>14</v>
      </c>
      <c r="F1432" s="670" t="s">
        <v>1893</v>
      </c>
      <c r="G1432" s="670" t="s">
        <v>4939</v>
      </c>
      <c r="H1432" s="633" t="s">
        <v>2193</v>
      </c>
      <c r="I1432" s="675" t="s">
        <v>271</v>
      </c>
      <c r="J1432" s="684" t="s">
        <v>202</v>
      </c>
      <c r="K1432" s="684" t="s">
        <v>641</v>
      </c>
      <c r="L1432" s="658" t="s">
        <v>15</v>
      </c>
      <c r="M1432" s="690">
        <v>500000</v>
      </c>
      <c r="N1432" s="696"/>
    </row>
    <row r="1433" spans="1:14" ht="24">
      <c r="A1433" s="727">
        <v>20</v>
      </c>
      <c r="B1433" s="922" t="s">
        <v>5876</v>
      </c>
      <c r="C1433" s="662" t="s">
        <v>5857</v>
      </c>
      <c r="D1433" s="651" t="s">
        <v>306</v>
      </c>
      <c r="E1433" s="651" t="s">
        <v>322</v>
      </c>
      <c r="F1433" s="662" t="s">
        <v>5400</v>
      </c>
      <c r="G1433" s="662" t="s">
        <v>5051</v>
      </c>
      <c r="H1433" s="662" t="s">
        <v>4967</v>
      </c>
      <c r="I1433" s="664" t="s">
        <v>5858</v>
      </c>
      <c r="J1433" s="658" t="s">
        <v>1534</v>
      </c>
      <c r="K1433" s="663" t="s">
        <v>5859</v>
      </c>
      <c r="L1433" s="663"/>
      <c r="M1433" s="702">
        <v>1500000</v>
      </c>
      <c r="N1433" s="695"/>
    </row>
    <row r="1434" spans="1:14">
      <c r="A1434" s="727">
        <v>20</v>
      </c>
      <c r="B1434" s="923"/>
      <c r="C1434" s="662" t="s">
        <v>5860</v>
      </c>
      <c r="D1434" s="651" t="s">
        <v>306</v>
      </c>
      <c r="E1434" s="651" t="s">
        <v>322</v>
      </c>
      <c r="F1434" s="662" t="s">
        <v>5400</v>
      </c>
      <c r="G1434" s="662">
        <v>1615</v>
      </c>
      <c r="H1434" s="662" t="s">
        <v>1911</v>
      </c>
      <c r="I1434" s="664" t="s">
        <v>1057</v>
      </c>
      <c r="J1434" s="658" t="s">
        <v>5447</v>
      </c>
      <c r="K1434" s="663" t="s">
        <v>1102</v>
      </c>
      <c r="L1434" s="663"/>
      <c r="M1434" s="702">
        <v>250000</v>
      </c>
      <c r="N1434" s="695"/>
    </row>
    <row r="1435" spans="1:14" ht="24">
      <c r="A1435" s="727">
        <v>20</v>
      </c>
      <c r="B1435" s="923"/>
      <c r="C1435" s="662" t="s">
        <v>5861</v>
      </c>
      <c r="D1435" s="651" t="s">
        <v>306</v>
      </c>
      <c r="E1435" s="651" t="s">
        <v>322</v>
      </c>
      <c r="F1435" s="662" t="s">
        <v>5400</v>
      </c>
      <c r="G1435" s="662">
        <v>1571</v>
      </c>
      <c r="H1435" s="662" t="s">
        <v>1911</v>
      </c>
      <c r="I1435" s="664" t="s">
        <v>5862</v>
      </c>
      <c r="J1435" s="658" t="s">
        <v>5447</v>
      </c>
      <c r="K1435" s="663" t="s">
        <v>1100</v>
      </c>
      <c r="L1435" s="663"/>
      <c r="M1435" s="702">
        <v>500000</v>
      </c>
      <c r="N1435" s="695"/>
    </row>
    <row r="1436" spans="1:14">
      <c r="A1436" s="727">
        <v>20</v>
      </c>
      <c r="B1436" s="923"/>
      <c r="C1436" s="662" t="s">
        <v>5863</v>
      </c>
      <c r="D1436" s="651" t="s">
        <v>306</v>
      </c>
      <c r="E1436" s="651" t="s">
        <v>322</v>
      </c>
      <c r="F1436" s="664" t="s">
        <v>3056</v>
      </c>
      <c r="G1436" s="664" t="s">
        <v>5094</v>
      </c>
      <c r="H1436" s="664" t="s">
        <v>640</v>
      </c>
      <c r="I1436" s="664" t="s">
        <v>5864</v>
      </c>
      <c r="J1436" s="664" t="s">
        <v>1111</v>
      </c>
      <c r="K1436" s="664" t="s">
        <v>3105</v>
      </c>
      <c r="L1436" s="663"/>
      <c r="M1436" s="702">
        <v>250000</v>
      </c>
      <c r="N1436" s="695"/>
    </row>
    <row r="1437" spans="1:14" ht="24">
      <c r="A1437" s="727">
        <v>20</v>
      </c>
      <c r="B1437" s="924"/>
      <c r="C1437" s="662" t="s">
        <v>5865</v>
      </c>
      <c r="D1437" s="651" t="s">
        <v>306</v>
      </c>
      <c r="E1437" s="651" t="s">
        <v>322</v>
      </c>
      <c r="F1437" s="662" t="s">
        <v>5400</v>
      </c>
      <c r="G1437" s="662" t="s">
        <v>5766</v>
      </c>
      <c r="H1437" s="662" t="s">
        <v>1047</v>
      </c>
      <c r="I1437" s="664" t="s">
        <v>5862</v>
      </c>
      <c r="J1437" s="658" t="s">
        <v>5447</v>
      </c>
      <c r="K1437" s="663" t="s">
        <v>1100</v>
      </c>
      <c r="L1437" s="663"/>
      <c r="M1437" s="702">
        <v>500000</v>
      </c>
      <c r="N1437" s="661"/>
    </row>
    <row r="1438" spans="1:14">
      <c r="A1438" s="727">
        <v>20</v>
      </c>
      <c r="B1438" s="922" t="s">
        <v>21</v>
      </c>
      <c r="C1438" s="662" t="s">
        <v>5866</v>
      </c>
      <c r="D1438" s="651" t="s">
        <v>311</v>
      </c>
      <c r="E1438" s="651" t="s">
        <v>320</v>
      </c>
      <c r="F1438" s="664" t="s">
        <v>337</v>
      </c>
      <c r="G1438" s="664" t="s">
        <v>3168</v>
      </c>
      <c r="H1438" s="664" t="s">
        <v>3169</v>
      </c>
      <c r="I1438" s="662" t="s">
        <v>5867</v>
      </c>
      <c r="J1438" s="662" t="s">
        <v>5868</v>
      </c>
      <c r="K1438" s="662" t="s">
        <v>713</v>
      </c>
      <c r="L1438" s="663" t="s">
        <v>309</v>
      </c>
      <c r="M1438" s="702">
        <v>250000</v>
      </c>
      <c r="N1438" s="658" t="s">
        <v>5869</v>
      </c>
    </row>
    <row r="1439" spans="1:14">
      <c r="A1439" s="727">
        <v>20</v>
      </c>
      <c r="B1439" s="923"/>
      <c r="C1439" s="1076" t="s">
        <v>5860</v>
      </c>
      <c r="D1439" s="1077" t="s">
        <v>311</v>
      </c>
      <c r="E1439" s="1077" t="s">
        <v>320</v>
      </c>
      <c r="F1439" s="1078" t="s">
        <v>5188</v>
      </c>
      <c r="G1439" s="677" t="s">
        <v>1919</v>
      </c>
      <c r="H1439" s="1078" t="s">
        <v>347</v>
      </c>
      <c r="I1439" s="1078" t="s">
        <v>5870</v>
      </c>
      <c r="J1439" s="1078"/>
      <c r="K1439" s="1078" t="s">
        <v>692</v>
      </c>
      <c r="L1439" s="1077" t="s">
        <v>309</v>
      </c>
      <c r="M1439" s="1079">
        <v>500000</v>
      </c>
      <c r="N1439" s="1063"/>
    </row>
    <row r="1440" spans="1:14">
      <c r="A1440" s="727">
        <v>20</v>
      </c>
      <c r="B1440" s="923"/>
      <c r="C1440" s="1076"/>
      <c r="D1440" s="1077"/>
      <c r="E1440" s="1077"/>
      <c r="F1440" s="1078"/>
      <c r="G1440" s="677" t="s">
        <v>5189</v>
      </c>
      <c r="H1440" s="1078"/>
      <c r="I1440" s="1078"/>
      <c r="J1440" s="1078"/>
      <c r="K1440" s="1078"/>
      <c r="L1440" s="1077"/>
      <c r="M1440" s="1079"/>
      <c r="N1440" s="1063"/>
    </row>
    <row r="1441" spans="1:14" ht="24">
      <c r="A1441" s="727">
        <v>20</v>
      </c>
      <c r="B1441" s="924"/>
      <c r="C1441" s="662" t="s">
        <v>5871</v>
      </c>
      <c r="D1441" s="663" t="s">
        <v>311</v>
      </c>
      <c r="E1441" s="663" t="s">
        <v>320</v>
      </c>
      <c r="F1441" s="662" t="s">
        <v>5872</v>
      </c>
      <c r="G1441" s="662">
        <v>124001</v>
      </c>
      <c r="H1441" s="662" t="s">
        <v>5873</v>
      </c>
      <c r="I1441" s="662" t="s">
        <v>5874</v>
      </c>
      <c r="J1441" s="662" t="s">
        <v>5875</v>
      </c>
      <c r="K1441" s="662" t="s">
        <v>3192</v>
      </c>
      <c r="L1441" s="663" t="s">
        <v>309</v>
      </c>
      <c r="M1441" s="702">
        <v>300000</v>
      </c>
      <c r="N1441" s="658"/>
    </row>
    <row r="1442" spans="1:14">
      <c r="A1442" s="727">
        <v>21</v>
      </c>
      <c r="B1442" s="896" t="s">
        <v>20</v>
      </c>
      <c r="C1442" s="657">
        <v>46164</v>
      </c>
      <c r="D1442" s="645" t="s">
        <v>19</v>
      </c>
      <c r="E1442" s="645" t="s">
        <v>25</v>
      </c>
      <c r="F1442" s="646" t="s">
        <v>1069</v>
      </c>
      <c r="G1442" s="646" t="s">
        <v>5754</v>
      </c>
      <c r="H1442" s="649" t="s">
        <v>18</v>
      </c>
      <c r="I1442" s="707" t="s">
        <v>5777</v>
      </c>
      <c r="J1442" s="646"/>
      <c r="K1442" s="707" t="s">
        <v>5820</v>
      </c>
      <c r="L1442" s="663"/>
      <c r="M1442" s="702">
        <v>500000</v>
      </c>
      <c r="N1442" s="26"/>
    </row>
    <row r="1443" spans="1:14">
      <c r="A1443" s="727">
        <v>21</v>
      </c>
      <c r="B1443" s="896"/>
      <c r="C1443" s="657">
        <v>46165</v>
      </c>
      <c r="D1443" s="645" t="s">
        <v>19</v>
      </c>
      <c r="E1443" s="645" t="s">
        <v>25</v>
      </c>
      <c r="F1443" s="662" t="s">
        <v>5838</v>
      </c>
      <c r="G1443" s="662" t="s">
        <v>5839</v>
      </c>
      <c r="H1443" s="662" t="s">
        <v>5840</v>
      </c>
      <c r="I1443" s="664" t="s">
        <v>5841</v>
      </c>
      <c r="J1443" s="663"/>
      <c r="K1443" s="663" t="s">
        <v>5842</v>
      </c>
      <c r="L1443" s="663"/>
      <c r="M1443" s="702">
        <v>250000</v>
      </c>
      <c r="N1443" s="26"/>
    </row>
    <row r="1444" spans="1:14" ht="24">
      <c r="A1444" s="727">
        <v>21</v>
      </c>
      <c r="B1444" s="896"/>
      <c r="C1444" s="657" t="s">
        <v>5846</v>
      </c>
      <c r="D1444" s="645" t="s">
        <v>19</v>
      </c>
      <c r="E1444" s="645" t="s">
        <v>25</v>
      </c>
      <c r="F1444" s="662" t="s">
        <v>5838</v>
      </c>
      <c r="G1444" s="662" t="s">
        <v>5843</v>
      </c>
      <c r="H1444" s="662" t="s">
        <v>5844</v>
      </c>
      <c r="I1444" s="664" t="s">
        <v>5845</v>
      </c>
      <c r="J1444" s="663"/>
      <c r="K1444" s="663" t="s">
        <v>3101</v>
      </c>
      <c r="L1444" s="663"/>
      <c r="M1444" s="702">
        <f>250000*2</f>
        <v>500000</v>
      </c>
      <c r="N1444" s="26"/>
    </row>
    <row r="1445" spans="1:14" ht="24">
      <c r="A1445" s="727">
        <v>21</v>
      </c>
      <c r="B1445" s="896"/>
      <c r="C1445" s="657" t="s">
        <v>5846</v>
      </c>
      <c r="D1445" s="645" t="s">
        <v>19</v>
      </c>
      <c r="E1445" s="645" t="s">
        <v>25</v>
      </c>
      <c r="F1445" s="662" t="s">
        <v>5838</v>
      </c>
      <c r="G1445" s="662" t="s">
        <v>5854</v>
      </c>
      <c r="H1445" s="662" t="s">
        <v>5855</v>
      </c>
      <c r="I1445" s="664" t="s">
        <v>5856</v>
      </c>
      <c r="J1445" s="663"/>
      <c r="K1445" s="663" t="s">
        <v>3101</v>
      </c>
      <c r="L1445" s="663"/>
      <c r="M1445" s="702">
        <f>250000*2</f>
        <v>500000</v>
      </c>
      <c r="N1445" s="26"/>
    </row>
    <row r="1446" spans="1:14" ht="24">
      <c r="A1446" s="727">
        <v>21</v>
      </c>
      <c r="B1446" s="896"/>
      <c r="C1446" s="657" t="s">
        <v>5851</v>
      </c>
      <c r="D1446" s="645" t="s">
        <v>19</v>
      </c>
      <c r="E1446" s="645" t="s">
        <v>25</v>
      </c>
      <c r="F1446" s="662" t="s">
        <v>5838</v>
      </c>
      <c r="G1446" s="646" t="s">
        <v>5847</v>
      </c>
      <c r="H1446" s="649" t="s">
        <v>5849</v>
      </c>
      <c r="I1446" s="707" t="s">
        <v>5853</v>
      </c>
      <c r="J1446" s="646"/>
      <c r="K1446" s="707" t="s">
        <v>5852</v>
      </c>
      <c r="L1446" s="663"/>
      <c r="M1446" s="702">
        <f>250000*2</f>
        <v>500000</v>
      </c>
      <c r="N1446" s="26"/>
    </row>
    <row r="1447" spans="1:14">
      <c r="A1447" s="727">
        <v>21</v>
      </c>
      <c r="B1447" s="896"/>
      <c r="C1447" s="657">
        <v>46171</v>
      </c>
      <c r="D1447" s="645" t="s">
        <v>19</v>
      </c>
      <c r="E1447" s="645" t="s">
        <v>25</v>
      </c>
      <c r="F1447" s="662" t="s">
        <v>5838</v>
      </c>
      <c r="G1447" s="646" t="s">
        <v>5847</v>
      </c>
      <c r="H1447" s="662" t="s">
        <v>5848</v>
      </c>
      <c r="I1447" s="664" t="s">
        <v>5850</v>
      </c>
      <c r="J1447" s="663"/>
      <c r="K1447" s="707" t="s">
        <v>5852</v>
      </c>
      <c r="L1447" s="663"/>
      <c r="M1447" s="702">
        <f>250000*2</f>
        <v>500000</v>
      </c>
      <c r="N1447" s="26"/>
    </row>
    <row r="1448" spans="1:14">
      <c r="A1448" s="739">
        <v>21</v>
      </c>
      <c r="B1448" s="896" t="s">
        <v>21</v>
      </c>
      <c r="C1448" s="657">
        <v>46168</v>
      </c>
      <c r="D1448" s="663" t="s">
        <v>21</v>
      </c>
      <c r="E1448" s="663" t="s">
        <v>14</v>
      </c>
      <c r="F1448" s="665" t="s">
        <v>107</v>
      </c>
      <c r="G1448" s="665" t="s">
        <v>2959</v>
      </c>
      <c r="H1448" s="668" t="s">
        <v>3421</v>
      </c>
      <c r="I1448" s="666" t="s">
        <v>5825</v>
      </c>
      <c r="J1448" s="666"/>
      <c r="K1448" s="828" t="s">
        <v>3447</v>
      </c>
      <c r="L1448" s="663" t="s">
        <v>15</v>
      </c>
      <c r="M1448" s="703">
        <v>500000</v>
      </c>
      <c r="N1448" s="26"/>
    </row>
    <row r="1449" spans="1:14">
      <c r="A1449" s="739">
        <v>21</v>
      </c>
      <c r="B1449" s="896"/>
      <c r="C1449" s="657">
        <v>46168</v>
      </c>
      <c r="D1449" s="663" t="s">
        <v>21</v>
      </c>
      <c r="E1449" s="663" t="s">
        <v>14</v>
      </c>
      <c r="F1449" s="665" t="s">
        <v>3280</v>
      </c>
      <c r="G1449" s="665" t="s">
        <v>3295</v>
      </c>
      <c r="H1449" s="668" t="s">
        <v>67</v>
      </c>
      <c r="I1449" s="666" t="s">
        <v>3466</v>
      </c>
      <c r="J1449" s="665" t="s">
        <v>90</v>
      </c>
      <c r="K1449" s="666" t="s">
        <v>3074</v>
      </c>
      <c r="L1449" s="663" t="s">
        <v>15</v>
      </c>
      <c r="M1449" s="703">
        <v>300000</v>
      </c>
      <c r="N1449" s="26"/>
    </row>
    <row r="1450" spans="1:14">
      <c r="A1450" s="739">
        <v>21</v>
      </c>
      <c r="B1450" s="896"/>
      <c r="C1450" s="657">
        <v>46169</v>
      </c>
      <c r="D1450" s="663" t="s">
        <v>21</v>
      </c>
      <c r="E1450" s="663" t="s">
        <v>14</v>
      </c>
      <c r="F1450" s="665" t="s">
        <v>107</v>
      </c>
      <c r="G1450" s="665" t="s">
        <v>2959</v>
      </c>
      <c r="H1450" s="668" t="s">
        <v>3421</v>
      </c>
      <c r="I1450" s="666" t="s">
        <v>5825</v>
      </c>
      <c r="J1450" s="666"/>
      <c r="K1450" s="828" t="s">
        <v>3447</v>
      </c>
      <c r="L1450" s="663" t="s">
        <v>15</v>
      </c>
      <c r="M1450" s="703">
        <v>500000</v>
      </c>
      <c r="N1450" s="26"/>
    </row>
    <row r="1451" spans="1:14">
      <c r="A1451" s="739">
        <v>21</v>
      </c>
      <c r="B1451" s="896"/>
      <c r="C1451" s="657">
        <v>46170</v>
      </c>
      <c r="D1451" s="645" t="s">
        <v>21</v>
      </c>
      <c r="E1451" s="645" t="s">
        <v>17</v>
      </c>
      <c r="F1451" s="707" t="s">
        <v>1893</v>
      </c>
      <c r="G1451" s="707" t="s">
        <v>1323</v>
      </c>
      <c r="H1451" s="649" t="s">
        <v>1391</v>
      </c>
      <c r="I1451" s="707" t="s">
        <v>5790</v>
      </c>
      <c r="J1451" s="646" t="s">
        <v>90</v>
      </c>
      <c r="K1451" s="707" t="s">
        <v>2828</v>
      </c>
      <c r="L1451" s="663" t="s">
        <v>15</v>
      </c>
      <c r="M1451" s="703">
        <v>250000</v>
      </c>
      <c r="N1451" s="26"/>
    </row>
    <row r="1452" spans="1:14">
      <c r="A1452" s="739">
        <v>21</v>
      </c>
      <c r="B1452" s="896"/>
      <c r="C1452" s="657">
        <v>46171</v>
      </c>
      <c r="D1452" s="645" t="s">
        <v>21</v>
      </c>
      <c r="E1452" s="645" t="s">
        <v>14</v>
      </c>
      <c r="F1452" s="646" t="s">
        <v>211</v>
      </c>
      <c r="G1452" s="646" t="s">
        <v>5754</v>
      </c>
      <c r="H1452" s="649" t="s">
        <v>5832</v>
      </c>
      <c r="I1452" s="707" t="s">
        <v>5831</v>
      </c>
      <c r="J1452" s="646" t="s">
        <v>90</v>
      </c>
      <c r="K1452" s="646" t="s">
        <v>2828</v>
      </c>
      <c r="L1452" s="663" t="s">
        <v>15</v>
      </c>
      <c r="M1452" s="703">
        <v>250000</v>
      </c>
      <c r="N1452" s="26"/>
    </row>
    <row r="1453" spans="1:14">
      <c r="A1453" s="739">
        <v>22</v>
      </c>
      <c r="B1453" s="1064" t="s">
        <v>20</v>
      </c>
      <c r="C1453" s="674">
        <v>46172</v>
      </c>
      <c r="D1453" s="645" t="s">
        <v>5934</v>
      </c>
      <c r="E1453" s="645" t="s">
        <v>5935</v>
      </c>
      <c r="F1453" s="646" t="s">
        <v>5936</v>
      </c>
      <c r="G1453" s="646" t="s">
        <v>5937</v>
      </c>
      <c r="H1453" s="649" t="s">
        <v>5938</v>
      </c>
      <c r="I1453" s="709" t="s">
        <v>5939</v>
      </c>
      <c r="J1453" s="646" t="s">
        <v>5943</v>
      </c>
      <c r="K1453" s="709" t="s">
        <v>5940</v>
      </c>
      <c r="L1453" s="663"/>
      <c r="M1453" s="728">
        <v>250000</v>
      </c>
      <c r="N1453" s="1066" t="s">
        <v>5942</v>
      </c>
    </row>
    <row r="1454" spans="1:14">
      <c r="A1454" s="739">
        <v>22</v>
      </c>
      <c r="B1454" s="1065"/>
      <c r="C1454" s="674">
        <v>46172</v>
      </c>
      <c r="D1454" s="645" t="s">
        <v>5934</v>
      </c>
      <c r="E1454" s="645" t="s">
        <v>5935</v>
      </c>
      <c r="F1454" s="646" t="s">
        <v>5936</v>
      </c>
      <c r="G1454" s="699">
        <v>1517</v>
      </c>
      <c r="H1454" s="699" t="s">
        <v>5941</v>
      </c>
      <c r="I1454" s="700" t="s">
        <v>5957</v>
      </c>
      <c r="J1454" s="721" t="s">
        <v>5944</v>
      </c>
      <c r="K1454" s="709" t="s">
        <v>5940</v>
      </c>
      <c r="L1454" s="663"/>
      <c r="M1454" s="728">
        <v>250000</v>
      </c>
      <c r="N1454" s="1067"/>
    </row>
    <row r="1455" spans="1:14">
      <c r="A1455" s="739">
        <v>22</v>
      </c>
      <c r="B1455" s="1065"/>
      <c r="C1455" s="674" t="s">
        <v>5950</v>
      </c>
      <c r="D1455" s="645" t="s">
        <v>5934</v>
      </c>
      <c r="E1455" s="645" t="s">
        <v>5935</v>
      </c>
      <c r="F1455" s="646" t="s">
        <v>5936</v>
      </c>
      <c r="G1455" s="699" t="s">
        <v>5951</v>
      </c>
      <c r="H1455" s="699" t="s">
        <v>5952</v>
      </c>
      <c r="I1455" s="700" t="s">
        <v>5953</v>
      </c>
      <c r="J1455" s="721" t="s">
        <v>5954</v>
      </c>
      <c r="K1455" s="701" t="s">
        <v>5955</v>
      </c>
      <c r="L1455" s="663"/>
      <c r="M1455" s="728">
        <f>250000*4</f>
        <v>1000000</v>
      </c>
      <c r="N1455" s="722"/>
    </row>
    <row r="1456" spans="1:14">
      <c r="A1456" s="739">
        <v>22</v>
      </c>
      <c r="B1456" s="1065"/>
      <c r="C1456" s="674" t="s">
        <v>5958</v>
      </c>
      <c r="D1456" s="645" t="s">
        <v>5934</v>
      </c>
      <c r="E1456" s="645" t="s">
        <v>5935</v>
      </c>
      <c r="F1456" s="646" t="s">
        <v>5936</v>
      </c>
      <c r="G1456" s="699">
        <v>1517</v>
      </c>
      <c r="H1456" s="699" t="s">
        <v>5941</v>
      </c>
      <c r="I1456" s="700" t="s">
        <v>5956</v>
      </c>
      <c r="J1456" s="721" t="s">
        <v>5947</v>
      </c>
      <c r="K1456" s="701" t="s">
        <v>5948</v>
      </c>
      <c r="L1456" s="663"/>
      <c r="M1456" s="728">
        <f>250000*2</f>
        <v>500000</v>
      </c>
      <c r="N1456" s="722"/>
    </row>
    <row r="1457" spans="1:14">
      <c r="A1457" s="739">
        <v>22</v>
      </c>
      <c r="B1457" s="1065"/>
      <c r="C1457" s="674" t="s">
        <v>5949</v>
      </c>
      <c r="D1457" s="645" t="s">
        <v>5934</v>
      </c>
      <c r="E1457" s="645" t="s">
        <v>5935</v>
      </c>
      <c r="F1457" s="646" t="s">
        <v>5936</v>
      </c>
      <c r="G1457" s="699">
        <v>7062</v>
      </c>
      <c r="H1457" s="699" t="s">
        <v>5945</v>
      </c>
      <c r="I1457" s="700" t="s">
        <v>5946</v>
      </c>
      <c r="J1457" s="721" t="s">
        <v>5947</v>
      </c>
      <c r="K1457" s="701" t="s">
        <v>5948</v>
      </c>
      <c r="L1457" s="663"/>
      <c r="M1457" s="728">
        <v>500000</v>
      </c>
      <c r="N1457" s="722"/>
    </row>
    <row r="1458" spans="1:14">
      <c r="A1458" s="739">
        <v>22</v>
      </c>
      <c r="B1458" s="1065"/>
      <c r="C1458" s="674" t="s">
        <v>5949</v>
      </c>
      <c r="D1458" s="645" t="s">
        <v>5934</v>
      </c>
      <c r="E1458" s="645" t="s">
        <v>5935</v>
      </c>
      <c r="F1458" s="646" t="s">
        <v>5936</v>
      </c>
      <c r="G1458" s="646" t="s">
        <v>5959</v>
      </c>
      <c r="H1458" s="699" t="s">
        <v>5960</v>
      </c>
      <c r="I1458" s="700" t="s">
        <v>5962</v>
      </c>
      <c r="J1458" s="721" t="s">
        <v>5961</v>
      </c>
      <c r="K1458" s="701" t="s">
        <v>5948</v>
      </c>
      <c r="L1458" s="663"/>
      <c r="M1458" s="728">
        <v>500000</v>
      </c>
      <c r="N1458" s="723"/>
    </row>
    <row r="1459" spans="1:14">
      <c r="A1459" s="739">
        <v>22</v>
      </c>
      <c r="B1459" s="1064" t="s">
        <v>21</v>
      </c>
      <c r="C1459" s="657">
        <v>46174</v>
      </c>
      <c r="D1459" s="645" t="s">
        <v>5966</v>
      </c>
      <c r="E1459" s="645" t="s">
        <v>14</v>
      </c>
      <c r="F1459" s="646" t="s">
        <v>211</v>
      </c>
      <c r="G1459" s="646" t="s">
        <v>2916</v>
      </c>
      <c r="H1459" s="649" t="s">
        <v>2917</v>
      </c>
      <c r="I1459" s="709" t="s">
        <v>5833</v>
      </c>
      <c r="J1459" s="1069" t="s">
        <v>3274</v>
      </c>
      <c r="K1459" s="1069" t="s">
        <v>3454</v>
      </c>
      <c r="L1459" s="663" t="s">
        <v>3265</v>
      </c>
      <c r="M1459" s="893">
        <v>250000</v>
      </c>
      <c r="N1459" s="724" t="s">
        <v>5964</v>
      </c>
    </row>
    <row r="1460" spans="1:14">
      <c r="A1460" s="739">
        <v>22</v>
      </c>
      <c r="B1460" s="1065"/>
      <c r="C1460" s="657">
        <v>46174</v>
      </c>
      <c r="D1460" s="645" t="s">
        <v>5966</v>
      </c>
      <c r="E1460" s="645" t="s">
        <v>14</v>
      </c>
      <c r="F1460" s="646" t="s">
        <v>211</v>
      </c>
      <c r="G1460" s="646" t="s">
        <v>5754</v>
      </c>
      <c r="H1460" s="649" t="s">
        <v>5832</v>
      </c>
      <c r="I1460" s="709" t="s">
        <v>5831</v>
      </c>
      <c r="J1460" s="1070"/>
      <c r="K1460" s="1070"/>
      <c r="L1460" s="663" t="s">
        <v>3265</v>
      </c>
      <c r="M1460" s="895"/>
      <c r="N1460" s="724" t="s">
        <v>5965</v>
      </c>
    </row>
    <row r="1461" spans="1:14">
      <c r="A1461" s="739">
        <v>22</v>
      </c>
      <c r="B1461" s="1065"/>
      <c r="C1461" s="657">
        <v>46175</v>
      </c>
      <c r="D1461" s="645" t="s">
        <v>21</v>
      </c>
      <c r="E1461" s="645" t="s">
        <v>17</v>
      </c>
      <c r="F1461" s="709" t="s">
        <v>1893</v>
      </c>
      <c r="G1461" s="709" t="s">
        <v>1323</v>
      </c>
      <c r="H1461" s="649" t="s">
        <v>1391</v>
      </c>
      <c r="I1461" s="709" t="s">
        <v>5790</v>
      </c>
      <c r="J1461" s="646" t="s">
        <v>3274</v>
      </c>
      <c r="K1461" s="829" t="s">
        <v>5896</v>
      </c>
      <c r="L1461" s="663" t="s">
        <v>3265</v>
      </c>
      <c r="M1461" s="703">
        <v>250000</v>
      </c>
      <c r="N1461" s="724" t="s">
        <v>5967</v>
      </c>
    </row>
    <row r="1462" spans="1:14">
      <c r="A1462" s="739">
        <v>22</v>
      </c>
      <c r="B1462" s="1065"/>
      <c r="C1462" s="657">
        <v>46175</v>
      </c>
      <c r="D1462" s="645" t="s">
        <v>2064</v>
      </c>
      <c r="E1462" s="645" t="s">
        <v>3264</v>
      </c>
      <c r="F1462" s="709" t="s">
        <v>5963</v>
      </c>
      <c r="G1462" s="646" t="s">
        <v>5796</v>
      </c>
      <c r="H1462" s="649" t="s">
        <v>4091</v>
      </c>
      <c r="I1462" s="577" t="s">
        <v>5972</v>
      </c>
      <c r="J1462" s="646" t="s">
        <v>5898</v>
      </c>
      <c r="K1462" s="709" t="s">
        <v>5883</v>
      </c>
      <c r="L1462" s="645" t="s">
        <v>3265</v>
      </c>
      <c r="M1462" s="703">
        <v>250000</v>
      </c>
      <c r="N1462" s="724" t="s">
        <v>5973</v>
      </c>
    </row>
    <row r="1463" spans="1:14">
      <c r="A1463" s="739">
        <v>22</v>
      </c>
      <c r="B1463" s="1065"/>
      <c r="C1463" s="674">
        <v>46177</v>
      </c>
      <c r="D1463" s="645" t="s">
        <v>5900</v>
      </c>
      <c r="E1463" s="645" t="s">
        <v>14</v>
      </c>
      <c r="F1463" s="646" t="s">
        <v>5901</v>
      </c>
      <c r="G1463" s="646" t="s">
        <v>5902</v>
      </c>
      <c r="H1463" s="649" t="s">
        <v>5903</v>
      </c>
      <c r="I1463" s="709" t="s">
        <v>5904</v>
      </c>
      <c r="J1463" s="646" t="s">
        <v>5905</v>
      </c>
      <c r="K1463" s="646" t="s">
        <v>5906</v>
      </c>
      <c r="L1463" s="663" t="s">
        <v>5893</v>
      </c>
      <c r="M1463" s="703">
        <v>600000</v>
      </c>
      <c r="N1463" s="724" t="s">
        <v>5968</v>
      </c>
    </row>
    <row r="1464" spans="1:14">
      <c r="A1464" s="739">
        <v>22</v>
      </c>
      <c r="B1464" s="1065"/>
      <c r="C1464" s="657">
        <v>46178</v>
      </c>
      <c r="D1464" s="663" t="s">
        <v>5913</v>
      </c>
      <c r="E1464" s="663" t="s">
        <v>5914</v>
      </c>
      <c r="F1464" s="665" t="s">
        <v>5915</v>
      </c>
      <c r="G1464" s="665" t="s">
        <v>5916</v>
      </c>
      <c r="H1464" s="668" t="s">
        <v>553</v>
      </c>
      <c r="I1464" s="666" t="s">
        <v>5918</v>
      </c>
      <c r="J1464" s="665"/>
      <c r="K1464" s="1071" t="s">
        <v>5920</v>
      </c>
      <c r="L1464" s="663" t="s">
        <v>15</v>
      </c>
      <c r="M1464" s="893">
        <v>500000</v>
      </c>
      <c r="N1464" s="724" t="s">
        <v>5969</v>
      </c>
    </row>
    <row r="1465" spans="1:14">
      <c r="A1465" s="739">
        <v>22</v>
      </c>
      <c r="B1465" s="1068"/>
      <c r="C1465" s="657">
        <v>46178</v>
      </c>
      <c r="D1465" s="663" t="s">
        <v>5913</v>
      </c>
      <c r="E1465" s="663" t="s">
        <v>5914</v>
      </c>
      <c r="F1465" s="665" t="s">
        <v>5915</v>
      </c>
      <c r="G1465" s="665" t="s">
        <v>5916</v>
      </c>
      <c r="H1465" s="668" t="s">
        <v>5917</v>
      </c>
      <c r="I1465" s="666" t="s">
        <v>5919</v>
      </c>
      <c r="J1465" s="665"/>
      <c r="K1465" s="1072"/>
      <c r="L1465" s="663" t="s">
        <v>15</v>
      </c>
      <c r="M1465" s="895"/>
      <c r="N1465" s="724" t="s">
        <v>5970</v>
      </c>
    </row>
    <row r="1466" spans="1:14">
      <c r="A1466" s="764">
        <v>23</v>
      </c>
      <c r="B1466" s="896" t="s">
        <v>20</v>
      </c>
      <c r="C1466" s="657">
        <v>46179</v>
      </c>
      <c r="D1466" s="645" t="s">
        <v>6057</v>
      </c>
      <c r="E1466" s="645" t="s">
        <v>6058</v>
      </c>
      <c r="F1466" s="646" t="s">
        <v>6059</v>
      </c>
      <c r="G1466" s="646">
        <v>1615</v>
      </c>
      <c r="H1466" s="649" t="s">
        <v>6055</v>
      </c>
      <c r="I1466" s="751" t="s">
        <v>6060</v>
      </c>
      <c r="J1466" s="646" t="s">
        <v>6061</v>
      </c>
      <c r="K1466" s="751" t="s">
        <v>6078</v>
      </c>
      <c r="L1466" s="763" t="s">
        <v>6063</v>
      </c>
      <c r="M1466" s="750">
        <v>250000</v>
      </c>
      <c r="N1466" s="663" t="s">
        <v>5989</v>
      </c>
    </row>
    <row r="1467" spans="1:14">
      <c r="A1467" s="764">
        <v>23</v>
      </c>
      <c r="B1467" s="896"/>
      <c r="C1467" s="657" t="s">
        <v>6056</v>
      </c>
      <c r="D1467" s="645" t="s">
        <v>6057</v>
      </c>
      <c r="E1467" s="645" t="s">
        <v>6058</v>
      </c>
      <c r="F1467" s="646" t="s">
        <v>6059</v>
      </c>
      <c r="G1467" s="646">
        <v>1615</v>
      </c>
      <c r="H1467" s="649" t="s">
        <v>6055</v>
      </c>
      <c r="I1467" s="751" t="s">
        <v>6060</v>
      </c>
      <c r="J1467" s="646" t="s">
        <v>6061</v>
      </c>
      <c r="K1467" s="751" t="s">
        <v>6062</v>
      </c>
      <c r="L1467" s="763" t="s">
        <v>6063</v>
      </c>
      <c r="M1467" s="750">
        <f>250000*5</f>
        <v>1250000</v>
      </c>
      <c r="N1467" s="645"/>
    </row>
    <row r="1468" spans="1:14">
      <c r="A1468" s="764">
        <v>23</v>
      </c>
      <c r="B1468" s="896"/>
      <c r="C1468" s="657" t="s">
        <v>6064</v>
      </c>
      <c r="D1468" s="645" t="s">
        <v>6057</v>
      </c>
      <c r="E1468" s="645" t="s">
        <v>6058</v>
      </c>
      <c r="F1468" s="646" t="s">
        <v>6059</v>
      </c>
      <c r="G1468" s="748" t="s">
        <v>6065</v>
      </c>
      <c r="H1468" s="748" t="s">
        <v>6066</v>
      </c>
      <c r="I1468" s="749" t="s">
        <v>6067</v>
      </c>
      <c r="J1468" s="663"/>
      <c r="K1468" s="663" t="s">
        <v>6068</v>
      </c>
      <c r="L1468" s="763" t="s">
        <v>6063</v>
      </c>
      <c r="M1468" s="750">
        <f>250000*2</f>
        <v>500000</v>
      </c>
      <c r="N1468" s="765"/>
    </row>
    <row r="1469" spans="1:14" ht="24">
      <c r="A1469" s="764">
        <v>23</v>
      </c>
      <c r="B1469" s="896"/>
      <c r="C1469" s="657" t="s">
        <v>6069</v>
      </c>
      <c r="D1469" s="645" t="s">
        <v>6057</v>
      </c>
      <c r="E1469" s="645" t="s">
        <v>6058</v>
      </c>
      <c r="F1469" s="646" t="s">
        <v>6059</v>
      </c>
      <c r="G1469" s="748" t="s">
        <v>6075</v>
      </c>
      <c r="H1469" s="748" t="s">
        <v>6071</v>
      </c>
      <c r="I1469" s="749" t="s">
        <v>6070</v>
      </c>
      <c r="J1469" s="663"/>
      <c r="K1469" s="663" t="s">
        <v>6076</v>
      </c>
      <c r="L1469" s="763" t="s">
        <v>6063</v>
      </c>
      <c r="M1469" s="750">
        <f>250000*4</f>
        <v>1000000</v>
      </c>
      <c r="N1469" s="765"/>
    </row>
    <row r="1470" spans="1:14">
      <c r="A1470" s="764">
        <v>23</v>
      </c>
      <c r="B1470" s="896"/>
      <c r="C1470" s="657" t="s">
        <v>6072</v>
      </c>
      <c r="D1470" s="645" t="s">
        <v>6057</v>
      </c>
      <c r="E1470" s="645" t="s">
        <v>6058</v>
      </c>
      <c r="F1470" s="646" t="s">
        <v>6059</v>
      </c>
      <c r="G1470" s="748">
        <v>7062</v>
      </c>
      <c r="H1470" s="748" t="s">
        <v>6073</v>
      </c>
      <c r="I1470" s="749" t="s">
        <v>6074</v>
      </c>
      <c r="J1470" s="663"/>
      <c r="K1470" s="663" t="s">
        <v>6077</v>
      </c>
      <c r="L1470" s="763" t="s">
        <v>6063</v>
      </c>
      <c r="M1470" s="750">
        <f>250000*3</f>
        <v>750000</v>
      </c>
      <c r="N1470" s="765"/>
    </row>
    <row r="1471" spans="1:14">
      <c r="A1471" s="764">
        <v>23</v>
      </c>
      <c r="B1471" s="896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30" t="s">
        <v>686</v>
      </c>
      <c r="L1471" s="125" t="s">
        <v>15</v>
      </c>
      <c r="M1471" s="762">
        <v>250000</v>
      </c>
      <c r="N1471" s="663" t="s">
        <v>5989</v>
      </c>
    </row>
    <row r="1472" spans="1:14">
      <c r="A1472" s="764">
        <v>23</v>
      </c>
      <c r="B1472" s="896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30" t="s">
        <v>686</v>
      </c>
      <c r="L1472" s="125" t="s">
        <v>15</v>
      </c>
      <c r="M1472" s="762">
        <v>250000</v>
      </c>
      <c r="N1472" s="663" t="s">
        <v>5989</v>
      </c>
    </row>
    <row r="1473" spans="1:14">
      <c r="A1473" s="764">
        <v>23</v>
      </c>
      <c r="B1473" s="896"/>
      <c r="C1473" s="369">
        <v>46178</v>
      </c>
      <c r="D1473" s="4" t="s">
        <v>21</v>
      </c>
      <c r="E1473" s="4" t="s">
        <v>14</v>
      </c>
      <c r="F1473" s="759" t="s">
        <v>1893</v>
      </c>
      <c r="G1473" s="454" t="s">
        <v>4939</v>
      </c>
      <c r="H1473" s="16" t="s">
        <v>6012</v>
      </c>
      <c r="I1473" s="761" t="s">
        <v>6000</v>
      </c>
      <c r="J1473" s="759" t="s">
        <v>6037</v>
      </c>
      <c r="K1473" s="761" t="s">
        <v>6011</v>
      </c>
      <c r="L1473" s="125" t="s">
        <v>15</v>
      </c>
      <c r="M1473" s="762">
        <v>300000</v>
      </c>
      <c r="N1473" s="663" t="s">
        <v>5989</v>
      </c>
    </row>
    <row r="1474" spans="1:14" ht="27">
      <c r="A1474" s="764">
        <v>23</v>
      </c>
      <c r="B1474" s="896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74" t="s">
        <v>90</v>
      </c>
      <c r="K1474" s="1074" t="s">
        <v>6007</v>
      </c>
      <c r="L1474" s="136" t="s">
        <v>15</v>
      </c>
      <c r="M1474" s="1075">
        <v>250000</v>
      </c>
      <c r="N1474" s="663"/>
    </row>
    <row r="1475" spans="1:14" ht="27">
      <c r="A1475" s="764">
        <v>23</v>
      </c>
      <c r="B1475" s="896"/>
      <c r="C1475" s="369">
        <v>46181</v>
      </c>
      <c r="D1475" s="4" t="s">
        <v>21</v>
      </c>
      <c r="E1475" s="4" t="s">
        <v>17</v>
      </c>
      <c r="F1475" s="759" t="s">
        <v>78</v>
      </c>
      <c r="G1475" s="453" t="s">
        <v>6015</v>
      </c>
      <c r="H1475" s="16" t="s">
        <v>37</v>
      </c>
      <c r="I1475" s="761" t="s">
        <v>5996</v>
      </c>
      <c r="J1475" s="1074"/>
      <c r="K1475" s="1074"/>
      <c r="L1475" s="136" t="s">
        <v>15</v>
      </c>
      <c r="M1475" s="1075"/>
      <c r="N1475" s="663"/>
    </row>
    <row r="1476" spans="1:14">
      <c r="A1476" s="764">
        <v>23</v>
      </c>
      <c r="B1476" s="896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62">
        <v>300000</v>
      </c>
      <c r="N1476" s="663"/>
    </row>
    <row r="1477" spans="1:14">
      <c r="A1477" s="764">
        <v>23</v>
      </c>
      <c r="B1477" s="896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62">
        <v>250000</v>
      </c>
      <c r="N1477" s="663"/>
    </row>
    <row r="1478" spans="1:14">
      <c r="A1478" s="764">
        <v>23</v>
      </c>
      <c r="B1478" s="896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62">
        <v>250000</v>
      </c>
      <c r="N1478" s="663"/>
    </row>
    <row r="1479" spans="1:14">
      <c r="A1479" s="764">
        <v>23</v>
      </c>
      <c r="B1479" s="896"/>
      <c r="C1479" s="369">
        <v>46182</v>
      </c>
      <c r="D1479" s="4" t="s">
        <v>21</v>
      </c>
      <c r="E1479" s="4" t="s">
        <v>14</v>
      </c>
      <c r="F1479" s="759" t="s">
        <v>1893</v>
      </c>
      <c r="G1479" s="454" t="s">
        <v>4939</v>
      </c>
      <c r="H1479" s="16" t="s">
        <v>3301</v>
      </c>
      <c r="I1479" s="761" t="s">
        <v>6053</v>
      </c>
      <c r="J1479" s="759"/>
      <c r="K1479" s="761" t="s">
        <v>6050</v>
      </c>
      <c r="L1479" s="125" t="s">
        <v>15</v>
      </c>
      <c r="M1479" s="762">
        <v>300000</v>
      </c>
      <c r="N1479" s="663"/>
    </row>
    <row r="1480" spans="1:14">
      <c r="A1480" s="764">
        <v>23</v>
      </c>
      <c r="B1480" s="896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61" t="s">
        <v>6043</v>
      </c>
      <c r="J1480" s="759" t="s">
        <v>6052</v>
      </c>
      <c r="K1480" s="761" t="s">
        <v>6051</v>
      </c>
      <c r="L1480" s="125" t="s">
        <v>6044</v>
      </c>
      <c r="M1480" s="762">
        <v>300000</v>
      </c>
      <c r="N1480" s="663"/>
    </row>
    <row r="1481" spans="1:14">
      <c r="A1481" s="764">
        <v>23</v>
      </c>
      <c r="B1481" s="896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61" t="s">
        <v>6047</v>
      </c>
      <c r="J1481" s="759"/>
      <c r="K1481" s="761" t="s">
        <v>6046</v>
      </c>
      <c r="L1481" s="125" t="s">
        <v>6044</v>
      </c>
      <c r="M1481" s="762">
        <v>300000</v>
      </c>
      <c r="N1481" s="663"/>
    </row>
    <row r="1482" spans="1:14">
      <c r="A1482" s="764">
        <v>23</v>
      </c>
      <c r="B1482" s="896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62">
        <v>800000</v>
      </c>
      <c r="N1482" s="663"/>
    </row>
    <row r="1483" spans="1:14">
      <c r="A1483" s="764">
        <v>23</v>
      </c>
      <c r="B1483" s="896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62">
        <v>800000</v>
      </c>
      <c r="N1483" s="663"/>
    </row>
    <row r="1484" spans="1:14">
      <c r="A1484" s="764">
        <v>23</v>
      </c>
      <c r="B1484" s="896"/>
      <c r="C1484" s="369">
        <v>46184</v>
      </c>
      <c r="D1484" s="4" t="s">
        <v>21</v>
      </c>
      <c r="E1484" s="4" t="s">
        <v>14</v>
      </c>
      <c r="F1484" s="759" t="s">
        <v>107</v>
      </c>
      <c r="G1484" s="759" t="s">
        <v>2959</v>
      </c>
      <c r="H1484" s="16" t="s">
        <v>376</v>
      </c>
      <c r="I1484" s="761" t="s">
        <v>5919</v>
      </c>
      <c r="J1484" s="759" t="s">
        <v>6017</v>
      </c>
      <c r="K1484" s="761" t="s">
        <v>6018</v>
      </c>
      <c r="L1484" s="125" t="s">
        <v>15</v>
      </c>
      <c r="M1484" s="762">
        <v>250000</v>
      </c>
      <c r="N1484" s="663"/>
    </row>
    <row r="1485" spans="1:14">
      <c r="A1485" s="764">
        <v>23</v>
      </c>
      <c r="B1485" s="896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62">
        <v>800000</v>
      </c>
      <c r="N1485" s="663"/>
    </row>
    <row r="1486" spans="1:14">
      <c r="A1486" s="764">
        <v>24</v>
      </c>
      <c r="B1486" s="896" t="s">
        <v>20</v>
      </c>
      <c r="C1486" s="369">
        <v>46186</v>
      </c>
      <c r="D1486" s="645" t="s">
        <v>19</v>
      </c>
      <c r="E1486" s="645" t="s">
        <v>151</v>
      </c>
      <c r="F1486" s="646" t="s">
        <v>5254</v>
      </c>
      <c r="G1486" s="646">
        <v>7063</v>
      </c>
      <c r="H1486" s="649" t="s">
        <v>1391</v>
      </c>
      <c r="I1486" s="758" t="s">
        <v>1105</v>
      </c>
      <c r="J1486" s="646" t="s">
        <v>1259</v>
      </c>
      <c r="K1486" s="758" t="s">
        <v>2828</v>
      </c>
      <c r="L1486" s="763" t="s">
        <v>209</v>
      </c>
      <c r="M1486" s="757">
        <v>250000</v>
      </c>
      <c r="N1486" s="663" t="s">
        <v>6104</v>
      </c>
    </row>
    <row r="1487" spans="1:14" ht="27">
      <c r="A1487" s="764">
        <v>24</v>
      </c>
      <c r="B1487" s="896"/>
      <c r="C1487" s="369" t="s">
        <v>6139</v>
      </c>
      <c r="D1487" s="645" t="s">
        <v>19</v>
      </c>
      <c r="E1487" s="645" t="s">
        <v>151</v>
      </c>
      <c r="F1487" s="646" t="s">
        <v>5254</v>
      </c>
      <c r="G1487" s="646">
        <v>7063</v>
      </c>
      <c r="H1487" s="649" t="s">
        <v>1391</v>
      </c>
      <c r="I1487" s="758" t="s">
        <v>1105</v>
      </c>
      <c r="J1487" s="646" t="s">
        <v>1259</v>
      </c>
      <c r="K1487" s="758" t="s">
        <v>3004</v>
      </c>
      <c r="L1487" s="763" t="s">
        <v>209</v>
      </c>
      <c r="M1487" s="757">
        <v>750000</v>
      </c>
      <c r="N1487" s="663"/>
    </row>
    <row r="1488" spans="1:14">
      <c r="A1488" s="764">
        <v>24</v>
      </c>
      <c r="B1488" s="896"/>
      <c r="C1488" s="369">
        <v>46188</v>
      </c>
      <c r="D1488" s="645" t="s">
        <v>19</v>
      </c>
      <c r="E1488" s="645" t="s">
        <v>151</v>
      </c>
      <c r="F1488" s="646" t="s">
        <v>5254</v>
      </c>
      <c r="G1488" s="646" t="s">
        <v>5847</v>
      </c>
      <c r="H1488" s="649" t="s">
        <v>6133</v>
      </c>
      <c r="I1488" s="758" t="s">
        <v>6134</v>
      </c>
      <c r="J1488" s="646" t="s">
        <v>168</v>
      </c>
      <c r="K1488" s="758" t="s">
        <v>1101</v>
      </c>
      <c r="L1488" s="763" t="s">
        <v>209</v>
      </c>
      <c r="M1488" s="757">
        <v>500000</v>
      </c>
      <c r="N1488" s="645"/>
    </row>
    <row r="1489" spans="1:14" ht="27">
      <c r="A1489" s="764">
        <v>24</v>
      </c>
      <c r="B1489" s="896"/>
      <c r="C1489" s="369" t="s">
        <v>6137</v>
      </c>
      <c r="D1489" s="645" t="s">
        <v>19</v>
      </c>
      <c r="E1489" s="645" t="s">
        <v>151</v>
      </c>
      <c r="F1489" s="646" t="s">
        <v>5254</v>
      </c>
      <c r="G1489" s="755">
        <v>7062</v>
      </c>
      <c r="H1489" s="755" t="s">
        <v>143</v>
      </c>
      <c r="I1489" s="756" t="s">
        <v>2962</v>
      </c>
      <c r="J1489" s="646" t="s">
        <v>168</v>
      </c>
      <c r="K1489" s="758" t="s">
        <v>1101</v>
      </c>
      <c r="L1489" s="763" t="s">
        <v>209</v>
      </c>
      <c r="M1489" s="757">
        <v>500000</v>
      </c>
      <c r="N1489" s="765"/>
    </row>
    <row r="1490" spans="1:14" ht="24">
      <c r="A1490" s="764">
        <v>24</v>
      </c>
      <c r="B1490" s="896"/>
      <c r="C1490" s="657" t="s">
        <v>6138</v>
      </c>
      <c r="D1490" s="645" t="s">
        <v>19</v>
      </c>
      <c r="E1490" s="645" t="s">
        <v>151</v>
      </c>
      <c r="F1490" s="646" t="s">
        <v>5254</v>
      </c>
      <c r="G1490" s="755" t="s">
        <v>6075</v>
      </c>
      <c r="H1490" s="755" t="s">
        <v>145</v>
      </c>
      <c r="I1490" s="756" t="s">
        <v>378</v>
      </c>
      <c r="J1490" s="663" t="s">
        <v>126</v>
      </c>
      <c r="K1490" s="663" t="s">
        <v>999</v>
      </c>
      <c r="L1490" s="763" t="s">
        <v>209</v>
      </c>
      <c r="M1490" s="757">
        <v>250000</v>
      </c>
      <c r="N1490" s="765"/>
    </row>
    <row r="1491" spans="1:14" ht="24">
      <c r="A1491" s="764">
        <v>24</v>
      </c>
      <c r="B1491" s="896"/>
      <c r="C1491" s="657" t="s">
        <v>6138</v>
      </c>
      <c r="D1491" s="645" t="s">
        <v>19</v>
      </c>
      <c r="E1491" s="645" t="s">
        <v>151</v>
      </c>
      <c r="F1491" s="646" t="s">
        <v>5254</v>
      </c>
      <c r="G1491" s="646" t="s">
        <v>6140</v>
      </c>
      <c r="H1491" s="649" t="s">
        <v>34</v>
      </c>
      <c r="I1491" s="758" t="s">
        <v>1105</v>
      </c>
      <c r="J1491" s="646" t="s">
        <v>1259</v>
      </c>
      <c r="K1491" s="758" t="s">
        <v>2838</v>
      </c>
      <c r="L1491" s="763" t="s">
        <v>209</v>
      </c>
      <c r="M1491" s="757">
        <v>500000</v>
      </c>
      <c r="N1491" s="765"/>
    </row>
    <row r="1492" spans="1:14">
      <c r="A1492" s="764">
        <v>24</v>
      </c>
      <c r="B1492" s="896"/>
      <c r="C1492" s="657">
        <v>46192</v>
      </c>
      <c r="D1492" s="645" t="s">
        <v>19</v>
      </c>
      <c r="E1492" s="645" t="s">
        <v>151</v>
      </c>
      <c r="F1492" s="646" t="s">
        <v>5254</v>
      </c>
      <c r="G1492" s="755" t="s">
        <v>6135</v>
      </c>
      <c r="H1492" s="755" t="s">
        <v>143</v>
      </c>
      <c r="I1492" s="756" t="s">
        <v>6136</v>
      </c>
      <c r="J1492" s="663" t="s">
        <v>168</v>
      </c>
      <c r="K1492" s="663" t="s">
        <v>2828</v>
      </c>
      <c r="L1492" s="763" t="s">
        <v>209</v>
      </c>
      <c r="M1492" s="757">
        <v>250000</v>
      </c>
      <c r="N1492" s="765"/>
    </row>
    <row r="1493" spans="1:14">
      <c r="A1493" s="764">
        <v>24</v>
      </c>
      <c r="B1493" s="896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62">
        <v>300000</v>
      </c>
      <c r="N1493" s="663" t="s">
        <v>6104</v>
      </c>
    </row>
    <row r="1494" spans="1:14">
      <c r="A1494" s="764">
        <v>24</v>
      </c>
      <c r="B1494" s="896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62">
        <v>300000</v>
      </c>
      <c r="N1494" s="663" t="s">
        <v>6104</v>
      </c>
    </row>
    <row r="1495" spans="1:14">
      <c r="A1495" s="764">
        <v>24</v>
      </c>
      <c r="B1495" s="896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62">
        <v>300000</v>
      </c>
      <c r="N1495" s="663" t="s">
        <v>6104</v>
      </c>
    </row>
    <row r="1496" spans="1:14">
      <c r="A1496" s="764">
        <v>24</v>
      </c>
      <c r="B1496" s="896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2">
        <v>300000</v>
      </c>
      <c r="N1496" s="663" t="s">
        <v>6104</v>
      </c>
    </row>
    <row r="1497" spans="1:14">
      <c r="A1497" s="764">
        <v>24</v>
      </c>
      <c r="B1497" s="896"/>
      <c r="C1497" s="369">
        <v>46185</v>
      </c>
      <c r="D1497" s="4" t="s">
        <v>138</v>
      </c>
      <c r="E1497" s="4" t="s">
        <v>14</v>
      </c>
      <c r="F1497" s="759" t="s">
        <v>1893</v>
      </c>
      <c r="G1497" s="759" t="s">
        <v>6089</v>
      </c>
      <c r="H1497" s="16" t="s">
        <v>34</v>
      </c>
      <c r="I1497" s="761" t="s">
        <v>6091</v>
      </c>
      <c r="J1497" s="454" t="s">
        <v>120</v>
      </c>
      <c r="K1497" s="831" t="s">
        <v>686</v>
      </c>
      <c r="L1497" s="459" t="s">
        <v>15</v>
      </c>
      <c r="M1497" s="762">
        <v>250000</v>
      </c>
      <c r="N1497" s="663" t="s">
        <v>6104</v>
      </c>
    </row>
    <row r="1498" spans="1:14">
      <c r="A1498" s="764">
        <v>24</v>
      </c>
      <c r="B1498" s="896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6376</v>
      </c>
      <c r="L1498" s="125" t="s">
        <v>15</v>
      </c>
      <c r="M1498" s="762">
        <v>500000</v>
      </c>
      <c r="N1498" s="663" t="s">
        <v>6141</v>
      </c>
    </row>
    <row r="1499" spans="1:14">
      <c r="A1499" s="764">
        <v>24</v>
      </c>
      <c r="B1499" s="896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1" t="s">
        <v>303</v>
      </c>
      <c r="J1499" s="759" t="s">
        <v>120</v>
      </c>
      <c r="K1499" s="777" t="s">
        <v>3105</v>
      </c>
      <c r="L1499" s="125" t="s">
        <v>15</v>
      </c>
      <c r="M1499" s="762">
        <v>250000</v>
      </c>
      <c r="N1499" s="663" t="s">
        <v>128</v>
      </c>
    </row>
    <row r="1500" spans="1:14">
      <c r="A1500" s="764">
        <v>24</v>
      </c>
      <c r="B1500" s="896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2">
        <v>300000</v>
      </c>
      <c r="N1500" s="663" t="s">
        <v>128</v>
      </c>
    </row>
    <row r="1501" spans="1:14" ht="27">
      <c r="A1501" s="764">
        <v>24</v>
      </c>
      <c r="B1501" s="896"/>
      <c r="C1501" s="369">
        <v>46189</v>
      </c>
      <c r="D1501" s="3" t="s">
        <v>24</v>
      </c>
      <c r="E1501" s="3" t="s">
        <v>31</v>
      </c>
      <c r="F1501" s="453" t="s">
        <v>6095</v>
      </c>
      <c r="G1501" s="759" t="s">
        <v>2713</v>
      </c>
      <c r="H1501" s="16" t="s">
        <v>115</v>
      </c>
      <c r="I1501" s="761" t="s">
        <v>6100</v>
      </c>
      <c r="J1501" s="759"/>
      <c r="K1501" s="363" t="s">
        <v>6096</v>
      </c>
      <c r="L1501" s="125" t="s">
        <v>15</v>
      </c>
      <c r="M1501" s="762">
        <v>500000</v>
      </c>
      <c r="N1501" s="663" t="s">
        <v>127</v>
      </c>
    </row>
    <row r="1502" spans="1:14" ht="27">
      <c r="A1502" s="764">
        <v>24</v>
      </c>
      <c r="B1502" s="896"/>
      <c r="C1502" s="369">
        <v>46190</v>
      </c>
      <c r="D1502" s="3" t="s">
        <v>24</v>
      </c>
      <c r="E1502" s="3" t="s">
        <v>31</v>
      </c>
      <c r="F1502" s="453" t="s">
        <v>6095</v>
      </c>
      <c r="G1502" s="759" t="s">
        <v>2713</v>
      </c>
      <c r="H1502" s="16" t="s">
        <v>23</v>
      </c>
      <c r="I1502" s="761" t="s">
        <v>6099</v>
      </c>
      <c r="J1502" s="759"/>
      <c r="K1502" s="363" t="s">
        <v>6096</v>
      </c>
      <c r="L1502" s="125" t="s">
        <v>15</v>
      </c>
      <c r="M1502" s="762">
        <v>500000</v>
      </c>
      <c r="N1502" s="663" t="s">
        <v>127</v>
      </c>
    </row>
    <row r="1503" spans="1:14">
      <c r="A1503" s="764">
        <v>24</v>
      </c>
      <c r="B1503" s="896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2">
        <v>300000</v>
      </c>
      <c r="N1503" s="663" t="s">
        <v>128</v>
      </c>
    </row>
    <row r="1504" spans="1:14" ht="40.5">
      <c r="A1504" s="764">
        <v>24</v>
      </c>
      <c r="B1504" s="896"/>
      <c r="C1504" s="369">
        <v>46191</v>
      </c>
      <c r="D1504" s="4" t="s">
        <v>21</v>
      </c>
      <c r="E1504" s="4" t="s">
        <v>14</v>
      </c>
      <c r="F1504" s="291" t="s">
        <v>149</v>
      </c>
      <c r="G1504" s="759" t="s">
        <v>4090</v>
      </c>
      <c r="H1504" s="16" t="s">
        <v>4091</v>
      </c>
      <c r="I1504" s="761" t="s">
        <v>6115</v>
      </c>
      <c r="J1504" s="759"/>
      <c r="K1504" s="819" t="s">
        <v>6096</v>
      </c>
      <c r="L1504" s="125" t="s">
        <v>15</v>
      </c>
      <c r="M1504" s="762">
        <v>500000</v>
      </c>
      <c r="N1504" s="663" t="s">
        <v>128</v>
      </c>
    </row>
    <row r="1505" spans="1:14">
      <c r="A1505" s="764">
        <v>24</v>
      </c>
      <c r="B1505" s="896"/>
      <c r="C1505" s="369">
        <v>46191</v>
      </c>
      <c r="D1505" s="3" t="s">
        <v>24</v>
      </c>
      <c r="E1505" s="3" t="s">
        <v>31</v>
      </c>
      <c r="F1505" s="453" t="s">
        <v>78</v>
      </c>
      <c r="G1505" s="759">
        <v>7060</v>
      </c>
      <c r="H1505" s="16" t="s">
        <v>35</v>
      </c>
      <c r="I1505" s="761" t="s">
        <v>6112</v>
      </c>
      <c r="J1505" s="759" t="s">
        <v>120</v>
      </c>
      <c r="K1505" s="761" t="s">
        <v>2828</v>
      </c>
      <c r="L1505" s="125" t="s">
        <v>15</v>
      </c>
      <c r="M1505" s="762">
        <v>250000</v>
      </c>
      <c r="N1505" s="663" t="s">
        <v>127</v>
      </c>
    </row>
    <row r="1506" spans="1:14">
      <c r="A1506" s="764">
        <v>24</v>
      </c>
      <c r="B1506" s="896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59" t="s">
        <v>120</v>
      </c>
      <c r="K1506" s="777" t="s">
        <v>2828</v>
      </c>
      <c r="L1506" s="125" t="s">
        <v>15</v>
      </c>
      <c r="M1506" s="762">
        <v>250000</v>
      </c>
      <c r="N1506" s="663" t="s">
        <v>1192</v>
      </c>
    </row>
    <row r="1507" spans="1:14">
      <c r="A1507" s="764">
        <v>24</v>
      </c>
      <c r="B1507" s="896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2">
        <v>300000</v>
      </c>
      <c r="N1507" s="663" t="s">
        <v>128</v>
      </c>
    </row>
    <row r="1508" spans="1:14">
      <c r="A1508" s="764">
        <v>24</v>
      </c>
      <c r="B1508" s="896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2">
        <v>300000</v>
      </c>
      <c r="N1508" s="663" t="s">
        <v>128</v>
      </c>
    </row>
    <row r="1509" spans="1:14">
      <c r="A1509" s="764">
        <v>25</v>
      </c>
      <c r="B1509" s="888" t="s">
        <v>20</v>
      </c>
      <c r="C1509" s="657">
        <v>46189</v>
      </c>
      <c r="D1509" s="790" t="s">
        <v>421</v>
      </c>
      <c r="E1509" s="645"/>
      <c r="F1509" s="646" t="s">
        <v>5254</v>
      </c>
      <c r="G1509" s="646" t="s">
        <v>3589</v>
      </c>
      <c r="H1509" s="649"/>
      <c r="I1509" s="802" t="s">
        <v>6248</v>
      </c>
      <c r="J1509" s="646" t="s">
        <v>252</v>
      </c>
      <c r="K1509" s="802" t="s">
        <v>2828</v>
      </c>
      <c r="L1509" s="763"/>
      <c r="M1509" s="800">
        <v>250000</v>
      </c>
      <c r="N1509" s="724" t="s">
        <v>6226</v>
      </c>
    </row>
    <row r="1510" spans="1:14">
      <c r="A1510" s="764">
        <v>25</v>
      </c>
      <c r="B1510" s="889"/>
      <c r="C1510" s="657">
        <v>46192</v>
      </c>
      <c r="D1510" s="790" t="s">
        <v>421</v>
      </c>
      <c r="E1510" s="645"/>
      <c r="F1510" s="646" t="s">
        <v>5254</v>
      </c>
      <c r="G1510" s="646" t="s">
        <v>3589</v>
      </c>
      <c r="H1510" s="649"/>
      <c r="I1510" s="802" t="s">
        <v>6248</v>
      </c>
      <c r="J1510" s="646" t="s">
        <v>252</v>
      </c>
      <c r="K1510" s="802" t="s">
        <v>2828</v>
      </c>
      <c r="L1510" s="763"/>
      <c r="M1510" s="800">
        <v>250000</v>
      </c>
      <c r="N1510" s="724" t="s">
        <v>6226</v>
      </c>
    </row>
    <row r="1511" spans="1:14">
      <c r="A1511" s="764">
        <v>25</v>
      </c>
      <c r="B1511" s="889"/>
      <c r="C1511" s="657">
        <v>46193</v>
      </c>
      <c r="D1511" s="790" t="s">
        <v>421</v>
      </c>
      <c r="E1511" s="645"/>
      <c r="F1511" s="646" t="s">
        <v>5254</v>
      </c>
      <c r="G1511" s="646" t="s">
        <v>3589</v>
      </c>
      <c r="H1511" s="649"/>
      <c r="I1511" s="802" t="s">
        <v>6248</v>
      </c>
      <c r="J1511" s="646" t="s">
        <v>252</v>
      </c>
      <c r="K1511" s="802" t="s">
        <v>2828</v>
      </c>
      <c r="L1511" s="763"/>
      <c r="M1511" s="800">
        <v>250000</v>
      </c>
      <c r="N1511" s="724" t="s">
        <v>6226</v>
      </c>
    </row>
    <row r="1512" spans="1:14" ht="24">
      <c r="A1512" s="764">
        <v>25</v>
      </c>
      <c r="B1512" s="889"/>
      <c r="C1512" s="674" t="s">
        <v>6249</v>
      </c>
      <c r="D1512" s="790" t="s">
        <v>585</v>
      </c>
      <c r="E1512" s="645" t="s">
        <v>298</v>
      </c>
      <c r="F1512" s="646" t="s">
        <v>5254</v>
      </c>
      <c r="G1512" s="794" t="s">
        <v>6250</v>
      </c>
      <c r="H1512" s="791" t="s">
        <v>34</v>
      </c>
      <c r="I1512" s="792" t="s">
        <v>6251</v>
      </c>
      <c r="J1512" s="646" t="s">
        <v>3661</v>
      </c>
      <c r="K1512" s="802" t="s">
        <v>3035</v>
      </c>
      <c r="L1512" s="763"/>
      <c r="M1512" s="800">
        <f>250000*5</f>
        <v>1250000</v>
      </c>
      <c r="N1512" s="724"/>
    </row>
    <row r="1513" spans="1:14" ht="24">
      <c r="A1513" s="764">
        <v>25</v>
      </c>
      <c r="B1513" s="889"/>
      <c r="C1513" s="674" t="s">
        <v>6249</v>
      </c>
      <c r="D1513" s="645" t="s">
        <v>585</v>
      </c>
      <c r="E1513" s="645" t="s">
        <v>298</v>
      </c>
      <c r="F1513" s="646" t="s">
        <v>5254</v>
      </c>
      <c r="G1513" s="699" t="s">
        <v>6135</v>
      </c>
      <c r="H1513" s="699" t="s">
        <v>1172</v>
      </c>
      <c r="I1513" s="700" t="s">
        <v>1105</v>
      </c>
      <c r="J1513" s="646" t="s">
        <v>1259</v>
      </c>
      <c r="K1513" s="802" t="s">
        <v>3004</v>
      </c>
      <c r="L1513" s="763"/>
      <c r="M1513" s="800">
        <v>750000</v>
      </c>
      <c r="N1513" s="722"/>
    </row>
    <row r="1514" spans="1:14" ht="24">
      <c r="A1514" s="764">
        <v>25</v>
      </c>
      <c r="B1514" s="889"/>
      <c r="C1514" s="674" t="s">
        <v>6249</v>
      </c>
      <c r="D1514" s="645" t="s">
        <v>585</v>
      </c>
      <c r="E1514" s="645" t="s">
        <v>298</v>
      </c>
      <c r="F1514" s="646" t="s">
        <v>5254</v>
      </c>
      <c r="G1514" s="699" t="s">
        <v>5754</v>
      </c>
      <c r="H1514" s="699" t="s">
        <v>18</v>
      </c>
      <c r="I1514" s="700" t="s">
        <v>6252</v>
      </c>
      <c r="J1514" s="721" t="s">
        <v>812</v>
      </c>
      <c r="K1514" s="701" t="s">
        <v>3004</v>
      </c>
      <c r="L1514" s="763"/>
      <c r="M1514" s="800">
        <v>750000</v>
      </c>
      <c r="N1514" s="722"/>
    </row>
    <row r="1515" spans="1:14" ht="24">
      <c r="A1515" s="764">
        <v>25</v>
      </c>
      <c r="B1515" s="888" t="s">
        <v>21</v>
      </c>
      <c r="C1515" s="674">
        <v>46195</v>
      </c>
      <c r="D1515" s="663" t="s">
        <v>21</v>
      </c>
      <c r="E1515" s="663" t="s">
        <v>17</v>
      </c>
      <c r="F1515" s="666" t="s">
        <v>4745</v>
      </c>
      <c r="G1515" s="665" t="s">
        <v>2654</v>
      </c>
      <c r="H1515" s="668" t="s">
        <v>23</v>
      </c>
      <c r="I1515" s="666" t="s">
        <v>6211</v>
      </c>
      <c r="J1515" s="646"/>
      <c r="K1515" s="829" t="s">
        <v>641</v>
      </c>
      <c r="L1515" s="645" t="s">
        <v>15</v>
      </c>
      <c r="M1515" s="801">
        <v>500000</v>
      </c>
      <c r="N1515" s="724" t="s">
        <v>582</v>
      </c>
    </row>
    <row r="1516" spans="1:14">
      <c r="A1516" s="764">
        <v>25</v>
      </c>
      <c r="B1516" s="889"/>
      <c r="C1516" s="674">
        <v>46195</v>
      </c>
      <c r="D1516" s="645" t="s">
        <v>21</v>
      </c>
      <c r="E1516" s="645" t="s">
        <v>14</v>
      </c>
      <c r="F1516" s="646" t="s">
        <v>1893</v>
      </c>
      <c r="G1516" s="646" t="s">
        <v>4939</v>
      </c>
      <c r="H1516" s="649" t="s">
        <v>482</v>
      </c>
      <c r="I1516" s="802" t="s">
        <v>271</v>
      </c>
      <c r="J1516" s="802" t="s">
        <v>493</v>
      </c>
      <c r="K1516" s="802" t="s">
        <v>999</v>
      </c>
      <c r="L1516" s="663" t="s">
        <v>15</v>
      </c>
      <c r="M1516" s="801">
        <v>300000</v>
      </c>
      <c r="N1516" s="724" t="s">
        <v>807</v>
      </c>
    </row>
    <row r="1517" spans="1:14" ht="24">
      <c r="A1517" s="764">
        <v>25</v>
      </c>
      <c r="B1517" s="889"/>
      <c r="C1517" s="674">
        <v>46196</v>
      </c>
      <c r="D1517" s="663" t="s">
        <v>21</v>
      </c>
      <c r="E1517" s="663" t="s">
        <v>17</v>
      </c>
      <c r="F1517" s="666" t="s">
        <v>4745</v>
      </c>
      <c r="G1517" s="665" t="s">
        <v>2654</v>
      </c>
      <c r="H1517" s="668" t="s">
        <v>23</v>
      </c>
      <c r="I1517" s="666" t="s">
        <v>6211</v>
      </c>
      <c r="J1517" s="646"/>
      <c r="K1517" s="802" t="s">
        <v>641</v>
      </c>
      <c r="L1517" s="645" t="s">
        <v>15</v>
      </c>
      <c r="M1517" s="801">
        <v>500000</v>
      </c>
      <c r="N1517" s="724" t="s">
        <v>582</v>
      </c>
    </row>
    <row r="1518" spans="1:14">
      <c r="A1518" s="764">
        <v>25</v>
      </c>
      <c r="B1518" s="889"/>
      <c r="C1518" s="674">
        <v>46196</v>
      </c>
      <c r="D1518" s="645" t="s">
        <v>21</v>
      </c>
      <c r="E1518" s="645" t="s">
        <v>14</v>
      </c>
      <c r="F1518" s="646" t="s">
        <v>107</v>
      </c>
      <c r="G1518" s="646" t="s">
        <v>3386</v>
      </c>
      <c r="H1518" s="649" t="s">
        <v>115</v>
      </c>
      <c r="I1518" s="802" t="s">
        <v>303</v>
      </c>
      <c r="J1518" s="665" t="s">
        <v>120</v>
      </c>
      <c r="K1518" s="665" t="s">
        <v>999</v>
      </c>
      <c r="L1518" s="663" t="s">
        <v>15</v>
      </c>
      <c r="M1518" s="799">
        <v>300000</v>
      </c>
      <c r="N1518" s="724" t="s">
        <v>807</v>
      </c>
    </row>
    <row r="1519" spans="1:14" ht="24">
      <c r="A1519" s="764">
        <v>25</v>
      </c>
      <c r="B1519" s="889"/>
      <c r="C1519" s="795">
        <v>46197</v>
      </c>
      <c r="D1519" s="645" t="s">
        <v>21</v>
      </c>
      <c r="E1519" s="645" t="s">
        <v>14</v>
      </c>
      <c r="F1519" s="796" t="s">
        <v>149</v>
      </c>
      <c r="G1519" s="646" t="s">
        <v>4090</v>
      </c>
      <c r="H1519" s="649" t="s">
        <v>4091</v>
      </c>
      <c r="I1519" s="802" t="s">
        <v>6254</v>
      </c>
      <c r="J1519" s="646" t="s">
        <v>252</v>
      </c>
      <c r="K1519" s="820" t="s">
        <v>487</v>
      </c>
      <c r="L1519" s="645" t="s">
        <v>15</v>
      </c>
      <c r="M1519" s="799">
        <v>500000</v>
      </c>
      <c r="N1519" s="724" t="s">
        <v>807</v>
      </c>
    </row>
    <row r="1520" spans="1:14">
      <c r="A1520" s="764">
        <v>25</v>
      </c>
      <c r="B1520" s="889"/>
      <c r="C1520" s="795">
        <v>46197</v>
      </c>
      <c r="D1520" s="645" t="s">
        <v>21</v>
      </c>
      <c r="E1520" s="645" t="s">
        <v>14</v>
      </c>
      <c r="F1520" s="646" t="s">
        <v>107</v>
      </c>
      <c r="G1520" s="646" t="s">
        <v>2959</v>
      </c>
      <c r="H1520" s="649" t="s">
        <v>143</v>
      </c>
      <c r="I1520" s="802" t="s">
        <v>6230</v>
      </c>
      <c r="J1520" s="646" t="s">
        <v>493</v>
      </c>
      <c r="K1520" s="802" t="s">
        <v>999</v>
      </c>
      <c r="L1520" s="645" t="s">
        <v>15</v>
      </c>
      <c r="M1520" s="799">
        <v>300000</v>
      </c>
      <c r="N1520" s="724"/>
    </row>
    <row r="1521" spans="1:14">
      <c r="A1521" s="764">
        <v>25</v>
      </c>
      <c r="B1521" s="889"/>
      <c r="C1521" s="795">
        <v>46197</v>
      </c>
      <c r="D1521" s="645" t="s">
        <v>21</v>
      </c>
      <c r="E1521" s="645" t="s">
        <v>14</v>
      </c>
      <c r="F1521" s="646" t="s">
        <v>107</v>
      </c>
      <c r="G1521" s="646" t="s">
        <v>2959</v>
      </c>
      <c r="H1521" s="649" t="s">
        <v>553</v>
      </c>
      <c r="I1521" s="802" t="s">
        <v>6221</v>
      </c>
      <c r="J1521" s="646" t="s">
        <v>493</v>
      </c>
      <c r="K1521" s="802" t="s">
        <v>999</v>
      </c>
      <c r="L1521" s="645" t="s">
        <v>15</v>
      </c>
      <c r="M1521" s="799">
        <v>300000</v>
      </c>
      <c r="N1521" s="724"/>
    </row>
    <row r="1522" spans="1:14" ht="24">
      <c r="A1522" s="764">
        <v>25</v>
      </c>
      <c r="B1522" s="889"/>
      <c r="C1522" s="795">
        <v>46198</v>
      </c>
      <c r="D1522" s="645" t="s">
        <v>21</v>
      </c>
      <c r="E1522" s="645" t="s">
        <v>17</v>
      </c>
      <c r="F1522" s="802" t="s">
        <v>6095</v>
      </c>
      <c r="G1522" s="646" t="s">
        <v>2713</v>
      </c>
      <c r="H1522" s="649" t="s">
        <v>115</v>
      </c>
      <c r="I1522" s="802" t="s">
        <v>6253</v>
      </c>
      <c r="J1522" s="646"/>
      <c r="K1522" s="820" t="s">
        <v>6096</v>
      </c>
      <c r="L1522" s="645" t="s">
        <v>15</v>
      </c>
      <c r="M1522" s="799">
        <v>500000</v>
      </c>
      <c r="N1522" s="724"/>
    </row>
    <row r="1523" spans="1:14">
      <c r="A1523" s="764">
        <v>25</v>
      </c>
      <c r="B1523" s="889"/>
      <c r="C1523" s="795">
        <v>46198</v>
      </c>
      <c r="D1523" s="645" t="s">
        <v>21</v>
      </c>
      <c r="E1523" s="645" t="s">
        <v>14</v>
      </c>
      <c r="F1523" s="646" t="s">
        <v>1893</v>
      </c>
      <c r="G1523" s="646" t="s">
        <v>4939</v>
      </c>
      <c r="H1523" s="649" t="s">
        <v>482</v>
      </c>
      <c r="I1523" s="802" t="s">
        <v>271</v>
      </c>
      <c r="J1523" s="802" t="s">
        <v>493</v>
      </c>
      <c r="K1523" s="802" t="s">
        <v>999</v>
      </c>
      <c r="L1523" s="645" t="s">
        <v>15</v>
      </c>
      <c r="M1523" s="799">
        <v>300000</v>
      </c>
      <c r="N1523" s="724"/>
    </row>
    <row r="1524" spans="1:14">
      <c r="A1524" s="764">
        <v>25</v>
      </c>
      <c r="B1524" s="889"/>
      <c r="C1524" s="795">
        <v>46198</v>
      </c>
      <c r="D1524" s="645">
        <v>25</v>
      </c>
      <c r="E1524" s="645" t="s">
        <v>14</v>
      </c>
      <c r="F1524" s="646" t="s">
        <v>427</v>
      </c>
      <c r="G1524" s="646" t="s">
        <v>6135</v>
      </c>
      <c r="H1524" s="649" t="s">
        <v>1172</v>
      </c>
      <c r="I1524" s="802" t="s">
        <v>271</v>
      </c>
      <c r="J1524" s="646" t="s">
        <v>812</v>
      </c>
      <c r="K1524" s="646" t="s">
        <v>2838</v>
      </c>
      <c r="L1524" s="645" t="s">
        <v>15</v>
      </c>
      <c r="M1524" s="799">
        <v>500000</v>
      </c>
      <c r="N1524" s="724"/>
    </row>
    <row r="1525" spans="1:14">
      <c r="A1525" s="764">
        <v>25</v>
      </c>
      <c r="B1525" s="889"/>
      <c r="C1525" s="795">
        <v>46199</v>
      </c>
      <c r="D1525" s="645" t="s">
        <v>21</v>
      </c>
      <c r="E1525" s="645" t="s">
        <v>14</v>
      </c>
      <c r="F1525" s="646" t="s">
        <v>427</v>
      </c>
      <c r="G1525" s="646" t="s">
        <v>6135</v>
      </c>
      <c r="H1525" s="649" t="s">
        <v>1172</v>
      </c>
      <c r="I1525" s="802" t="s">
        <v>271</v>
      </c>
      <c r="J1525" s="646" t="s">
        <v>812</v>
      </c>
      <c r="K1525" s="646" t="s">
        <v>2838</v>
      </c>
      <c r="L1525" s="645" t="s">
        <v>15</v>
      </c>
      <c r="M1525" s="799">
        <v>500000</v>
      </c>
      <c r="N1525" s="724"/>
    </row>
    <row r="1526" spans="1:14">
      <c r="A1526" s="764">
        <v>25</v>
      </c>
      <c r="B1526" s="889"/>
      <c r="C1526" s="797">
        <v>46199</v>
      </c>
      <c r="D1526" s="645" t="s">
        <v>21</v>
      </c>
      <c r="E1526" s="645" t="s">
        <v>14</v>
      </c>
      <c r="F1526" s="646" t="s">
        <v>1893</v>
      </c>
      <c r="G1526" s="646" t="s">
        <v>4939</v>
      </c>
      <c r="H1526" s="649" t="s">
        <v>482</v>
      </c>
      <c r="I1526" s="802" t="s">
        <v>271</v>
      </c>
      <c r="J1526" s="802" t="s">
        <v>493</v>
      </c>
      <c r="K1526" s="802" t="s">
        <v>999</v>
      </c>
      <c r="L1526" s="645" t="s">
        <v>15</v>
      </c>
      <c r="M1526" s="799">
        <v>300000</v>
      </c>
      <c r="N1526" s="724"/>
    </row>
    <row r="1527" spans="1:14">
      <c r="A1527" s="764">
        <v>26</v>
      </c>
      <c r="B1527" s="888" t="s">
        <v>20</v>
      </c>
      <c r="C1527" s="657">
        <v>46200</v>
      </c>
      <c r="D1527" s="790" t="s">
        <v>19</v>
      </c>
      <c r="E1527" s="645" t="s">
        <v>25</v>
      </c>
      <c r="F1527" s="646" t="s">
        <v>5838</v>
      </c>
      <c r="G1527" s="646" t="s">
        <v>6315</v>
      </c>
      <c r="H1527" s="649" t="s">
        <v>18</v>
      </c>
      <c r="I1527" s="814" t="s">
        <v>6316</v>
      </c>
      <c r="J1527" s="646" t="s">
        <v>5944</v>
      </c>
      <c r="K1527" s="814" t="s">
        <v>3454</v>
      </c>
      <c r="L1527" s="763" t="s">
        <v>5610</v>
      </c>
      <c r="M1527" s="809">
        <v>250000</v>
      </c>
      <c r="N1527" s="724" t="s">
        <v>6314</v>
      </c>
    </row>
    <row r="1528" spans="1:14" ht="24">
      <c r="A1528" s="764">
        <v>26</v>
      </c>
      <c r="B1528" s="889"/>
      <c r="C1528" s="657" t="s">
        <v>6318</v>
      </c>
      <c r="D1528" s="790" t="s">
        <v>19</v>
      </c>
      <c r="E1528" s="645" t="s">
        <v>25</v>
      </c>
      <c r="F1528" s="646" t="s">
        <v>5838</v>
      </c>
      <c r="G1528" s="646" t="s">
        <v>6315</v>
      </c>
      <c r="H1528" s="649" t="s">
        <v>18</v>
      </c>
      <c r="I1528" s="814" t="s">
        <v>6316</v>
      </c>
      <c r="J1528" s="646" t="s">
        <v>5944</v>
      </c>
      <c r="K1528" s="814" t="s">
        <v>3828</v>
      </c>
      <c r="L1528" s="763" t="s">
        <v>5610</v>
      </c>
      <c r="M1528" s="809">
        <f>250000*3</f>
        <v>750000</v>
      </c>
      <c r="N1528" s="724"/>
    </row>
    <row r="1529" spans="1:14" ht="24">
      <c r="A1529" s="764">
        <v>26</v>
      </c>
      <c r="B1529" s="889"/>
      <c r="C1529" s="657" t="s">
        <v>6318</v>
      </c>
      <c r="D1529" s="790" t="s">
        <v>19</v>
      </c>
      <c r="E1529" s="645" t="s">
        <v>25</v>
      </c>
      <c r="F1529" s="646" t="s">
        <v>5838</v>
      </c>
      <c r="G1529" s="646">
        <v>7065</v>
      </c>
      <c r="H1529" s="649" t="s">
        <v>6071</v>
      </c>
      <c r="I1529" s="814" t="s">
        <v>6324</v>
      </c>
      <c r="J1529" s="646" t="s">
        <v>90</v>
      </c>
      <c r="K1529" s="814" t="s">
        <v>3828</v>
      </c>
      <c r="L1529" s="763" t="s">
        <v>5610</v>
      </c>
      <c r="M1529" s="809">
        <f>250000*3</f>
        <v>750000</v>
      </c>
      <c r="N1529" s="724"/>
    </row>
    <row r="1530" spans="1:14" ht="24">
      <c r="A1530" s="764">
        <v>26</v>
      </c>
      <c r="B1530" s="889"/>
      <c r="C1530" s="657" t="s">
        <v>6320</v>
      </c>
      <c r="D1530" s="790" t="s">
        <v>19</v>
      </c>
      <c r="E1530" s="645" t="s">
        <v>25</v>
      </c>
      <c r="F1530" s="646" t="s">
        <v>5838</v>
      </c>
      <c r="G1530" s="646" t="s">
        <v>6250</v>
      </c>
      <c r="H1530" s="649" t="s">
        <v>34</v>
      </c>
      <c r="I1530" s="814" t="s">
        <v>6321</v>
      </c>
      <c r="J1530" s="646" t="s">
        <v>3429</v>
      </c>
      <c r="K1530" s="814" t="s">
        <v>3803</v>
      </c>
      <c r="L1530" s="763" t="s">
        <v>5610</v>
      </c>
      <c r="M1530" s="809">
        <v>250000</v>
      </c>
      <c r="N1530" s="724"/>
    </row>
    <row r="1531" spans="1:14" ht="24">
      <c r="A1531" s="764">
        <v>26</v>
      </c>
      <c r="B1531" s="889"/>
      <c r="C1531" s="657" t="s">
        <v>6320</v>
      </c>
      <c r="D1531" s="790" t="s">
        <v>19</v>
      </c>
      <c r="E1531" s="645" t="s">
        <v>25</v>
      </c>
      <c r="F1531" s="646" t="s">
        <v>5838</v>
      </c>
      <c r="G1531" s="646" t="s">
        <v>5754</v>
      </c>
      <c r="H1531" s="649" t="s">
        <v>18</v>
      </c>
      <c r="I1531" s="814" t="s">
        <v>6319</v>
      </c>
      <c r="J1531" s="646" t="s">
        <v>3429</v>
      </c>
      <c r="K1531" s="814" t="s">
        <v>5955</v>
      </c>
      <c r="L1531" s="763" t="s">
        <v>5610</v>
      </c>
      <c r="M1531" s="809">
        <f>250000*4</f>
        <v>1000000</v>
      </c>
      <c r="N1531" s="724"/>
    </row>
    <row r="1532" spans="1:14" ht="24">
      <c r="A1532" s="764">
        <v>26</v>
      </c>
      <c r="B1532" s="889"/>
      <c r="C1532" s="674" t="s">
        <v>6322</v>
      </c>
      <c r="D1532" s="790" t="s">
        <v>19</v>
      </c>
      <c r="E1532" s="645" t="s">
        <v>25</v>
      </c>
      <c r="F1532" s="646" t="s">
        <v>5838</v>
      </c>
      <c r="G1532" s="699" t="s">
        <v>6250</v>
      </c>
      <c r="H1532" s="699" t="s">
        <v>6323</v>
      </c>
      <c r="I1532" s="700" t="s">
        <v>3876</v>
      </c>
      <c r="J1532" s="646" t="s">
        <v>5944</v>
      </c>
      <c r="K1532" s="814" t="s">
        <v>3702</v>
      </c>
      <c r="L1532" s="763" t="s">
        <v>5610</v>
      </c>
      <c r="M1532" s="809">
        <f>250000*2</f>
        <v>500000</v>
      </c>
      <c r="N1532" s="722"/>
    </row>
    <row r="1533" spans="1:14">
      <c r="A1533" s="764">
        <v>26</v>
      </c>
      <c r="B1533" s="896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453" t="s">
        <v>684</v>
      </c>
      <c r="L1533" s="136" t="s">
        <v>15</v>
      </c>
      <c r="M1533" s="811">
        <v>500000</v>
      </c>
      <c r="N1533" s="724" t="s">
        <v>6314</v>
      </c>
    </row>
    <row r="1534" spans="1:14">
      <c r="A1534" s="764">
        <v>26</v>
      </c>
      <c r="B1534" s="896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811">
        <v>300000</v>
      </c>
      <c r="N1534" s="724" t="s">
        <v>807</v>
      </c>
    </row>
    <row r="1535" spans="1:14">
      <c r="A1535" s="764">
        <v>26</v>
      </c>
      <c r="B1535" s="896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11">
        <v>300000</v>
      </c>
      <c r="N1535" s="724" t="s">
        <v>807</v>
      </c>
    </row>
    <row r="1536" spans="1:14">
      <c r="A1536" s="764">
        <v>26</v>
      </c>
      <c r="B1536" s="896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11">
        <v>500000</v>
      </c>
      <c r="N1536" s="724" t="s">
        <v>807</v>
      </c>
    </row>
    <row r="1537" spans="1:14">
      <c r="A1537" s="764">
        <v>26</v>
      </c>
      <c r="B1537" s="896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6">
        <v>500000</v>
      </c>
      <c r="N1537" s="724" t="s">
        <v>807</v>
      </c>
    </row>
    <row r="1538" spans="1:14">
      <c r="A1538" s="764">
        <v>26</v>
      </c>
      <c r="B1538" s="896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806">
        <v>300000</v>
      </c>
      <c r="N1538" s="724" t="s">
        <v>807</v>
      </c>
    </row>
    <row r="1539" spans="1:14">
      <c r="A1539" s="764">
        <v>26</v>
      </c>
      <c r="B1539" s="896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136" t="s">
        <v>3454</v>
      </c>
      <c r="L1539" s="136" t="s">
        <v>15</v>
      </c>
      <c r="M1539" s="806">
        <v>250000</v>
      </c>
      <c r="N1539" s="724" t="s">
        <v>807</v>
      </c>
    </row>
    <row r="1540" spans="1:14">
      <c r="A1540" s="764">
        <v>26</v>
      </c>
      <c r="B1540" s="896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136" t="s">
        <v>2828</v>
      </c>
      <c r="L1540" s="136" t="s">
        <v>15</v>
      </c>
      <c r="M1540" s="806">
        <v>250000</v>
      </c>
      <c r="N1540" s="724" t="s">
        <v>807</v>
      </c>
    </row>
    <row r="1541" spans="1:14">
      <c r="A1541" s="851">
        <v>27</v>
      </c>
      <c r="B1541" s="896" t="s">
        <v>20</v>
      </c>
      <c r="C1541" s="657">
        <v>46207</v>
      </c>
      <c r="D1541" s="790" t="s">
        <v>6433</v>
      </c>
      <c r="E1541" s="645" t="s">
        <v>6434</v>
      </c>
      <c r="F1541" s="646" t="s">
        <v>6435</v>
      </c>
      <c r="G1541" s="646" t="s">
        <v>6436</v>
      </c>
      <c r="H1541" s="649" t="s">
        <v>6437</v>
      </c>
      <c r="I1541" s="825" t="s">
        <v>6466</v>
      </c>
      <c r="J1541" s="646" t="s">
        <v>6438</v>
      </c>
      <c r="K1541" s="825" t="s">
        <v>6439</v>
      </c>
      <c r="L1541" s="763" t="s">
        <v>6440</v>
      </c>
      <c r="M1541" s="823">
        <v>250000</v>
      </c>
      <c r="N1541" s="724" t="s">
        <v>6432</v>
      </c>
    </row>
    <row r="1542" spans="1:14">
      <c r="A1542" s="851">
        <v>27</v>
      </c>
      <c r="B1542" s="896"/>
      <c r="C1542" s="657" t="s">
        <v>6452</v>
      </c>
      <c r="D1542" s="790" t="s">
        <v>6433</v>
      </c>
      <c r="E1542" s="645" t="s">
        <v>6434</v>
      </c>
      <c r="F1542" s="646" t="s">
        <v>6435</v>
      </c>
      <c r="G1542" s="646" t="s">
        <v>6449</v>
      </c>
      <c r="H1542" s="649" t="s">
        <v>6450</v>
      </c>
      <c r="I1542" s="825" t="s">
        <v>6465</v>
      </c>
      <c r="J1542" s="646" t="s">
        <v>6451</v>
      </c>
      <c r="K1542" s="825" t="s">
        <v>6453</v>
      </c>
      <c r="L1542" s="763" t="s">
        <v>6440</v>
      </c>
      <c r="M1542" s="823">
        <f>250000*2</f>
        <v>500000</v>
      </c>
      <c r="N1542" s="724"/>
    </row>
    <row r="1543" spans="1:14">
      <c r="A1543" s="851">
        <v>27</v>
      </c>
      <c r="B1543" s="896"/>
      <c r="C1543" s="657" t="s">
        <v>6461</v>
      </c>
      <c r="D1543" s="790" t="s">
        <v>6433</v>
      </c>
      <c r="E1543" s="645" t="s">
        <v>6434</v>
      </c>
      <c r="F1543" s="646" t="s">
        <v>6435</v>
      </c>
      <c r="G1543" s="646">
        <v>7065</v>
      </c>
      <c r="H1543" s="649" t="s">
        <v>6454</v>
      </c>
      <c r="I1543" s="825" t="s">
        <v>6455</v>
      </c>
      <c r="J1543" s="646"/>
      <c r="K1543" s="825" t="s">
        <v>6456</v>
      </c>
      <c r="L1543" s="763" t="s">
        <v>6440</v>
      </c>
      <c r="M1543" s="823">
        <f>250000*3</f>
        <v>750000</v>
      </c>
      <c r="N1543" s="724"/>
    </row>
    <row r="1544" spans="1:14">
      <c r="A1544" s="851">
        <v>27</v>
      </c>
      <c r="B1544" s="896"/>
      <c r="C1544" s="657" t="s">
        <v>6461</v>
      </c>
      <c r="D1544" s="790" t="s">
        <v>6433</v>
      </c>
      <c r="E1544" s="645" t="s">
        <v>6434</v>
      </c>
      <c r="F1544" s="646" t="s">
        <v>6435</v>
      </c>
      <c r="G1544" s="646" t="s">
        <v>6457</v>
      </c>
      <c r="H1544" s="649" t="s">
        <v>6458</v>
      </c>
      <c r="I1544" s="825" t="s">
        <v>6459</v>
      </c>
      <c r="J1544" s="646"/>
      <c r="K1544" s="825" t="s">
        <v>6460</v>
      </c>
      <c r="L1544" s="763" t="s">
        <v>6440</v>
      </c>
      <c r="M1544" s="823">
        <f>250000*3</f>
        <v>750000</v>
      </c>
      <c r="N1544" s="724"/>
    </row>
    <row r="1545" spans="1:14">
      <c r="A1545" s="851">
        <v>27</v>
      </c>
      <c r="B1545" s="896"/>
      <c r="C1545" s="657" t="s">
        <v>6452</v>
      </c>
      <c r="D1545" s="790" t="s">
        <v>6433</v>
      </c>
      <c r="E1545" s="645" t="s">
        <v>6434</v>
      </c>
      <c r="F1545" s="646" t="s">
        <v>6435</v>
      </c>
      <c r="G1545" s="646" t="s">
        <v>6436</v>
      </c>
      <c r="H1545" s="649" t="s">
        <v>6462</v>
      </c>
      <c r="I1545" s="825" t="s">
        <v>6463</v>
      </c>
      <c r="J1545" s="646" t="s">
        <v>6438</v>
      </c>
      <c r="K1545" s="825" t="s">
        <v>6464</v>
      </c>
      <c r="L1545" s="763" t="s">
        <v>6440</v>
      </c>
      <c r="M1545" s="823">
        <f>250000*2</f>
        <v>500000</v>
      </c>
      <c r="N1545" s="724"/>
    </row>
    <row r="1546" spans="1:14">
      <c r="A1546" s="851">
        <v>27</v>
      </c>
      <c r="B1546" s="896"/>
      <c r="C1546" s="674" t="s">
        <v>6461</v>
      </c>
      <c r="D1546" s="790" t="s">
        <v>6433</v>
      </c>
      <c r="E1546" s="645" t="s">
        <v>6434</v>
      </c>
      <c r="F1546" s="646" t="s">
        <v>6435</v>
      </c>
      <c r="G1546" s="699" t="s">
        <v>6449</v>
      </c>
      <c r="H1546" s="699" t="s">
        <v>6450</v>
      </c>
      <c r="I1546" s="700" t="s">
        <v>6466</v>
      </c>
      <c r="J1546" s="646" t="s">
        <v>6438</v>
      </c>
      <c r="K1546" s="825" t="s">
        <v>6460</v>
      </c>
      <c r="L1546" s="763" t="s">
        <v>6440</v>
      </c>
      <c r="M1546" s="823">
        <f>250000*3</f>
        <v>750000</v>
      </c>
      <c r="N1546" s="722"/>
    </row>
    <row r="1547" spans="1:14">
      <c r="A1547" s="851">
        <v>27</v>
      </c>
      <c r="B1547" s="896" t="s">
        <v>21</v>
      </c>
      <c r="C1547" s="657">
        <v>46168</v>
      </c>
      <c r="D1547" s="645" t="s">
        <v>1255</v>
      </c>
      <c r="E1547" s="645" t="s">
        <v>14</v>
      </c>
      <c r="F1547" s="646" t="s">
        <v>427</v>
      </c>
      <c r="G1547" s="646" t="s">
        <v>3386</v>
      </c>
      <c r="H1547" s="649" t="s">
        <v>943</v>
      </c>
      <c r="I1547" s="666" t="s">
        <v>6443</v>
      </c>
      <c r="J1547" s="666"/>
      <c r="K1547" s="665" t="s">
        <v>6442</v>
      </c>
      <c r="L1547" s="663" t="s">
        <v>6358</v>
      </c>
      <c r="M1547" s="824">
        <v>300000</v>
      </c>
      <c r="N1547" s="724" t="s">
        <v>6444</v>
      </c>
    </row>
    <row r="1548" spans="1:14">
      <c r="A1548" s="851">
        <v>27</v>
      </c>
      <c r="B1548" s="896"/>
      <c r="C1548" s="657">
        <v>46207</v>
      </c>
      <c r="D1548" s="645" t="s">
        <v>1301</v>
      </c>
      <c r="E1548" s="645" t="s">
        <v>14</v>
      </c>
      <c r="F1548" s="646" t="s">
        <v>427</v>
      </c>
      <c r="G1548" s="646" t="s">
        <v>3386</v>
      </c>
      <c r="H1548" s="649" t="s">
        <v>943</v>
      </c>
      <c r="I1548" s="666" t="s">
        <v>6401</v>
      </c>
      <c r="J1548" s="666" t="s">
        <v>6407</v>
      </c>
      <c r="K1548" s="665" t="s">
        <v>6357</v>
      </c>
      <c r="L1548" s="663" t="s">
        <v>6358</v>
      </c>
      <c r="M1548" s="824">
        <v>250000</v>
      </c>
      <c r="N1548" s="724" t="s">
        <v>6432</v>
      </c>
    </row>
    <row r="1549" spans="1:14">
      <c r="A1549" s="851">
        <v>27</v>
      </c>
      <c r="B1549" s="896"/>
      <c r="C1549" s="674">
        <v>46209</v>
      </c>
      <c r="D1549" s="645" t="s">
        <v>21</v>
      </c>
      <c r="E1549" s="645" t="s">
        <v>14</v>
      </c>
      <c r="F1549" s="646" t="s">
        <v>1893</v>
      </c>
      <c r="G1549" s="646" t="s">
        <v>4939</v>
      </c>
      <c r="H1549" s="649" t="s">
        <v>482</v>
      </c>
      <c r="I1549" s="666" t="s">
        <v>6406</v>
      </c>
      <c r="J1549" s="665" t="s">
        <v>6407</v>
      </c>
      <c r="K1549" s="665" t="s">
        <v>6408</v>
      </c>
      <c r="L1549" s="663" t="s">
        <v>6358</v>
      </c>
      <c r="M1549" s="824">
        <v>250000</v>
      </c>
      <c r="N1549" s="724" t="s">
        <v>6446</v>
      </c>
    </row>
    <row r="1550" spans="1:14">
      <c r="A1550" s="851">
        <v>27</v>
      </c>
      <c r="B1550" s="896"/>
      <c r="C1550" s="674">
        <v>46211</v>
      </c>
      <c r="D1550" s="645" t="s">
        <v>21</v>
      </c>
      <c r="E1550" s="645" t="s">
        <v>14</v>
      </c>
      <c r="F1550" s="646" t="s">
        <v>107</v>
      </c>
      <c r="G1550" s="646" t="s">
        <v>2959</v>
      </c>
      <c r="H1550" s="649" t="s">
        <v>1172</v>
      </c>
      <c r="I1550" s="825" t="s">
        <v>6219</v>
      </c>
      <c r="J1550" s="844" t="s">
        <v>6356</v>
      </c>
      <c r="K1550" s="645" t="s">
        <v>6419</v>
      </c>
      <c r="L1550" s="645" t="s">
        <v>6358</v>
      </c>
      <c r="M1550" s="846">
        <v>250000</v>
      </c>
      <c r="N1550" s="724" t="s">
        <v>6446</v>
      </c>
    </row>
    <row r="1551" spans="1:14">
      <c r="A1551" s="851">
        <v>27</v>
      </c>
      <c r="B1551" s="896"/>
      <c r="C1551" s="674">
        <v>46211</v>
      </c>
      <c r="D1551" s="645" t="s">
        <v>21</v>
      </c>
      <c r="E1551" s="645" t="s">
        <v>14</v>
      </c>
      <c r="F1551" s="646" t="s">
        <v>107</v>
      </c>
      <c r="G1551" s="646" t="s">
        <v>2959</v>
      </c>
      <c r="H1551" s="649" t="s">
        <v>2210</v>
      </c>
      <c r="I1551" s="825" t="s">
        <v>6431</v>
      </c>
      <c r="J1551" s="844"/>
      <c r="K1551" s="645" t="s">
        <v>6422</v>
      </c>
      <c r="L1551" s="645" t="s">
        <v>6358</v>
      </c>
      <c r="M1551" s="846">
        <v>500000</v>
      </c>
      <c r="N1551" s="724" t="s">
        <v>6446</v>
      </c>
    </row>
    <row r="1552" spans="1:14">
      <c r="A1552" s="851">
        <v>27</v>
      </c>
      <c r="B1552" s="896"/>
      <c r="C1552" s="674">
        <v>46211</v>
      </c>
      <c r="D1552" s="645" t="s">
        <v>21</v>
      </c>
      <c r="E1552" s="645" t="s">
        <v>17</v>
      </c>
      <c r="F1552" s="646" t="s">
        <v>78</v>
      </c>
      <c r="G1552" s="646" t="s">
        <v>1645</v>
      </c>
      <c r="H1552" s="649" t="s">
        <v>23</v>
      </c>
      <c r="I1552" s="825" t="s">
        <v>6311</v>
      </c>
      <c r="J1552" s="646" t="s">
        <v>90</v>
      </c>
      <c r="K1552" s="825" t="s">
        <v>999</v>
      </c>
      <c r="L1552" s="645"/>
      <c r="M1552" s="822">
        <v>300000</v>
      </c>
      <c r="N1552" s="724" t="s">
        <v>6447</v>
      </c>
    </row>
    <row r="1553" spans="1:14">
      <c r="A1553" s="851">
        <v>27</v>
      </c>
      <c r="B1553" s="896"/>
      <c r="C1553" s="674">
        <v>46212</v>
      </c>
      <c r="D1553" s="645" t="s">
        <v>21</v>
      </c>
      <c r="E1553" s="645" t="s">
        <v>14</v>
      </c>
      <c r="F1553" s="646" t="s">
        <v>107</v>
      </c>
      <c r="G1553" s="646" t="s">
        <v>2959</v>
      </c>
      <c r="H1553" s="649" t="s">
        <v>1172</v>
      </c>
      <c r="I1553" s="825" t="s">
        <v>6219</v>
      </c>
      <c r="J1553" s="844" t="s">
        <v>6356</v>
      </c>
      <c r="K1553" s="897" t="s">
        <v>6419</v>
      </c>
      <c r="L1553" s="645" t="s">
        <v>6358</v>
      </c>
      <c r="M1553" s="893">
        <v>250000</v>
      </c>
      <c r="N1553" s="724" t="s">
        <v>6446</v>
      </c>
    </row>
    <row r="1554" spans="1:14">
      <c r="A1554" s="851">
        <v>27</v>
      </c>
      <c r="B1554" s="896"/>
      <c r="C1554" s="674">
        <v>46212</v>
      </c>
      <c r="D1554" s="645" t="s">
        <v>21</v>
      </c>
      <c r="E1554" s="645" t="s">
        <v>14</v>
      </c>
      <c r="F1554" s="646" t="s">
        <v>107</v>
      </c>
      <c r="G1554" s="646" t="s">
        <v>2959</v>
      </c>
      <c r="H1554" s="649" t="s">
        <v>67</v>
      </c>
      <c r="I1554" s="825" t="s">
        <v>6221</v>
      </c>
      <c r="J1554" s="844" t="s">
        <v>6356</v>
      </c>
      <c r="K1554" s="898"/>
      <c r="L1554" s="645" t="s">
        <v>15</v>
      </c>
      <c r="M1554" s="895"/>
      <c r="N1554" s="724" t="s">
        <v>6447</v>
      </c>
    </row>
    <row r="1555" spans="1:14">
      <c r="A1555" s="851">
        <v>27</v>
      </c>
      <c r="B1555" s="896"/>
      <c r="C1555" s="674">
        <v>46212</v>
      </c>
      <c r="D1555" s="645" t="s">
        <v>21</v>
      </c>
      <c r="E1555" s="645" t="s">
        <v>17</v>
      </c>
      <c r="F1555" s="646" t="s">
        <v>78</v>
      </c>
      <c r="G1555" s="646">
        <v>7060</v>
      </c>
      <c r="H1555" s="649" t="s">
        <v>36</v>
      </c>
      <c r="I1555" s="666" t="s">
        <v>6448</v>
      </c>
      <c r="J1555" s="646" t="s">
        <v>6364</v>
      </c>
      <c r="K1555" s="825" t="s">
        <v>6357</v>
      </c>
      <c r="L1555" s="645" t="s">
        <v>6358</v>
      </c>
      <c r="M1555" s="822">
        <v>250000</v>
      </c>
      <c r="N1555" s="724" t="s">
        <v>6447</v>
      </c>
    </row>
    <row r="1556" spans="1:14">
      <c r="A1556" s="851">
        <v>27</v>
      </c>
      <c r="B1556" s="896"/>
      <c r="C1556" s="674">
        <v>46213</v>
      </c>
      <c r="D1556" s="645" t="s">
        <v>21</v>
      </c>
      <c r="E1556" s="645" t="s">
        <v>14</v>
      </c>
      <c r="F1556" s="646" t="s">
        <v>211</v>
      </c>
      <c r="G1556" s="646" t="s">
        <v>2916</v>
      </c>
      <c r="H1556" s="649" t="s">
        <v>2917</v>
      </c>
      <c r="I1556" s="825" t="s">
        <v>6429</v>
      </c>
      <c r="J1556" s="665" t="s">
        <v>6312</v>
      </c>
      <c r="K1556" s="665" t="s">
        <v>6408</v>
      </c>
      <c r="L1556" s="663" t="s">
        <v>911</v>
      </c>
      <c r="M1556" s="822">
        <v>300000</v>
      </c>
      <c r="N1556" s="724" t="s">
        <v>6445</v>
      </c>
    </row>
    <row r="1557" spans="1:14">
      <c r="A1557" s="764">
        <v>28</v>
      </c>
      <c r="B1557" s="888" t="s">
        <v>20</v>
      </c>
      <c r="C1557" s="657">
        <v>46214</v>
      </c>
      <c r="D1557" s="790" t="s">
        <v>6532</v>
      </c>
      <c r="E1557" s="645" t="s">
        <v>1638</v>
      </c>
      <c r="F1557" s="646" t="s">
        <v>6533</v>
      </c>
      <c r="G1557" s="646" t="s">
        <v>4947</v>
      </c>
      <c r="H1557" s="649" t="s">
        <v>115</v>
      </c>
      <c r="I1557" s="856" t="s">
        <v>6534</v>
      </c>
      <c r="J1557" s="646" t="s">
        <v>2172</v>
      </c>
      <c r="K1557" s="856" t="s">
        <v>6535</v>
      </c>
      <c r="L1557" s="763" t="s">
        <v>6536</v>
      </c>
      <c r="M1557" s="855">
        <v>250000</v>
      </c>
      <c r="N1557" s="724" t="s">
        <v>6531</v>
      </c>
    </row>
    <row r="1558" spans="1:14">
      <c r="A1558" s="764">
        <v>28</v>
      </c>
      <c r="B1558" s="889"/>
      <c r="C1558" s="657">
        <v>46216</v>
      </c>
      <c r="D1558" s="790" t="s">
        <v>6532</v>
      </c>
      <c r="E1558" s="645" t="s">
        <v>1638</v>
      </c>
      <c r="F1558" s="646" t="s">
        <v>6533</v>
      </c>
      <c r="G1558" s="646" t="s">
        <v>6537</v>
      </c>
      <c r="H1558" s="649" t="s">
        <v>6538</v>
      </c>
      <c r="I1558" s="856" t="s">
        <v>6534</v>
      </c>
      <c r="J1558" s="646" t="s">
        <v>2172</v>
      </c>
      <c r="K1558" s="856" t="s">
        <v>2828</v>
      </c>
      <c r="L1558" s="763" t="s">
        <v>6536</v>
      </c>
      <c r="M1558" s="855">
        <f>250000*2</f>
        <v>500000</v>
      </c>
      <c r="N1558" s="724"/>
    </row>
    <row r="1559" spans="1:14" ht="24">
      <c r="A1559" s="764">
        <v>28</v>
      </c>
      <c r="B1559" s="889"/>
      <c r="C1559" s="657" t="s">
        <v>6574</v>
      </c>
      <c r="D1559" s="790" t="s">
        <v>6532</v>
      </c>
      <c r="E1559" s="645" t="s">
        <v>1638</v>
      </c>
      <c r="F1559" s="646" t="s">
        <v>6533</v>
      </c>
      <c r="G1559" s="646">
        <v>7065</v>
      </c>
      <c r="H1559" s="649" t="s">
        <v>975</v>
      </c>
      <c r="I1559" s="856" t="s">
        <v>378</v>
      </c>
      <c r="J1559" s="646" t="s">
        <v>126</v>
      </c>
      <c r="K1559" s="856" t="s">
        <v>3004</v>
      </c>
      <c r="L1559" s="763" t="s">
        <v>6536</v>
      </c>
      <c r="M1559" s="855">
        <f>250000*3</f>
        <v>750000</v>
      </c>
      <c r="N1559" s="724"/>
    </row>
    <row r="1560" spans="1:14" ht="24">
      <c r="A1560" s="764">
        <v>28</v>
      </c>
      <c r="B1560" s="889"/>
      <c r="C1560" s="657" t="s">
        <v>6575</v>
      </c>
      <c r="D1560" s="790" t="s">
        <v>6532</v>
      </c>
      <c r="E1560" s="645" t="s">
        <v>1638</v>
      </c>
      <c r="F1560" s="646" t="s">
        <v>6533</v>
      </c>
      <c r="G1560" s="699" t="s">
        <v>6250</v>
      </c>
      <c r="H1560" s="699" t="s">
        <v>6323</v>
      </c>
      <c r="I1560" s="856" t="s">
        <v>378</v>
      </c>
      <c r="J1560" s="646" t="s">
        <v>737</v>
      </c>
      <c r="K1560" s="856" t="s">
        <v>5852</v>
      </c>
      <c r="L1560" s="763" t="s">
        <v>6536</v>
      </c>
      <c r="M1560" s="855">
        <f>250000*2</f>
        <v>500000</v>
      </c>
      <c r="N1560" s="722"/>
    </row>
    <row r="1561" spans="1:14">
      <c r="A1561" s="764">
        <v>28</v>
      </c>
      <c r="B1561" s="888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852">
        <v>250000</v>
      </c>
      <c r="N1561" s="724" t="s">
        <v>6531</v>
      </c>
    </row>
    <row r="1562" spans="1:14">
      <c r="A1562" s="764">
        <v>28</v>
      </c>
      <c r="B1562" s="889"/>
      <c r="C1562" s="657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858" t="s">
        <v>6521</v>
      </c>
      <c r="J1562" s="454" t="s">
        <v>6530</v>
      </c>
      <c r="K1562" s="453" t="s">
        <v>2828</v>
      </c>
      <c r="L1562" s="136" t="s">
        <v>15</v>
      </c>
      <c r="M1562" s="852">
        <v>250000</v>
      </c>
      <c r="N1562" s="724" t="s">
        <v>6531</v>
      </c>
    </row>
    <row r="1563" spans="1:14" ht="27">
      <c r="A1563" s="764">
        <v>28</v>
      </c>
      <c r="B1563" s="889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858" t="s">
        <v>6496</v>
      </c>
      <c r="J1563" s="853" t="s">
        <v>90</v>
      </c>
      <c r="K1563" s="890" t="s">
        <v>686</v>
      </c>
      <c r="L1563" s="125" t="s">
        <v>15</v>
      </c>
      <c r="M1563" s="893">
        <v>250000</v>
      </c>
      <c r="N1563" s="724" t="s">
        <v>393</v>
      </c>
    </row>
    <row r="1564" spans="1:14">
      <c r="A1564" s="764">
        <v>28</v>
      </c>
      <c r="B1564" s="889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858" t="s">
        <v>1489</v>
      </c>
      <c r="J1564" s="853" t="s">
        <v>90</v>
      </c>
      <c r="K1564" s="891"/>
      <c r="L1564" s="125" t="s">
        <v>15</v>
      </c>
      <c r="M1564" s="894"/>
      <c r="N1564" s="724" t="s">
        <v>128</v>
      </c>
    </row>
    <row r="1565" spans="1:14" ht="27">
      <c r="A1565" s="764">
        <v>28</v>
      </c>
      <c r="B1565" s="889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858" t="s">
        <v>6497</v>
      </c>
      <c r="J1565" s="853" t="s">
        <v>90</v>
      </c>
      <c r="K1565" s="892"/>
      <c r="L1565" s="125" t="s">
        <v>15</v>
      </c>
      <c r="M1565" s="895"/>
      <c r="N1565" s="724" t="s">
        <v>393</v>
      </c>
    </row>
    <row r="1566" spans="1:14">
      <c r="A1566" s="764">
        <v>28</v>
      </c>
      <c r="B1566" s="889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6554</v>
      </c>
      <c r="J1566" s="853" t="s">
        <v>3661</v>
      </c>
      <c r="K1566" s="853" t="s">
        <v>3075</v>
      </c>
      <c r="L1566" s="125" t="s">
        <v>15</v>
      </c>
      <c r="M1566" s="846">
        <v>300000</v>
      </c>
      <c r="N1566" s="724" t="s">
        <v>128</v>
      </c>
    </row>
    <row r="1567" spans="1:14">
      <c r="A1567" s="764">
        <v>28</v>
      </c>
      <c r="B1567" s="889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853" t="s">
        <v>3075</v>
      </c>
      <c r="L1567" s="125" t="s">
        <v>15</v>
      </c>
      <c r="M1567" s="852">
        <v>300000</v>
      </c>
      <c r="N1567" s="724" t="s">
        <v>128</v>
      </c>
    </row>
    <row r="1568" spans="1:14">
      <c r="A1568" s="764">
        <v>28</v>
      </c>
      <c r="B1568" s="889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853" t="s">
        <v>3075</v>
      </c>
      <c r="L1568" s="125" t="s">
        <v>15</v>
      </c>
      <c r="M1568" s="852">
        <v>300000</v>
      </c>
      <c r="N1568" s="724" t="s">
        <v>128</v>
      </c>
    </row>
    <row r="1569" spans="1:14">
      <c r="A1569" s="764">
        <v>28</v>
      </c>
      <c r="B1569" s="889"/>
      <c r="C1569" s="399">
        <v>46218</v>
      </c>
      <c r="D1569" s="4" t="s">
        <v>64</v>
      </c>
      <c r="E1569" s="4" t="s">
        <v>30</v>
      </c>
      <c r="F1569" s="853" t="s">
        <v>107</v>
      </c>
      <c r="G1569" s="853" t="s">
        <v>2959</v>
      </c>
      <c r="H1569" s="16" t="s">
        <v>143</v>
      </c>
      <c r="I1569" s="858" t="s">
        <v>6539</v>
      </c>
      <c r="J1569" s="853" t="s">
        <v>6312</v>
      </c>
      <c r="K1569" s="853" t="s">
        <v>2828</v>
      </c>
      <c r="L1569" s="125" t="s">
        <v>15</v>
      </c>
      <c r="M1569" s="854">
        <v>250000</v>
      </c>
      <c r="N1569" s="724" t="s">
        <v>6540</v>
      </c>
    </row>
  </sheetData>
  <autoFilter ref="A1:N1526"/>
  <mergeCells count="1063">
    <mergeCell ref="B1527:B1532"/>
    <mergeCell ref="B1533:B1540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N462:N463"/>
    <mergeCell ref="B452:B460"/>
    <mergeCell ref="B996:B998"/>
    <mergeCell ref="B999:B1005"/>
    <mergeCell ref="B989:B992"/>
    <mergeCell ref="B993:B995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topLeftCell="A7" workbookViewId="0">
      <selection activeCell="G23" sqref="G23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4300000</v>
      </c>
    </row>
    <row r="10" spans="1:4">
      <c r="A10" s="589" t="s">
        <v>4855</v>
      </c>
      <c r="B10" s="589" t="s">
        <v>4856</v>
      </c>
      <c r="C10" s="1080" t="s">
        <v>4857</v>
      </c>
      <c r="D10" s="1080"/>
    </row>
    <row r="11" spans="1:4">
      <c r="A11" s="589" t="s">
        <v>4858</v>
      </c>
      <c r="B11" s="589">
        <v>1</v>
      </c>
      <c r="C11" s="1081">
        <f>'사전품의양식 (12)'!L5</f>
        <v>1000000</v>
      </c>
      <c r="D11" s="1081"/>
    </row>
    <row r="12" spans="1:4">
      <c r="A12" s="589" t="s">
        <v>4859</v>
      </c>
      <c r="B12" s="589">
        <v>14</v>
      </c>
      <c r="C12" s="1081">
        <f>'사전품의양식 (12)'!L20</f>
        <v>3300000</v>
      </c>
      <c r="D12" s="1081"/>
    </row>
    <row r="13" spans="1:4">
      <c r="A13" s="591" t="s">
        <v>53</v>
      </c>
      <c r="B13" s="591">
        <f>SUM(B11:B12)</f>
        <v>15</v>
      </c>
      <c r="C13" s="1082">
        <f>SUM(C11:C12)</f>
        <v>4300000</v>
      </c>
      <c r="D13" s="1082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750000</v>
      </c>
      <c r="D17" s="593">
        <f>SUM(B17:C17)</f>
        <v>750000</v>
      </c>
    </row>
    <row r="18" spans="1:5">
      <c r="A18" s="589" t="s">
        <v>5511</v>
      </c>
      <c r="B18" s="590">
        <f>C11-B17</f>
        <v>1000000</v>
      </c>
      <c r="C18" s="590">
        <f>C12-C17</f>
        <v>2550000</v>
      </c>
      <c r="D18" s="590">
        <f>SUM(B18:C18)</f>
        <v>3550000</v>
      </c>
    </row>
    <row r="19" spans="1:5">
      <c r="A19" s="591" t="s">
        <v>4861</v>
      </c>
      <c r="B19" s="592">
        <f>SUM(B17:B18)</f>
        <v>1000000</v>
      </c>
      <c r="C19" s="592">
        <f>SUM(C17:C18)</f>
        <v>3300000</v>
      </c>
      <c r="D19" s="592">
        <f>SUM(D17:D18)</f>
        <v>4300000</v>
      </c>
    </row>
    <row r="22" spans="1:5" ht="20.25">
      <c r="A22" s="586" t="s">
        <v>4871</v>
      </c>
    </row>
    <row r="24" spans="1:5">
      <c r="A24" s="861" t="s">
        <v>4855</v>
      </c>
      <c r="B24" s="861" t="s">
        <v>4869</v>
      </c>
      <c r="C24" s="1189" t="s">
        <v>4872</v>
      </c>
      <c r="D24" s="1190"/>
      <c r="E24" s="687"/>
    </row>
    <row r="25" spans="1:5">
      <c r="A25" s="861" t="s">
        <v>4873</v>
      </c>
      <c r="B25" s="861" t="s">
        <v>4874</v>
      </c>
      <c r="C25" s="608" t="s">
        <v>4875</v>
      </c>
      <c r="D25" s="687"/>
      <c r="E25" s="687"/>
    </row>
    <row r="26" spans="1:5">
      <c r="A26" s="861" t="s">
        <v>6669</v>
      </c>
      <c r="B26" s="861" t="s">
        <v>6670</v>
      </c>
      <c r="C26" s="608" t="s">
        <v>6671</v>
      </c>
      <c r="D26" s="861" t="s">
        <v>6672</v>
      </c>
      <c r="E26" s="687"/>
    </row>
    <row r="28" spans="1:5" ht="20.25">
      <c r="A28" s="586" t="s">
        <v>4867</v>
      </c>
    </row>
    <row r="30" spans="1:5">
      <c r="A30" s="587" t="s">
        <v>4876</v>
      </c>
    </row>
    <row r="32" spans="1:5">
      <c r="A32" s="587" t="s">
        <v>4877</v>
      </c>
    </row>
    <row r="34" spans="1:1">
      <c r="A34" s="587" t="s">
        <v>4870</v>
      </c>
    </row>
    <row r="38" spans="1:1" ht="20.25">
      <c r="A38" s="586" t="s">
        <v>4868</v>
      </c>
    </row>
  </sheetData>
  <mergeCells count="5"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5"/>
  <sheetViews>
    <sheetView topLeftCell="A2" zoomScale="90" zoomScaleNormal="90" zoomScaleSheetLayoutView="55" workbookViewId="0">
      <selection activeCell="A2" sqref="A2:M21"/>
    </sheetView>
  </sheetViews>
  <sheetFormatPr defaultRowHeight="12"/>
  <cols>
    <col min="1" max="1" width="9" style="688"/>
    <col min="2" max="2" width="11.375" style="688" customWidth="1"/>
    <col min="3" max="3" width="9.875" style="688" bestFit="1" customWidth="1"/>
    <col min="4" max="5" width="9" style="688"/>
    <col min="6" max="6" width="11.625" style="688" customWidth="1"/>
    <col min="7" max="7" width="9" style="688"/>
    <col min="8" max="8" width="38.25" style="688" customWidth="1"/>
    <col min="9" max="9" width="12.375" style="688" customWidth="1"/>
    <col min="10" max="10" width="12.625" style="688" bestFit="1" customWidth="1"/>
    <col min="11" max="11" width="9" style="688"/>
    <col min="12" max="12" width="13.625" style="688" customWidth="1"/>
    <col min="13" max="13" width="14.5" style="688" customWidth="1"/>
    <col min="14" max="14" width="39.75" style="688" bestFit="1" customWidth="1"/>
    <col min="15" max="15" width="10.875" style="688" bestFit="1" customWidth="1"/>
    <col min="16" max="16384" width="9" style="688"/>
  </cols>
  <sheetData>
    <row r="1" spans="1:13" ht="12.75" hidden="1" thickBot="1">
      <c r="A1" s="713"/>
      <c r="B1" s="713"/>
      <c r="C1" s="713"/>
      <c r="D1" s="713"/>
      <c r="E1" s="713"/>
      <c r="F1" s="713"/>
      <c r="G1" s="713"/>
      <c r="H1" s="713"/>
      <c r="I1" s="713"/>
      <c r="J1" s="713"/>
      <c r="K1" s="713"/>
      <c r="L1" s="713"/>
      <c r="M1" s="713"/>
    </row>
    <row r="2" spans="1:13">
      <c r="A2" s="1085" t="s">
        <v>5630</v>
      </c>
      <c r="B2" s="1087" t="s">
        <v>1</v>
      </c>
      <c r="C2" s="1087" t="s">
        <v>2</v>
      </c>
      <c r="D2" s="1087" t="s">
        <v>3</v>
      </c>
      <c r="E2" s="719" t="s">
        <v>2623</v>
      </c>
      <c r="F2" s="1087" t="s">
        <v>5</v>
      </c>
      <c r="G2" s="1087" t="s">
        <v>6</v>
      </c>
      <c r="H2" s="1087" t="s">
        <v>2624</v>
      </c>
      <c r="I2" s="1087" t="s">
        <v>55</v>
      </c>
      <c r="J2" s="1087" t="s">
        <v>9</v>
      </c>
      <c r="K2" s="1089" t="s">
        <v>56</v>
      </c>
      <c r="L2" s="1087" t="s">
        <v>57</v>
      </c>
      <c r="M2" s="1083" t="s">
        <v>58</v>
      </c>
    </row>
    <row r="3" spans="1:13">
      <c r="A3" s="1086"/>
      <c r="B3" s="1088"/>
      <c r="C3" s="1088"/>
      <c r="D3" s="1088"/>
      <c r="E3" s="720" t="s">
        <v>1724</v>
      </c>
      <c r="F3" s="1088"/>
      <c r="G3" s="1088"/>
      <c r="H3" s="1088"/>
      <c r="I3" s="1088"/>
      <c r="J3" s="1088"/>
      <c r="K3" s="1090"/>
      <c r="L3" s="1088"/>
      <c r="M3" s="1084"/>
    </row>
    <row r="4" spans="1:13" s="714" customFormat="1" ht="17.100000000000001" customHeight="1">
      <c r="A4" s="1093" t="s">
        <v>20</v>
      </c>
      <c r="B4" s="657" t="s">
        <v>6654</v>
      </c>
      <c r="C4" s="790" t="s">
        <v>19</v>
      </c>
      <c r="D4" s="645" t="s">
        <v>25</v>
      </c>
      <c r="E4" s="646" t="s">
        <v>5254</v>
      </c>
      <c r="F4" s="699" t="s">
        <v>6250</v>
      </c>
      <c r="G4" s="699" t="s">
        <v>6323</v>
      </c>
      <c r="H4" s="862" t="s">
        <v>6656</v>
      </c>
      <c r="I4" s="646" t="s">
        <v>168</v>
      </c>
      <c r="J4" s="862" t="s">
        <v>6657</v>
      </c>
      <c r="K4" s="763" t="s">
        <v>6536</v>
      </c>
      <c r="L4" s="809">
        <f>250000*4</f>
        <v>1000000</v>
      </c>
      <c r="M4" s="724"/>
    </row>
    <row r="5" spans="1:13" ht="17.100000000000001" customHeight="1">
      <c r="A5" s="1095"/>
      <c r="B5" s="896" t="s">
        <v>1136</v>
      </c>
      <c r="C5" s="896"/>
      <c r="D5" s="896"/>
      <c r="E5" s="896"/>
      <c r="F5" s="896"/>
      <c r="G5" s="896"/>
      <c r="H5" s="896"/>
      <c r="I5" s="896"/>
      <c r="J5" s="896"/>
      <c r="K5" s="896"/>
      <c r="L5" s="793">
        <f>SUM(L4:L4)</f>
        <v>1000000</v>
      </c>
      <c r="M5" s="724"/>
    </row>
    <row r="6" spans="1:13" ht="18" customHeight="1">
      <c r="A6" s="1093" t="s">
        <v>21</v>
      </c>
      <c r="B6" s="399">
        <v>46219</v>
      </c>
      <c r="C6" s="4" t="s">
        <v>21</v>
      </c>
      <c r="D6" s="4" t="s">
        <v>14</v>
      </c>
      <c r="E6" s="859" t="s">
        <v>1893</v>
      </c>
      <c r="F6" s="859" t="s">
        <v>4939</v>
      </c>
      <c r="G6" s="16" t="s">
        <v>34</v>
      </c>
      <c r="H6" s="864" t="s">
        <v>1279</v>
      </c>
      <c r="I6" s="859" t="s">
        <v>202</v>
      </c>
      <c r="J6" s="890" t="s">
        <v>1113</v>
      </c>
      <c r="K6" s="125" t="s">
        <v>15</v>
      </c>
      <c r="L6" s="893">
        <v>750000</v>
      </c>
      <c r="M6" s="1183" t="s">
        <v>6655</v>
      </c>
    </row>
    <row r="7" spans="1:13" ht="18" customHeight="1">
      <c r="A7" s="1094"/>
      <c r="B7" s="399">
        <v>46219</v>
      </c>
      <c r="C7" s="4" t="s">
        <v>21</v>
      </c>
      <c r="D7" s="4" t="s">
        <v>14</v>
      </c>
      <c r="E7" s="859" t="s">
        <v>1893</v>
      </c>
      <c r="F7" s="859" t="s">
        <v>4939</v>
      </c>
      <c r="G7" s="16" t="s">
        <v>482</v>
      </c>
      <c r="H7" s="864" t="s">
        <v>6553</v>
      </c>
      <c r="I7" s="859" t="s">
        <v>202</v>
      </c>
      <c r="J7" s="892"/>
      <c r="K7" s="125" t="s">
        <v>15</v>
      </c>
      <c r="L7" s="895"/>
      <c r="M7" s="1184"/>
    </row>
    <row r="8" spans="1:13" ht="17.100000000000001" customHeight="1">
      <c r="A8" s="1094"/>
      <c r="B8" s="1172">
        <v>46224</v>
      </c>
      <c r="C8" s="1173" t="s">
        <v>21</v>
      </c>
      <c r="D8" s="1173" t="s">
        <v>14</v>
      </c>
      <c r="E8" s="1174" t="s">
        <v>6484</v>
      </c>
      <c r="F8" s="1175" t="s">
        <v>5796</v>
      </c>
      <c r="G8" s="1176" t="s">
        <v>4091</v>
      </c>
      <c r="H8" s="1174" t="s">
        <v>6652</v>
      </c>
      <c r="I8" s="1175" t="s">
        <v>5552</v>
      </c>
      <c r="J8" s="1175" t="s">
        <v>686</v>
      </c>
      <c r="K8" s="1177" t="s">
        <v>15</v>
      </c>
      <c r="L8" s="811">
        <v>250000</v>
      </c>
      <c r="M8" s="724" t="s">
        <v>6659</v>
      </c>
    </row>
    <row r="9" spans="1:13" ht="27">
      <c r="A9" s="1094"/>
      <c r="B9" s="1172">
        <v>46224</v>
      </c>
      <c r="C9" s="1173" t="s">
        <v>138</v>
      </c>
      <c r="D9" s="1173" t="s">
        <v>17</v>
      </c>
      <c r="E9" s="1174" t="s">
        <v>6095</v>
      </c>
      <c r="F9" s="1175" t="s">
        <v>2713</v>
      </c>
      <c r="G9" s="1176" t="s">
        <v>23</v>
      </c>
      <c r="H9" s="1174" t="s">
        <v>6482</v>
      </c>
      <c r="I9" s="1175" t="s">
        <v>168</v>
      </c>
      <c r="J9" s="1174" t="s">
        <v>41</v>
      </c>
      <c r="K9" s="1177" t="s">
        <v>15</v>
      </c>
      <c r="L9" s="846">
        <v>250000</v>
      </c>
      <c r="M9" s="724" t="s">
        <v>6660</v>
      </c>
    </row>
    <row r="10" spans="1:13" ht="17.100000000000001" customHeight="1">
      <c r="A10" s="1094"/>
      <c r="B10" s="399">
        <v>46224</v>
      </c>
      <c r="C10" s="4" t="s">
        <v>21</v>
      </c>
      <c r="D10" s="4" t="s">
        <v>14</v>
      </c>
      <c r="E10" s="859" t="s">
        <v>1893</v>
      </c>
      <c r="F10" s="859" t="s">
        <v>4939</v>
      </c>
      <c r="G10" s="16" t="s">
        <v>34</v>
      </c>
      <c r="H10" s="864" t="s">
        <v>1279</v>
      </c>
      <c r="I10" s="859"/>
      <c r="J10" s="859" t="s">
        <v>641</v>
      </c>
      <c r="K10" s="125" t="s">
        <v>15</v>
      </c>
      <c r="L10" s="846">
        <v>500000</v>
      </c>
      <c r="M10" s="724" t="s">
        <v>6661</v>
      </c>
    </row>
    <row r="11" spans="1:13" ht="27">
      <c r="A11" s="1094"/>
      <c r="B11" s="399">
        <v>46225</v>
      </c>
      <c r="C11" s="4" t="s">
        <v>138</v>
      </c>
      <c r="D11" s="4" t="s">
        <v>17</v>
      </c>
      <c r="E11" s="864" t="s">
        <v>6095</v>
      </c>
      <c r="F11" s="859" t="s">
        <v>2713</v>
      </c>
      <c r="G11" s="16" t="s">
        <v>23</v>
      </c>
      <c r="H11" s="864" t="s">
        <v>6633</v>
      </c>
      <c r="I11" s="454" t="s">
        <v>168</v>
      </c>
      <c r="J11" s="1185" t="s">
        <v>41</v>
      </c>
      <c r="K11" s="136" t="s">
        <v>15</v>
      </c>
      <c r="L11" s="893">
        <v>250000</v>
      </c>
      <c r="M11" s="724" t="s">
        <v>6662</v>
      </c>
    </row>
    <row r="12" spans="1:13" ht="17.100000000000001" customHeight="1">
      <c r="A12" s="1094"/>
      <c r="B12" s="399">
        <v>46225</v>
      </c>
      <c r="C12" s="4" t="s">
        <v>21</v>
      </c>
      <c r="D12" s="4" t="s">
        <v>14</v>
      </c>
      <c r="E12" s="859" t="s">
        <v>149</v>
      </c>
      <c r="F12" s="859" t="s">
        <v>5488</v>
      </c>
      <c r="G12" s="16" t="s">
        <v>5428</v>
      </c>
      <c r="H12" s="864" t="s">
        <v>6592</v>
      </c>
      <c r="I12" s="454" t="s">
        <v>168</v>
      </c>
      <c r="J12" s="1186"/>
      <c r="K12" s="136" t="s">
        <v>15</v>
      </c>
      <c r="L12" s="895"/>
      <c r="M12" s="724" t="s">
        <v>6663</v>
      </c>
    </row>
    <row r="13" spans="1:13" ht="15.75" customHeight="1">
      <c r="A13" s="1094"/>
      <c r="B13" s="399">
        <v>46225</v>
      </c>
      <c r="C13" s="3" t="s">
        <v>21</v>
      </c>
      <c r="D13" s="3" t="s">
        <v>14</v>
      </c>
      <c r="E13" s="454" t="s">
        <v>107</v>
      </c>
      <c r="F13" s="454" t="s">
        <v>3386</v>
      </c>
      <c r="G13" s="459" t="s">
        <v>23</v>
      </c>
      <c r="H13" s="864" t="s">
        <v>6665</v>
      </c>
      <c r="I13" s="454" t="s">
        <v>1948</v>
      </c>
      <c r="J13" s="453" t="s">
        <v>3075</v>
      </c>
      <c r="K13" s="136" t="s">
        <v>15</v>
      </c>
      <c r="L13" s="848">
        <v>300000</v>
      </c>
      <c r="M13" s="724" t="s">
        <v>6664</v>
      </c>
    </row>
    <row r="14" spans="1:13" ht="24">
      <c r="A14" s="1094"/>
      <c r="B14" s="399">
        <v>46225</v>
      </c>
      <c r="C14" s="1173" t="s">
        <v>138</v>
      </c>
      <c r="D14" s="1173" t="s">
        <v>14</v>
      </c>
      <c r="E14" s="1175" t="s">
        <v>107</v>
      </c>
      <c r="F14" s="1175" t="s">
        <v>6537</v>
      </c>
      <c r="G14" s="1176" t="s">
        <v>6538</v>
      </c>
      <c r="H14" s="1174" t="s">
        <v>6624</v>
      </c>
      <c r="I14" s="1175" t="s">
        <v>126</v>
      </c>
      <c r="J14" s="1175" t="s">
        <v>2828</v>
      </c>
      <c r="K14" s="136" t="s">
        <v>15</v>
      </c>
      <c r="L14" s="860">
        <v>250000</v>
      </c>
      <c r="M14" s="724" t="s">
        <v>6658</v>
      </c>
    </row>
    <row r="15" spans="1:13" ht="17.100000000000001" customHeight="1">
      <c r="A15" s="1094"/>
      <c r="B15" s="399">
        <v>46226</v>
      </c>
      <c r="C15" s="4" t="s">
        <v>21</v>
      </c>
      <c r="D15" s="4" t="s">
        <v>14</v>
      </c>
      <c r="E15" s="859" t="s">
        <v>149</v>
      </c>
      <c r="F15" s="859" t="s">
        <v>5488</v>
      </c>
      <c r="G15" s="16" t="s">
        <v>5428</v>
      </c>
      <c r="H15" s="864" t="s">
        <v>6653</v>
      </c>
      <c r="I15" s="454" t="s">
        <v>168</v>
      </c>
      <c r="J15" s="453" t="s">
        <v>41</v>
      </c>
      <c r="K15" s="136" t="s">
        <v>15</v>
      </c>
      <c r="L15" s="848">
        <v>250000</v>
      </c>
      <c r="M15" s="724" t="s">
        <v>6666</v>
      </c>
    </row>
    <row r="16" spans="1:13" ht="17.100000000000001" customHeight="1">
      <c r="A16" s="1094"/>
      <c r="B16" s="399">
        <v>46226</v>
      </c>
      <c r="C16" s="4" t="s">
        <v>21</v>
      </c>
      <c r="D16" s="4" t="s">
        <v>14</v>
      </c>
      <c r="E16" s="859" t="s">
        <v>1787</v>
      </c>
      <c r="F16" s="859" t="s">
        <v>2978</v>
      </c>
      <c r="G16" s="16" t="s">
        <v>23</v>
      </c>
      <c r="H16" s="864" t="s">
        <v>146</v>
      </c>
      <c r="I16" s="859" t="s">
        <v>90</v>
      </c>
      <c r="J16" s="890" t="s">
        <v>686</v>
      </c>
      <c r="K16" s="125" t="s">
        <v>15</v>
      </c>
      <c r="L16" s="893">
        <v>250000</v>
      </c>
      <c r="M16" s="724" t="s">
        <v>6667</v>
      </c>
    </row>
    <row r="17" spans="1:13" ht="17.100000000000001" customHeight="1">
      <c r="A17" s="1094"/>
      <c r="B17" s="399">
        <v>46226</v>
      </c>
      <c r="C17" s="3" t="s">
        <v>21</v>
      </c>
      <c r="D17" s="3" t="s">
        <v>14</v>
      </c>
      <c r="E17" s="453" t="s">
        <v>1787</v>
      </c>
      <c r="F17" s="454" t="s">
        <v>2978</v>
      </c>
      <c r="G17" s="459" t="s">
        <v>205</v>
      </c>
      <c r="H17" s="864" t="s">
        <v>146</v>
      </c>
      <c r="I17" s="859" t="s">
        <v>90</v>
      </c>
      <c r="J17" s="892"/>
      <c r="K17" s="125" t="s">
        <v>15</v>
      </c>
      <c r="L17" s="895"/>
      <c r="M17" s="724" t="s">
        <v>6667</v>
      </c>
    </row>
    <row r="18" spans="1:13" ht="17.100000000000001" customHeight="1">
      <c r="A18" s="1094"/>
      <c r="B18" s="1172">
        <v>46227</v>
      </c>
      <c r="C18" s="1173" t="s">
        <v>21</v>
      </c>
      <c r="D18" s="1173" t="s">
        <v>14</v>
      </c>
      <c r="E18" s="1175" t="s">
        <v>1787</v>
      </c>
      <c r="F18" s="1175" t="s">
        <v>2978</v>
      </c>
      <c r="G18" s="1176" t="s">
        <v>23</v>
      </c>
      <c r="H18" s="1174" t="s">
        <v>6594</v>
      </c>
      <c r="I18" s="1175" t="s">
        <v>90</v>
      </c>
      <c r="J18" s="1187" t="s">
        <v>686</v>
      </c>
      <c r="K18" s="1177" t="s">
        <v>15</v>
      </c>
      <c r="L18" s="893">
        <v>250000</v>
      </c>
      <c r="M18" s="724" t="s">
        <v>6668</v>
      </c>
    </row>
    <row r="19" spans="1:13" ht="17.100000000000001" customHeight="1">
      <c r="A19" s="1094"/>
      <c r="B19" s="1172">
        <v>46227</v>
      </c>
      <c r="C19" s="1173" t="s">
        <v>21</v>
      </c>
      <c r="D19" s="1173" t="s">
        <v>14</v>
      </c>
      <c r="E19" s="1174" t="s">
        <v>1787</v>
      </c>
      <c r="F19" s="1175" t="s">
        <v>2978</v>
      </c>
      <c r="G19" s="1176" t="s">
        <v>205</v>
      </c>
      <c r="H19" s="1174" t="s">
        <v>6594</v>
      </c>
      <c r="I19" s="1175" t="s">
        <v>90</v>
      </c>
      <c r="J19" s="1188"/>
      <c r="K19" s="1177" t="s">
        <v>15</v>
      </c>
      <c r="L19" s="895"/>
      <c r="M19" s="724" t="s">
        <v>6668</v>
      </c>
    </row>
    <row r="20" spans="1:13" ht="17.100000000000001" customHeight="1">
      <c r="A20" s="1095"/>
      <c r="B20" s="896" t="s">
        <v>4879</v>
      </c>
      <c r="C20" s="896"/>
      <c r="D20" s="896"/>
      <c r="E20" s="896"/>
      <c r="F20" s="896"/>
      <c r="G20" s="896"/>
      <c r="H20" s="896"/>
      <c r="I20" s="896"/>
      <c r="J20" s="896"/>
      <c r="K20" s="896"/>
      <c r="L20" s="793">
        <f>SUM(L6:L19)</f>
        <v>3300000</v>
      </c>
      <c r="M20" s="724"/>
    </row>
    <row r="21" spans="1:13" ht="25.5" customHeight="1" thickBot="1">
      <c r="A21" s="1091" t="s">
        <v>62</v>
      </c>
      <c r="B21" s="1092"/>
      <c r="C21" s="1092"/>
      <c r="D21" s="1092"/>
      <c r="E21" s="1092"/>
      <c r="F21" s="1092"/>
      <c r="G21" s="1092"/>
      <c r="H21" s="1092"/>
      <c r="I21" s="1092"/>
      <c r="J21" s="1092"/>
      <c r="K21" s="1092"/>
      <c r="L21" s="725">
        <f>L5+L20</f>
        <v>4300000</v>
      </c>
      <c r="M21" s="726"/>
    </row>
    <row r="22" spans="1:13" ht="26.25" customHeight="1"/>
    <row r="23" spans="1:13" ht="26.25" hidden="1" customHeight="1"/>
    <row r="24" spans="1:13" ht="25.5" hidden="1" customHeight="1">
      <c r="B24" s="715" t="s">
        <v>1144</v>
      </c>
      <c r="C24" s="716"/>
      <c r="D24" s="716"/>
      <c r="E24" s="716"/>
      <c r="F24" s="716"/>
      <c r="G24" s="716"/>
      <c r="H24" s="716"/>
      <c r="I24" s="716"/>
    </row>
    <row r="25" spans="1:13" ht="25.5" hidden="1" customHeight="1">
      <c r="B25" s="717" t="s">
        <v>1140</v>
      </c>
      <c r="C25" s="715">
        <v>45282</v>
      </c>
      <c r="D25" s="716" t="s">
        <v>1151</v>
      </c>
      <c r="E25" s="716"/>
      <c r="F25" s="716"/>
      <c r="G25" s="716"/>
      <c r="I25" s="716"/>
    </row>
    <row r="26" spans="1:13" ht="25.5" hidden="1" customHeight="1">
      <c r="B26" s="717" t="s">
        <v>1141</v>
      </c>
      <c r="C26" s="715">
        <v>45282</v>
      </c>
      <c r="D26" s="716" t="s">
        <v>1143</v>
      </c>
      <c r="E26" s="716"/>
      <c r="F26" s="716"/>
      <c r="G26" s="716"/>
      <c r="H26" s="716"/>
      <c r="I26" s="716"/>
    </row>
    <row r="27" spans="1:13" ht="25.5" hidden="1" customHeight="1">
      <c r="B27" s="717" t="s">
        <v>1145</v>
      </c>
      <c r="C27" s="718" t="s">
        <v>1142</v>
      </c>
      <c r="D27" s="716" t="s">
        <v>1152</v>
      </c>
      <c r="E27" s="716"/>
      <c r="F27" s="716"/>
      <c r="G27" s="716"/>
      <c r="H27" s="716"/>
      <c r="I27" s="716"/>
    </row>
    <row r="28" spans="1:13" ht="20.100000000000001" hidden="1" customHeight="1">
      <c r="B28" s="716"/>
      <c r="C28" s="716" t="s">
        <v>1146</v>
      </c>
      <c r="D28" s="716"/>
      <c r="E28" s="716"/>
      <c r="F28" s="716"/>
      <c r="G28" s="716"/>
      <c r="H28" s="716"/>
      <c r="I28" s="716"/>
    </row>
    <row r="29" spans="1:13" ht="16.5" hidden="1" customHeight="1"/>
    <row r="30" spans="1:13" ht="20.100000000000001" hidden="1" customHeight="1">
      <c r="J30" s="716"/>
    </row>
    <row r="33" spans="1:16" ht="28.5" customHeight="1">
      <c r="A33" s="691" t="s">
        <v>0</v>
      </c>
      <c r="B33" s="692" t="s">
        <v>1</v>
      </c>
      <c r="C33" s="691" t="s">
        <v>2</v>
      </c>
      <c r="D33" s="691" t="s">
        <v>3</v>
      </c>
      <c r="E33" s="691" t="s">
        <v>4</v>
      </c>
      <c r="F33" s="691" t="s">
        <v>5</v>
      </c>
      <c r="G33" s="691" t="s">
        <v>6</v>
      </c>
      <c r="H33" s="693" t="s">
        <v>7</v>
      </c>
      <c r="I33" s="691" t="s">
        <v>8</v>
      </c>
      <c r="J33" s="691" t="s">
        <v>9</v>
      </c>
      <c r="K33" s="694" t="s">
        <v>10</v>
      </c>
      <c r="L33" s="691" t="s">
        <v>12</v>
      </c>
      <c r="M33" s="691" t="s">
        <v>63</v>
      </c>
    </row>
    <row r="34" spans="1:16" s="17" customFormat="1" ht="33" customHeight="1">
      <c r="A34" s="868" t="s">
        <v>5630</v>
      </c>
      <c r="B34" s="399">
        <v>46223</v>
      </c>
      <c r="C34" s="4" t="s">
        <v>21</v>
      </c>
      <c r="D34" s="4" t="s">
        <v>14</v>
      </c>
      <c r="E34" s="859" t="s">
        <v>107</v>
      </c>
      <c r="F34" s="859" t="s">
        <v>3386</v>
      </c>
      <c r="G34" s="16" t="s">
        <v>23</v>
      </c>
      <c r="H34" s="864" t="s">
        <v>6615</v>
      </c>
      <c r="I34" s="864" t="s">
        <v>6616</v>
      </c>
      <c r="J34" s="859"/>
      <c r="K34" s="125" t="s">
        <v>15</v>
      </c>
      <c r="L34" s="8">
        <v>4</v>
      </c>
      <c r="M34" s="8"/>
      <c r="N34" s="859"/>
      <c r="O34" s="431"/>
      <c r="P34" s="859" t="s">
        <v>6293</v>
      </c>
    </row>
    <row r="35" spans="1:16" s="17" customFormat="1" ht="33" customHeight="1">
      <c r="A35" s="604"/>
      <c r="B35" s="399">
        <v>46223</v>
      </c>
      <c r="C35" s="3" t="s">
        <v>21</v>
      </c>
      <c r="D35" s="3" t="s">
        <v>17</v>
      </c>
      <c r="E35" s="453" t="s">
        <v>6571</v>
      </c>
      <c r="F35" s="454">
        <v>8262</v>
      </c>
      <c r="G35" s="459" t="s">
        <v>482</v>
      </c>
      <c r="H35" s="864" t="s">
        <v>6650</v>
      </c>
      <c r="I35" s="454" t="s">
        <v>6558</v>
      </c>
      <c r="J35" s="453"/>
      <c r="K35" s="136" t="s">
        <v>15</v>
      </c>
      <c r="L35" s="455">
        <v>2</v>
      </c>
      <c r="M35" s="455"/>
      <c r="N35" s="859"/>
      <c r="O35" s="429" t="s">
        <v>6593</v>
      </c>
      <c r="P35" s="859"/>
    </row>
    <row r="36" spans="1:16" s="17" customFormat="1" ht="40.5">
      <c r="A36" s="604"/>
      <c r="B36" s="399">
        <v>46224</v>
      </c>
      <c r="C36" s="3" t="s">
        <v>21</v>
      </c>
      <c r="D36" s="3" t="s">
        <v>17</v>
      </c>
      <c r="E36" s="453" t="s">
        <v>6527</v>
      </c>
      <c r="F36" s="454" t="s">
        <v>2653</v>
      </c>
      <c r="G36" s="459" t="s">
        <v>102</v>
      </c>
      <c r="H36" s="864" t="s">
        <v>6590</v>
      </c>
      <c r="I36" s="454" t="s">
        <v>6558</v>
      </c>
      <c r="J36" s="453"/>
      <c r="K36" s="136" t="s">
        <v>15</v>
      </c>
      <c r="L36" s="455">
        <v>2</v>
      </c>
      <c r="M36" s="455"/>
      <c r="N36" s="859"/>
      <c r="O36" s="431"/>
      <c r="P36" s="859"/>
    </row>
    <row r="37" spans="1:16" s="17" customFormat="1" ht="33" customHeight="1">
      <c r="A37" s="604"/>
      <c r="B37" s="1172">
        <v>46224</v>
      </c>
      <c r="C37" s="1173" t="s">
        <v>21</v>
      </c>
      <c r="D37" s="1173" t="s">
        <v>14</v>
      </c>
      <c r="E37" s="1174" t="s">
        <v>6484</v>
      </c>
      <c r="F37" s="1175" t="s">
        <v>5796</v>
      </c>
      <c r="G37" s="1176" t="s">
        <v>4091</v>
      </c>
      <c r="H37" s="1174" t="s">
        <v>6652</v>
      </c>
      <c r="I37" s="1175" t="s">
        <v>5552</v>
      </c>
      <c r="J37" s="1175" t="s">
        <v>686</v>
      </c>
      <c r="K37" s="1177" t="s">
        <v>15</v>
      </c>
      <c r="L37" s="1178">
        <v>3</v>
      </c>
      <c r="M37" s="1178"/>
      <c r="N37" s="1175"/>
      <c r="O37" s="1179"/>
      <c r="P37" s="859"/>
    </row>
    <row r="38" spans="1:16" s="17" customFormat="1" ht="33" customHeight="1">
      <c r="A38" s="604"/>
      <c r="B38" s="1172">
        <v>46224</v>
      </c>
      <c r="C38" s="1173" t="s">
        <v>138</v>
      </c>
      <c r="D38" s="1173" t="s">
        <v>17</v>
      </c>
      <c r="E38" s="1174" t="s">
        <v>6095</v>
      </c>
      <c r="F38" s="1175" t="s">
        <v>2713</v>
      </c>
      <c r="G38" s="1176" t="s">
        <v>23</v>
      </c>
      <c r="H38" s="1174" t="s">
        <v>6482</v>
      </c>
      <c r="I38" s="1175" t="s">
        <v>168</v>
      </c>
      <c r="J38" s="1174" t="s">
        <v>41</v>
      </c>
      <c r="K38" s="1177" t="s">
        <v>15</v>
      </c>
      <c r="L38" s="1178">
        <v>2</v>
      </c>
      <c r="M38" s="1178"/>
      <c r="N38" s="1175"/>
      <c r="O38" s="1180"/>
      <c r="P38" s="859"/>
    </row>
    <row r="39" spans="1:16" s="17" customFormat="1" ht="33" customHeight="1">
      <c r="A39" s="604"/>
      <c r="B39" s="399">
        <v>46224</v>
      </c>
      <c r="C39" s="4" t="s">
        <v>21</v>
      </c>
      <c r="D39" s="4" t="s">
        <v>14</v>
      </c>
      <c r="E39" s="859" t="s">
        <v>1893</v>
      </c>
      <c r="F39" s="859" t="s">
        <v>4939</v>
      </c>
      <c r="G39" s="16" t="s">
        <v>34</v>
      </c>
      <c r="H39" s="864" t="s">
        <v>1279</v>
      </c>
      <c r="I39" s="859"/>
      <c r="J39" s="859" t="s">
        <v>641</v>
      </c>
      <c r="K39" s="125" t="s">
        <v>15</v>
      </c>
      <c r="L39" s="8">
        <v>2</v>
      </c>
      <c r="M39" s="8"/>
      <c r="N39" s="859"/>
      <c r="O39" s="865"/>
      <c r="P39" s="859"/>
    </row>
    <row r="40" spans="1:16" s="17" customFormat="1" ht="33" customHeight="1">
      <c r="A40" s="604"/>
      <c r="B40" s="399">
        <v>46225</v>
      </c>
      <c r="C40" s="4" t="s">
        <v>138</v>
      </c>
      <c r="D40" s="4" t="s">
        <v>17</v>
      </c>
      <c r="E40" s="864" t="s">
        <v>6095</v>
      </c>
      <c r="F40" s="859" t="s">
        <v>2713</v>
      </c>
      <c r="G40" s="16" t="s">
        <v>23</v>
      </c>
      <c r="H40" s="864" t="s">
        <v>6633</v>
      </c>
      <c r="I40" s="454" t="s">
        <v>168</v>
      </c>
      <c r="J40" s="453" t="s">
        <v>41</v>
      </c>
      <c r="K40" s="136" t="s">
        <v>15</v>
      </c>
      <c r="L40" s="455">
        <v>2</v>
      </c>
      <c r="M40" s="455"/>
      <c r="N40" s="859"/>
      <c r="O40" s="865"/>
      <c r="P40" s="859" t="s">
        <v>6293</v>
      </c>
    </row>
    <row r="41" spans="1:16" s="17" customFormat="1" ht="33" customHeight="1">
      <c r="A41" s="604"/>
      <c r="B41" s="399">
        <v>46225</v>
      </c>
      <c r="C41" s="4" t="s">
        <v>21</v>
      </c>
      <c r="D41" s="4" t="s">
        <v>14</v>
      </c>
      <c r="E41" s="859" t="s">
        <v>149</v>
      </c>
      <c r="F41" s="859" t="s">
        <v>5488</v>
      </c>
      <c r="G41" s="16" t="s">
        <v>5428</v>
      </c>
      <c r="H41" s="864" t="s">
        <v>6592</v>
      </c>
      <c r="I41" s="454" t="s">
        <v>168</v>
      </c>
      <c r="J41" s="453" t="s">
        <v>41</v>
      </c>
      <c r="K41" s="136" t="s">
        <v>15</v>
      </c>
      <c r="L41" s="455">
        <v>2</v>
      </c>
      <c r="M41" s="455"/>
      <c r="N41" s="859"/>
      <c r="O41" s="429"/>
      <c r="P41" s="859"/>
    </row>
    <row r="42" spans="1:16" s="17" customFormat="1" ht="33" customHeight="1">
      <c r="A42" s="604"/>
      <c r="B42" s="399">
        <v>46225</v>
      </c>
      <c r="C42" s="3" t="s">
        <v>21</v>
      </c>
      <c r="D42" s="3" t="s">
        <v>14</v>
      </c>
      <c r="E42" s="453" t="s">
        <v>1787</v>
      </c>
      <c r="F42" s="454" t="s">
        <v>2978</v>
      </c>
      <c r="G42" s="459" t="s">
        <v>205</v>
      </c>
      <c r="H42" s="864" t="s">
        <v>6631</v>
      </c>
      <c r="I42" s="454"/>
      <c r="J42" s="453" t="s">
        <v>5284</v>
      </c>
      <c r="K42" s="136" t="s">
        <v>15</v>
      </c>
      <c r="L42" s="8">
        <v>3</v>
      </c>
      <c r="M42" s="8"/>
      <c r="N42" s="859"/>
      <c r="O42" s="431" t="s">
        <v>6651</v>
      </c>
      <c r="P42" s="859"/>
    </row>
    <row r="43" spans="1:16" s="17" customFormat="1" ht="33" customHeight="1">
      <c r="A43" s="604"/>
      <c r="B43" s="399">
        <v>46225</v>
      </c>
      <c r="C43" s="3" t="s">
        <v>21</v>
      </c>
      <c r="D43" s="3" t="s">
        <v>17</v>
      </c>
      <c r="E43" s="454" t="s">
        <v>78</v>
      </c>
      <c r="F43" s="454">
        <v>7060</v>
      </c>
      <c r="G43" s="459" t="s">
        <v>36</v>
      </c>
      <c r="H43" s="864" t="s">
        <v>6600</v>
      </c>
      <c r="I43" s="454" t="s">
        <v>6375</v>
      </c>
      <c r="J43" s="453"/>
      <c r="K43" s="136" t="s">
        <v>15</v>
      </c>
      <c r="L43" s="8">
        <v>2</v>
      </c>
      <c r="M43" s="8"/>
      <c r="N43" s="859"/>
      <c r="O43" s="431"/>
      <c r="P43" s="859"/>
    </row>
    <row r="44" spans="1:16" s="17" customFormat="1" ht="33" customHeight="1">
      <c r="A44" s="604"/>
      <c r="B44" s="399">
        <v>46225</v>
      </c>
      <c r="C44" s="3" t="s">
        <v>21</v>
      </c>
      <c r="D44" s="3" t="s">
        <v>14</v>
      </c>
      <c r="E44" s="454" t="s">
        <v>107</v>
      </c>
      <c r="F44" s="454" t="s">
        <v>3386</v>
      </c>
      <c r="G44" s="459" t="s">
        <v>23</v>
      </c>
      <c r="H44" s="864" t="s">
        <v>6647</v>
      </c>
      <c r="I44" s="454" t="s">
        <v>1948</v>
      </c>
      <c r="J44" s="453" t="s">
        <v>3075</v>
      </c>
      <c r="K44" s="136" t="s">
        <v>15</v>
      </c>
      <c r="L44" s="8">
        <v>2</v>
      </c>
      <c r="M44" s="8"/>
      <c r="N44" s="859"/>
      <c r="O44" s="431"/>
      <c r="P44" s="859"/>
    </row>
    <row r="45" spans="1:16" s="17" customFormat="1" ht="33" customHeight="1">
      <c r="A45" s="604"/>
      <c r="B45" s="399">
        <v>46225</v>
      </c>
      <c r="C45" s="1173" t="s">
        <v>138</v>
      </c>
      <c r="D45" s="1173" t="s">
        <v>14</v>
      </c>
      <c r="E45" s="1175" t="s">
        <v>107</v>
      </c>
      <c r="F45" s="1175" t="s">
        <v>6537</v>
      </c>
      <c r="G45" s="1176" t="s">
        <v>6538</v>
      </c>
      <c r="H45" s="1174" t="s">
        <v>6624</v>
      </c>
      <c r="I45" s="1175" t="s">
        <v>126</v>
      </c>
      <c r="J45" s="1175" t="s">
        <v>2828</v>
      </c>
      <c r="K45" s="1177" t="s">
        <v>15</v>
      </c>
      <c r="L45" s="1178">
        <v>2</v>
      </c>
      <c r="M45" s="1178"/>
      <c r="N45" s="859"/>
      <c r="O45" s="431"/>
      <c r="P45" s="859"/>
    </row>
    <row r="46" spans="1:16" s="17" customFormat="1" ht="33" customHeight="1">
      <c r="A46" s="604"/>
      <c r="B46" s="399">
        <v>46226</v>
      </c>
      <c r="C46" s="4" t="s">
        <v>21</v>
      </c>
      <c r="D46" s="4" t="s">
        <v>14</v>
      </c>
      <c r="E46" s="859" t="s">
        <v>149</v>
      </c>
      <c r="F46" s="859" t="s">
        <v>5488</v>
      </c>
      <c r="G46" s="16" t="s">
        <v>5428</v>
      </c>
      <c r="H46" s="864" t="s">
        <v>6653</v>
      </c>
      <c r="I46" s="454" t="s">
        <v>168</v>
      </c>
      <c r="J46" s="453" t="s">
        <v>41</v>
      </c>
      <c r="K46" s="136" t="s">
        <v>15</v>
      </c>
      <c r="L46" s="455">
        <v>2</v>
      </c>
      <c r="M46" s="455"/>
      <c r="N46" s="859"/>
      <c r="O46" s="431"/>
      <c r="P46" s="859"/>
    </row>
    <row r="47" spans="1:16" s="17" customFormat="1" ht="33" customHeight="1">
      <c r="A47" s="604"/>
      <c r="B47" s="399">
        <v>46226</v>
      </c>
      <c r="C47" s="4" t="s">
        <v>21</v>
      </c>
      <c r="D47" s="4" t="s">
        <v>14</v>
      </c>
      <c r="E47" s="859" t="s">
        <v>1787</v>
      </c>
      <c r="F47" s="859" t="s">
        <v>2978</v>
      </c>
      <c r="G47" s="16" t="s">
        <v>23</v>
      </c>
      <c r="H47" s="864" t="s">
        <v>146</v>
      </c>
      <c r="I47" s="859" t="s">
        <v>90</v>
      </c>
      <c r="J47" s="859" t="s">
        <v>686</v>
      </c>
      <c r="K47" s="125" t="s">
        <v>15</v>
      </c>
      <c r="L47" s="8">
        <v>2</v>
      </c>
      <c r="M47" s="8"/>
      <c r="N47" s="859"/>
      <c r="O47" s="429" t="s">
        <v>6116</v>
      </c>
      <c r="P47" s="859"/>
    </row>
    <row r="48" spans="1:16" s="17" customFormat="1" ht="33" customHeight="1">
      <c r="A48" s="604"/>
      <c r="B48" s="399">
        <v>46226</v>
      </c>
      <c r="C48" s="3" t="s">
        <v>21</v>
      </c>
      <c r="D48" s="3" t="s">
        <v>14</v>
      </c>
      <c r="E48" s="453" t="s">
        <v>1787</v>
      </c>
      <c r="F48" s="454" t="s">
        <v>2978</v>
      </c>
      <c r="G48" s="459" t="s">
        <v>205</v>
      </c>
      <c r="H48" s="864" t="s">
        <v>146</v>
      </c>
      <c r="I48" s="859" t="s">
        <v>90</v>
      </c>
      <c r="J48" s="859" t="s">
        <v>686</v>
      </c>
      <c r="K48" s="125" t="s">
        <v>15</v>
      </c>
      <c r="L48" s="8">
        <v>2</v>
      </c>
      <c r="M48" s="8"/>
      <c r="N48" s="859"/>
      <c r="O48" s="429" t="s">
        <v>6116</v>
      </c>
      <c r="P48" s="859"/>
    </row>
    <row r="49" spans="1:16" s="17" customFormat="1" ht="33" customHeight="1">
      <c r="A49" s="604"/>
      <c r="B49" s="399">
        <v>46226</v>
      </c>
      <c r="C49" s="3" t="s">
        <v>21</v>
      </c>
      <c r="D49" s="3" t="s">
        <v>14</v>
      </c>
      <c r="E49" s="453" t="s">
        <v>107</v>
      </c>
      <c r="F49" s="454" t="s">
        <v>2959</v>
      </c>
      <c r="G49" s="459" t="s">
        <v>67</v>
      </c>
      <c r="H49" s="864" t="s">
        <v>1314</v>
      </c>
      <c r="I49" s="859" t="s">
        <v>202</v>
      </c>
      <c r="J49" s="859" t="s">
        <v>3403</v>
      </c>
      <c r="K49" s="125" t="s">
        <v>15</v>
      </c>
      <c r="L49" s="8">
        <v>2</v>
      </c>
      <c r="M49" s="8"/>
      <c r="N49" s="859"/>
      <c r="O49" s="429" t="s">
        <v>5924</v>
      </c>
      <c r="P49" s="859"/>
    </row>
    <row r="50" spans="1:16" s="17" customFormat="1" ht="33" customHeight="1">
      <c r="A50" s="604"/>
      <c r="B50" s="399">
        <v>46226</v>
      </c>
      <c r="C50" s="4" t="s">
        <v>21</v>
      </c>
      <c r="D50" s="4" t="s">
        <v>14</v>
      </c>
      <c r="E50" s="859" t="s">
        <v>6114</v>
      </c>
      <c r="F50" s="859" t="s">
        <v>2557</v>
      </c>
      <c r="G50" s="16" t="s">
        <v>148</v>
      </c>
      <c r="H50" s="864" t="s">
        <v>6511</v>
      </c>
      <c r="I50" s="859" t="s">
        <v>6585</v>
      </c>
      <c r="J50" s="859" t="s">
        <v>3270</v>
      </c>
      <c r="K50" s="125" t="s">
        <v>42</v>
      </c>
      <c r="L50" s="8">
        <v>3</v>
      </c>
      <c r="M50" s="8"/>
      <c r="N50" s="863"/>
      <c r="O50" s="430"/>
      <c r="P50" s="859"/>
    </row>
    <row r="51" spans="1:16" s="17" customFormat="1" ht="33" customHeight="1">
      <c r="A51" s="604"/>
      <c r="B51" s="399">
        <v>46227</v>
      </c>
      <c r="C51" s="3" t="s">
        <v>21</v>
      </c>
      <c r="D51" s="3" t="s">
        <v>14</v>
      </c>
      <c r="E51" s="453" t="s">
        <v>107</v>
      </c>
      <c r="F51" s="454" t="s">
        <v>2959</v>
      </c>
      <c r="G51" s="459" t="s">
        <v>67</v>
      </c>
      <c r="H51" s="864" t="s">
        <v>1314</v>
      </c>
      <c r="I51" s="859" t="s">
        <v>202</v>
      </c>
      <c r="J51" s="859" t="s">
        <v>3403</v>
      </c>
      <c r="K51" s="125" t="s">
        <v>15</v>
      </c>
      <c r="L51" s="8">
        <v>2</v>
      </c>
      <c r="M51" s="8"/>
      <c r="N51" s="859"/>
      <c r="O51" s="429" t="s">
        <v>5924</v>
      </c>
      <c r="P51" s="859"/>
    </row>
    <row r="52" spans="1:16" s="17" customFormat="1" ht="33" customHeight="1">
      <c r="A52" s="604"/>
      <c r="B52" s="1172">
        <v>46227</v>
      </c>
      <c r="C52" s="1173" t="s">
        <v>21</v>
      </c>
      <c r="D52" s="1173" t="s">
        <v>14</v>
      </c>
      <c r="E52" s="1175" t="s">
        <v>1787</v>
      </c>
      <c r="F52" s="1175" t="s">
        <v>2978</v>
      </c>
      <c r="G52" s="1176" t="s">
        <v>23</v>
      </c>
      <c r="H52" s="1174" t="s">
        <v>6594</v>
      </c>
      <c r="I52" s="1175" t="s">
        <v>90</v>
      </c>
      <c r="J52" s="1175" t="s">
        <v>686</v>
      </c>
      <c r="K52" s="1177" t="s">
        <v>15</v>
      </c>
      <c r="L52" s="1178">
        <v>2</v>
      </c>
      <c r="M52" s="1178"/>
      <c r="N52" s="1181"/>
      <c r="O52" s="876" t="s">
        <v>6595</v>
      </c>
      <c r="P52" s="859"/>
    </row>
    <row r="53" spans="1:16" s="17" customFormat="1" ht="33" customHeight="1">
      <c r="A53" s="604"/>
      <c r="B53" s="1172">
        <v>46227</v>
      </c>
      <c r="C53" s="1173" t="s">
        <v>21</v>
      </c>
      <c r="D53" s="1173" t="s">
        <v>14</v>
      </c>
      <c r="E53" s="1174" t="s">
        <v>1787</v>
      </c>
      <c r="F53" s="1175" t="s">
        <v>2978</v>
      </c>
      <c r="G53" s="1176" t="s">
        <v>205</v>
      </c>
      <c r="H53" s="1174" t="s">
        <v>6594</v>
      </c>
      <c r="I53" s="1175" t="s">
        <v>90</v>
      </c>
      <c r="J53" s="1175" t="s">
        <v>686</v>
      </c>
      <c r="K53" s="1177" t="s">
        <v>15</v>
      </c>
      <c r="L53" s="1178">
        <v>2</v>
      </c>
      <c r="M53" s="1178"/>
      <c r="N53" s="1181"/>
      <c r="O53" s="876" t="s">
        <v>6595</v>
      </c>
      <c r="P53" s="859"/>
    </row>
    <row r="54" spans="1:16" s="17" customFormat="1" ht="33" customHeight="1">
      <c r="A54" s="604"/>
      <c r="B54" s="399">
        <v>46227</v>
      </c>
      <c r="C54" s="4" t="s">
        <v>21</v>
      </c>
      <c r="D54" s="4" t="s">
        <v>14</v>
      </c>
      <c r="E54" s="859" t="s">
        <v>6114</v>
      </c>
      <c r="F54" s="859" t="s">
        <v>2557</v>
      </c>
      <c r="G54" s="16" t="s">
        <v>148</v>
      </c>
      <c r="H54" s="864" t="s">
        <v>6542</v>
      </c>
      <c r="I54" s="859" t="s">
        <v>6585</v>
      </c>
      <c r="J54" s="859" t="s">
        <v>3270</v>
      </c>
      <c r="K54" s="125" t="s">
        <v>42</v>
      </c>
      <c r="L54" s="8">
        <v>3</v>
      </c>
      <c r="M54" s="8"/>
      <c r="N54" s="863"/>
      <c r="O54" s="430"/>
      <c r="P54" s="859"/>
    </row>
    <row r="55" spans="1:16" s="17" customFormat="1" ht="33" customHeight="1">
      <c r="A55" s="1182"/>
      <c r="B55" s="369">
        <v>46228</v>
      </c>
      <c r="C55" s="3" t="s">
        <v>21</v>
      </c>
      <c r="D55" s="3" t="s">
        <v>14</v>
      </c>
      <c r="E55" s="453" t="s">
        <v>107</v>
      </c>
      <c r="F55" s="454" t="s">
        <v>2959</v>
      </c>
      <c r="G55" s="459" t="s">
        <v>67</v>
      </c>
      <c r="H55" s="864" t="s">
        <v>1314</v>
      </c>
      <c r="I55" s="859" t="s">
        <v>202</v>
      </c>
      <c r="J55" s="859" t="s">
        <v>3403</v>
      </c>
      <c r="K55" s="125" t="s">
        <v>15</v>
      </c>
      <c r="L55" s="8">
        <v>2</v>
      </c>
      <c r="M55" s="8"/>
      <c r="N55" s="859"/>
      <c r="O55" s="429" t="s">
        <v>5924</v>
      </c>
      <c r="P55" s="859"/>
    </row>
  </sheetData>
  <mergeCells count="26">
    <mergeCell ref="M6:M7"/>
    <mergeCell ref="J11:J12"/>
    <mergeCell ref="L11:L12"/>
    <mergeCell ref="L16:L17"/>
    <mergeCell ref="L18:L19"/>
    <mergeCell ref="J18:J19"/>
    <mergeCell ref="J16:J17"/>
    <mergeCell ref="B5:K5"/>
    <mergeCell ref="A21:K21"/>
    <mergeCell ref="B20:K20"/>
    <mergeCell ref="A6:A20"/>
    <mergeCell ref="A4:A5"/>
    <mergeCell ref="J6:J7"/>
    <mergeCell ref="L6:L7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10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12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12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12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12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12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12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12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12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12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12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12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12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12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12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1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903" t="s">
        <v>53</v>
      </c>
      <c r="B21" s="903"/>
      <c r="C21" s="903"/>
      <c r="D21" s="903"/>
      <c r="E21" s="903"/>
      <c r="F21" s="903"/>
      <c r="G21" s="903"/>
      <c r="H21" s="903"/>
      <c r="I21" s="903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05" t="s">
        <v>53</v>
      </c>
      <c r="B26" s="1106"/>
      <c r="C26" s="1106"/>
      <c r="D26" s="1106"/>
      <c r="E26" s="1106"/>
      <c r="F26" s="1106"/>
      <c r="G26" s="1106"/>
      <c r="H26" s="1106"/>
      <c r="I26" s="1107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12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12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12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12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12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05" t="s">
        <v>53</v>
      </c>
      <c r="B35" s="1106"/>
      <c r="C35" s="1106"/>
      <c r="D35" s="1106"/>
      <c r="E35" s="1106"/>
      <c r="F35" s="1106"/>
      <c r="G35" s="1106"/>
      <c r="H35" s="1106"/>
      <c r="I35" s="1107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10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12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1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05" t="s">
        <v>53</v>
      </c>
      <c r="B42" s="1106"/>
      <c r="C42" s="1106"/>
      <c r="D42" s="1106"/>
      <c r="E42" s="1106"/>
      <c r="F42" s="1106"/>
      <c r="G42" s="1106"/>
      <c r="H42" s="1106"/>
      <c r="I42" s="1107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05" t="s">
        <v>53</v>
      </c>
      <c r="B48" s="1106"/>
      <c r="C48" s="1106"/>
      <c r="D48" s="1106"/>
      <c r="E48" s="1106"/>
      <c r="F48" s="1106"/>
      <c r="G48" s="1106"/>
      <c r="H48" s="1106"/>
      <c r="I48" s="1107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12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1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05" t="s">
        <v>53</v>
      </c>
      <c r="B54" s="1106"/>
      <c r="C54" s="1106"/>
      <c r="D54" s="1106"/>
      <c r="E54" s="1106"/>
      <c r="F54" s="1106"/>
      <c r="G54" s="1106"/>
      <c r="H54" s="1106"/>
      <c r="I54" s="1107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10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12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12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120"/>
      <c r="B61" s="1125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120"/>
      <c r="B62" s="1126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120"/>
      <c r="B63" s="1127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05" t="s">
        <v>53</v>
      </c>
      <c r="B64" s="1106"/>
      <c r="C64" s="1106"/>
      <c r="D64" s="1106"/>
      <c r="E64" s="1106"/>
      <c r="F64" s="1106"/>
      <c r="G64" s="1106"/>
      <c r="H64" s="1106"/>
      <c r="I64" s="1107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31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32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05" t="s">
        <v>53</v>
      </c>
      <c r="B70" s="1106"/>
      <c r="C70" s="1106"/>
      <c r="D70" s="1106"/>
      <c r="E70" s="1106"/>
      <c r="F70" s="1106"/>
      <c r="G70" s="1106"/>
      <c r="H70" s="1106"/>
      <c r="I70" s="1107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10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12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903" t="s">
        <v>53</v>
      </c>
      <c r="B78" s="903"/>
      <c r="C78" s="903"/>
      <c r="D78" s="903"/>
      <c r="E78" s="903"/>
      <c r="F78" s="903"/>
      <c r="G78" s="903"/>
      <c r="H78" s="903"/>
      <c r="I78" s="903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12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12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12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12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05" t="s">
        <v>53</v>
      </c>
      <c r="B86" s="1106"/>
      <c r="C86" s="1106"/>
      <c r="D86" s="1106"/>
      <c r="E86" s="1106"/>
      <c r="F86" s="1106"/>
      <c r="G86" s="1106"/>
      <c r="H86" s="1106"/>
      <c r="I86" s="1107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05" t="s">
        <v>53</v>
      </c>
      <c r="B92" s="1106"/>
      <c r="C92" s="1106"/>
      <c r="D92" s="1106"/>
      <c r="E92" s="1106"/>
      <c r="F92" s="1106"/>
      <c r="G92" s="1106"/>
      <c r="H92" s="1106"/>
      <c r="I92" s="1107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12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12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12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12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05" t="s">
        <v>53</v>
      </c>
      <c r="B101" s="1106"/>
      <c r="C101" s="1106"/>
      <c r="D101" s="1106"/>
      <c r="E101" s="1106"/>
      <c r="F101" s="1106"/>
      <c r="G101" s="1106"/>
      <c r="H101" s="1106"/>
      <c r="I101" s="1107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10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120"/>
      <c r="B107" s="1130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120"/>
      <c r="B108" s="1130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12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12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1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903" t="s">
        <v>53</v>
      </c>
      <c r="B112" s="903"/>
      <c r="C112" s="903"/>
      <c r="D112" s="903"/>
      <c r="E112" s="903"/>
      <c r="F112" s="903"/>
      <c r="G112" s="903"/>
      <c r="H112" s="903"/>
      <c r="I112" s="903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22" t="s">
        <v>954</v>
      </c>
      <c r="B119" s="925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23"/>
      <c r="B120" s="927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903" t="s">
        <v>53</v>
      </c>
      <c r="B121" s="903"/>
      <c r="C121" s="903"/>
      <c r="D121" s="903"/>
      <c r="E121" s="903"/>
      <c r="F121" s="903"/>
      <c r="G121" s="903"/>
      <c r="H121" s="903"/>
      <c r="I121" s="903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2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2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2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23"/>
      <c r="B129" s="112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29" t="s">
        <v>90</v>
      </c>
      <c r="J129" s="1122">
        <v>2</v>
      </c>
      <c r="K129" s="25" t="s">
        <v>52</v>
      </c>
      <c r="L129" s="25" t="s">
        <v>51</v>
      </c>
    </row>
    <row r="130" spans="1:12">
      <c r="A130" s="923"/>
      <c r="B130" s="112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29"/>
      <c r="J130" s="1124"/>
      <c r="K130" s="25" t="s">
        <v>52</v>
      </c>
      <c r="L130" s="25" t="s">
        <v>51</v>
      </c>
    </row>
    <row r="131" spans="1:12">
      <c r="A131" s="92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2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23"/>
      <c r="B133" s="956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20" t="s">
        <v>1277</v>
      </c>
      <c r="J133" s="1122">
        <v>1</v>
      </c>
      <c r="K133" s="25" t="s">
        <v>52</v>
      </c>
      <c r="L133" s="25" t="s">
        <v>51</v>
      </c>
    </row>
    <row r="134" spans="1:12">
      <c r="A134" s="923"/>
      <c r="B134" s="957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46"/>
      <c r="J134" s="1124"/>
      <c r="K134" s="25" t="s">
        <v>52</v>
      </c>
      <c r="L134" s="25" t="s">
        <v>51</v>
      </c>
    </row>
    <row r="135" spans="1:12">
      <c r="A135" s="92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2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903" t="s">
        <v>53</v>
      </c>
      <c r="B137" s="903"/>
      <c r="C137" s="903"/>
      <c r="D137" s="903"/>
      <c r="E137" s="903"/>
      <c r="F137" s="903"/>
      <c r="G137" s="903"/>
      <c r="H137" s="903"/>
      <c r="I137" s="903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23" t="s">
        <v>1007</v>
      </c>
      <c r="B142" s="956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23"/>
      <c r="B143" s="957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2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903" t="s">
        <v>53</v>
      </c>
      <c r="B145" s="903"/>
      <c r="C145" s="903"/>
      <c r="D145" s="903"/>
      <c r="E145" s="903"/>
      <c r="F145" s="903"/>
      <c r="G145" s="903"/>
      <c r="H145" s="903"/>
      <c r="I145" s="903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09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09"/>
      <c r="B150" s="925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09"/>
      <c r="B151" s="927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09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09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1074" t="s">
        <v>53</v>
      </c>
      <c r="B154" s="1074"/>
      <c r="C154" s="1074"/>
      <c r="D154" s="1074"/>
      <c r="E154" s="1074"/>
      <c r="F154" s="1074"/>
      <c r="G154" s="1074"/>
      <c r="H154" s="1074"/>
      <c r="I154" s="1074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2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2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2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2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2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903" t="s">
        <v>53</v>
      </c>
      <c r="B163" s="903"/>
      <c r="C163" s="903"/>
      <c r="D163" s="903"/>
      <c r="E163" s="903"/>
      <c r="F163" s="903"/>
      <c r="G163" s="903"/>
      <c r="H163" s="903"/>
      <c r="I163" s="903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1074" t="s">
        <v>53</v>
      </c>
      <c r="B167" s="1074"/>
      <c r="C167" s="1074"/>
      <c r="D167" s="1074"/>
      <c r="E167" s="1074"/>
      <c r="F167" s="1074"/>
      <c r="G167" s="1074"/>
      <c r="H167" s="1074"/>
      <c r="I167" s="1074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2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2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2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2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2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2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2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2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2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2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903" t="s">
        <v>53</v>
      </c>
      <c r="B183" s="903"/>
      <c r="C183" s="903"/>
      <c r="D183" s="903"/>
      <c r="E183" s="903"/>
      <c r="F183" s="903"/>
      <c r="G183" s="903"/>
      <c r="H183" s="903"/>
      <c r="I183" s="903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1036" t="s">
        <v>1061</v>
      </c>
      <c r="B189" s="925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1037"/>
      <c r="B190" s="927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1037"/>
      <c r="B191" s="925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1037"/>
      <c r="B192" s="927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903" t="s">
        <v>53</v>
      </c>
      <c r="B193" s="903"/>
      <c r="C193" s="903"/>
      <c r="D193" s="903"/>
      <c r="E193" s="903"/>
      <c r="F193" s="903"/>
      <c r="G193" s="903"/>
      <c r="H193" s="903"/>
      <c r="I193" s="903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18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19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19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19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1074" t="s">
        <v>53</v>
      </c>
      <c r="B203" s="1074"/>
      <c r="C203" s="1074"/>
      <c r="D203" s="1074"/>
      <c r="E203" s="1074"/>
      <c r="F203" s="1074"/>
      <c r="G203" s="1074"/>
      <c r="H203" s="1074"/>
      <c r="I203" s="1074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1074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1074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1074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1074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1074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1074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1074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1074" t="s">
        <v>53</v>
      </c>
      <c r="B214" s="1074"/>
      <c r="C214" s="1074"/>
      <c r="D214" s="1074"/>
      <c r="E214" s="1074"/>
      <c r="F214" s="1074"/>
      <c r="G214" s="1074"/>
      <c r="H214" s="1074"/>
      <c r="I214" s="1074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1074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1074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1074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1074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1074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1074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1074" t="s">
        <v>1458</v>
      </c>
      <c r="B226" s="1074"/>
      <c r="C226" s="1074"/>
      <c r="D226" s="1074"/>
      <c r="E226" s="1074"/>
      <c r="F226" s="1074"/>
      <c r="G226" s="1074"/>
      <c r="H226" s="1074"/>
      <c r="I226" s="1074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1074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1074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1074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1074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1074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1074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1074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1074" t="s">
        <v>1499</v>
      </c>
      <c r="B236" s="1074"/>
      <c r="C236" s="1074"/>
      <c r="D236" s="1074"/>
      <c r="E236" s="1074"/>
      <c r="F236" s="1074"/>
      <c r="G236" s="1074"/>
      <c r="H236" s="1074"/>
      <c r="I236" s="1074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12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12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12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12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05" t="s">
        <v>53</v>
      </c>
      <c r="B244" s="1106"/>
      <c r="C244" s="1106"/>
      <c r="D244" s="1106"/>
      <c r="E244" s="1106"/>
      <c r="F244" s="1106"/>
      <c r="G244" s="1106"/>
      <c r="H244" s="1106"/>
      <c r="I244" s="1107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12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12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12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05" t="s">
        <v>53</v>
      </c>
      <c r="B250" s="1106"/>
      <c r="C250" s="1106"/>
      <c r="D250" s="1106"/>
      <c r="E250" s="1106"/>
      <c r="F250" s="1106"/>
      <c r="G250" s="1106"/>
      <c r="H250" s="1106"/>
      <c r="I250" s="1107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12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12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12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12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05" t="s">
        <v>53</v>
      </c>
      <c r="B257" s="1106"/>
      <c r="C257" s="1106"/>
      <c r="D257" s="1106"/>
      <c r="E257" s="1106"/>
      <c r="F257" s="1106"/>
      <c r="G257" s="1106"/>
      <c r="H257" s="1106"/>
      <c r="I257" s="1107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2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2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05" t="s">
        <v>53</v>
      </c>
      <c r="B262" s="1106"/>
      <c r="C262" s="1106"/>
      <c r="D262" s="1106"/>
      <c r="E262" s="1106"/>
      <c r="F262" s="1106"/>
      <c r="G262" s="1106"/>
      <c r="H262" s="1106"/>
      <c r="I262" s="1107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10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12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22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12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23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12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24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12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1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05" t="s">
        <v>53</v>
      </c>
      <c r="B271" s="1106"/>
      <c r="C271" s="1106"/>
      <c r="D271" s="1106"/>
      <c r="E271" s="1106"/>
      <c r="F271" s="1106"/>
      <c r="G271" s="1106"/>
      <c r="H271" s="1106"/>
      <c r="I271" s="1107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05" t="s">
        <v>53</v>
      </c>
      <c r="B275" s="1106"/>
      <c r="C275" s="1106"/>
      <c r="D275" s="1106"/>
      <c r="E275" s="1106"/>
      <c r="F275" s="1106"/>
      <c r="G275" s="1106"/>
      <c r="H275" s="1106"/>
      <c r="I275" s="1107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16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17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17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17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17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25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26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26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26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26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26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26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27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05" t="s">
        <v>1646</v>
      </c>
      <c r="B296" s="1106"/>
      <c r="C296" s="1106"/>
      <c r="D296" s="1106"/>
      <c r="E296" s="1106"/>
      <c r="F296" s="1106"/>
      <c r="G296" s="1106"/>
      <c r="H296" s="1106"/>
      <c r="I296" s="1106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1074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1074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1074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1074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1074" t="s">
        <v>1659</v>
      </c>
      <c r="B305" s="1074"/>
      <c r="C305" s="1074"/>
      <c r="D305" s="1074"/>
      <c r="E305" s="1074"/>
      <c r="F305" s="1074"/>
      <c r="G305" s="1074"/>
      <c r="H305" s="1074"/>
      <c r="I305" s="1074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1074" t="s">
        <v>53</v>
      </c>
      <c r="B309" s="1074"/>
      <c r="C309" s="1074"/>
      <c r="D309" s="1074"/>
      <c r="E309" s="1074"/>
      <c r="F309" s="1074"/>
      <c r="G309" s="1074"/>
      <c r="H309" s="1074"/>
      <c r="I309" s="1074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1074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1074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1074" t="s">
        <v>1659</v>
      </c>
      <c r="B314" s="1074"/>
      <c r="C314" s="1074"/>
      <c r="D314" s="1074"/>
      <c r="E314" s="1074"/>
      <c r="F314" s="1074"/>
      <c r="G314" s="1074"/>
      <c r="H314" s="1074"/>
      <c r="I314" s="1074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1074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1074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1074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1074" t="s">
        <v>1659</v>
      </c>
      <c r="B321" s="1074"/>
      <c r="C321" s="1074"/>
      <c r="D321" s="1074"/>
      <c r="E321" s="1074"/>
      <c r="F321" s="1074"/>
      <c r="G321" s="1074"/>
      <c r="H321" s="1074"/>
      <c r="I321" s="1074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1074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1074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1074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1074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1074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1074" t="s">
        <v>1659</v>
      </c>
      <c r="B330" s="1074"/>
      <c r="C330" s="1074"/>
      <c r="D330" s="1074"/>
      <c r="E330" s="1074"/>
      <c r="F330" s="1074"/>
      <c r="G330" s="1074"/>
      <c r="H330" s="1074"/>
      <c r="I330" s="1074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16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17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17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17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17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1074" t="s">
        <v>1659</v>
      </c>
      <c r="B338" s="1074"/>
      <c r="C338" s="1074"/>
      <c r="D338" s="1074"/>
      <c r="E338" s="1074"/>
      <c r="F338" s="1074"/>
      <c r="G338" s="1074"/>
      <c r="H338" s="1074"/>
      <c r="I338" s="1074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13" t="s">
        <v>1521</v>
      </c>
      <c r="B343" s="128" t="s">
        <v>1531</v>
      </c>
      <c r="C343" s="963" t="s">
        <v>306</v>
      </c>
      <c r="D343" s="963" t="s">
        <v>322</v>
      </c>
      <c r="E343" s="945" t="s">
        <v>307</v>
      </c>
      <c r="F343" s="1112">
        <v>4266</v>
      </c>
      <c r="G343" s="963" t="s">
        <v>640</v>
      </c>
      <c r="H343" s="1112" t="s">
        <v>1533</v>
      </c>
      <c r="I343" s="963" t="s">
        <v>1534</v>
      </c>
      <c r="J343" s="945">
        <v>2</v>
      </c>
      <c r="K343" s="1110" t="s">
        <v>50</v>
      </c>
      <c r="L343" s="1110" t="s">
        <v>51</v>
      </c>
    </row>
    <row r="344" spans="1:13">
      <c r="A344" s="1114"/>
      <c r="B344" s="129" t="s">
        <v>1532</v>
      </c>
      <c r="C344" s="946"/>
      <c r="D344" s="946"/>
      <c r="E344" s="946"/>
      <c r="F344" s="951"/>
      <c r="G344" s="946"/>
      <c r="H344" s="951"/>
      <c r="I344" s="946"/>
      <c r="J344" s="946"/>
      <c r="K344" s="1111"/>
      <c r="L344" s="1111"/>
    </row>
    <row r="345" spans="1:13">
      <c r="A345" s="1114"/>
      <c r="B345" s="128" t="s">
        <v>1536</v>
      </c>
      <c r="C345" s="945" t="s">
        <v>306</v>
      </c>
      <c r="D345" s="945" t="s">
        <v>322</v>
      </c>
      <c r="E345" s="945" t="s">
        <v>307</v>
      </c>
      <c r="F345" s="950">
        <v>3306</v>
      </c>
      <c r="G345" s="945" t="s">
        <v>1153</v>
      </c>
      <c r="H345" s="950" t="s">
        <v>1538</v>
      </c>
      <c r="I345" s="945" t="s">
        <v>1534</v>
      </c>
      <c r="J345" s="945">
        <v>2</v>
      </c>
      <c r="K345" s="1110" t="s">
        <v>50</v>
      </c>
      <c r="L345" s="1110" t="s">
        <v>51</v>
      </c>
    </row>
    <row r="346" spans="1:13">
      <c r="A346" s="1115"/>
      <c r="B346" s="129" t="s">
        <v>1537</v>
      </c>
      <c r="C346" s="946"/>
      <c r="D346" s="946"/>
      <c r="E346" s="946"/>
      <c r="F346" s="951"/>
      <c r="G346" s="946"/>
      <c r="H346" s="951"/>
      <c r="I346" s="946"/>
      <c r="J346" s="946"/>
      <c r="K346" s="1111"/>
      <c r="L346" s="1111"/>
    </row>
    <row r="347" spans="1:13">
      <c r="A347" s="1105" t="s">
        <v>53</v>
      </c>
      <c r="B347" s="1106"/>
      <c r="C347" s="1106"/>
      <c r="D347" s="1106"/>
      <c r="E347" s="1106"/>
      <c r="F347" s="1106"/>
      <c r="G347" s="1106"/>
      <c r="H347" s="1106"/>
      <c r="I347" s="1107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2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2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2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2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2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2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2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903" t="s">
        <v>53</v>
      </c>
      <c r="B357" s="903"/>
      <c r="C357" s="903"/>
      <c r="D357" s="903"/>
      <c r="E357" s="903"/>
      <c r="F357" s="903"/>
      <c r="G357" s="903"/>
      <c r="H357" s="903"/>
      <c r="I357" s="903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1074" t="s">
        <v>1458</v>
      </c>
      <c r="B361" s="1074"/>
      <c r="C361" s="1074"/>
      <c r="D361" s="1074"/>
      <c r="E361" s="1074"/>
      <c r="F361" s="1074"/>
      <c r="G361" s="1074"/>
      <c r="H361" s="1074"/>
      <c r="I361" s="1074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09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1074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1074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1074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1074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1074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1074" t="s">
        <v>1659</v>
      </c>
      <c r="B370" s="1074"/>
      <c r="C370" s="1074"/>
      <c r="D370" s="1074"/>
      <c r="E370" s="1074"/>
      <c r="F370" s="1074"/>
      <c r="G370" s="1074"/>
      <c r="H370" s="1074"/>
      <c r="I370" s="1074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16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1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1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17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1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903" t="s">
        <v>1646</v>
      </c>
      <c r="B378" s="903"/>
      <c r="C378" s="903"/>
      <c r="D378" s="903"/>
      <c r="E378" s="903"/>
      <c r="F378" s="903"/>
      <c r="G378" s="903"/>
      <c r="H378" s="903"/>
      <c r="I378" s="903"/>
      <c r="J378" s="903"/>
      <c r="K378" s="4">
        <v>25</v>
      </c>
      <c r="L378" s="55"/>
    </row>
    <row r="381" spans="1:12">
      <c r="B381" s="1133" t="s">
        <v>1</v>
      </c>
      <c r="C381" s="1133" t="s">
        <v>2</v>
      </c>
      <c r="D381" s="1133" t="s">
        <v>3</v>
      </c>
      <c r="E381" s="36" t="s">
        <v>54</v>
      </c>
      <c r="F381" s="1133" t="s">
        <v>5</v>
      </c>
      <c r="G381" s="1133" t="s">
        <v>6</v>
      </c>
      <c r="H381" s="1133" t="s">
        <v>7</v>
      </c>
      <c r="I381" s="1133" t="s">
        <v>55</v>
      </c>
      <c r="J381" s="1133" t="s">
        <v>9</v>
      </c>
      <c r="K381" s="1135" t="s">
        <v>56</v>
      </c>
      <c r="L381" s="1133" t="s">
        <v>57</v>
      </c>
    </row>
    <row r="382" spans="1:12">
      <c r="B382" s="1134"/>
      <c r="C382" s="1134"/>
      <c r="D382" s="1134"/>
      <c r="E382" s="37" t="s">
        <v>59</v>
      </c>
      <c r="F382" s="1134"/>
      <c r="G382" s="1134"/>
      <c r="H382" s="1134"/>
      <c r="I382" s="1134"/>
      <c r="J382" s="1134"/>
      <c r="K382" s="1136"/>
      <c r="L382" s="1134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1074" t="s">
        <v>53</v>
      </c>
      <c r="B394" s="1074"/>
      <c r="C394" s="1074"/>
      <c r="D394" s="1074"/>
      <c r="E394" s="1074"/>
      <c r="F394" s="1074"/>
      <c r="G394" s="1074"/>
      <c r="H394" s="1074"/>
      <c r="I394" s="1074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16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17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17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17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1074" t="s">
        <v>53</v>
      </c>
      <c r="B401" s="1074"/>
      <c r="C401" s="1074"/>
      <c r="D401" s="1074"/>
      <c r="E401" s="1074"/>
      <c r="F401" s="1074"/>
      <c r="G401" s="1074"/>
      <c r="H401" s="1074"/>
      <c r="I401" s="1074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01" t="s">
        <v>229</v>
      </c>
      <c r="B405" s="1108" t="s">
        <v>1805</v>
      </c>
      <c r="C405" s="1108" t="s">
        <v>700</v>
      </c>
      <c r="D405" s="1137" t="s">
        <v>675</v>
      </c>
      <c r="E405" s="1108" t="s">
        <v>1806</v>
      </c>
      <c r="F405" s="1108" t="s">
        <v>1807</v>
      </c>
      <c r="G405" s="1108" t="s">
        <v>662</v>
      </c>
      <c r="H405" s="1138" t="s">
        <v>1808</v>
      </c>
      <c r="I405" s="1137"/>
      <c r="J405" s="1138">
        <v>1</v>
      </c>
      <c r="K405" s="1110" t="s">
        <v>631</v>
      </c>
      <c r="L405" s="1060" t="s">
        <v>51</v>
      </c>
    </row>
    <row r="406" spans="1:12" ht="13.5" customHeight="1">
      <c r="A406" s="1101"/>
      <c r="B406" s="1108"/>
      <c r="C406" s="1108"/>
      <c r="D406" s="1137"/>
      <c r="E406" s="1108"/>
      <c r="F406" s="1108"/>
      <c r="G406" s="1108"/>
      <c r="H406" s="1138"/>
      <c r="I406" s="1137"/>
      <c r="J406" s="1138"/>
      <c r="K406" s="1111"/>
      <c r="L406" s="1062"/>
    </row>
    <row r="407" spans="1:12" ht="27" customHeight="1">
      <c r="A407" s="1101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01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01" t="s">
        <v>1646</v>
      </c>
      <c r="B409" s="1101"/>
      <c r="C409" s="1101"/>
      <c r="D409" s="1101"/>
      <c r="E409" s="1101"/>
      <c r="F409" s="1101"/>
      <c r="G409" s="1101"/>
      <c r="H409" s="1101"/>
      <c r="I409" s="1101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01" t="s">
        <v>2008</v>
      </c>
      <c r="B412" s="1139" t="s">
        <v>2009</v>
      </c>
      <c r="C412" s="1110" t="s">
        <v>21</v>
      </c>
      <c r="D412" s="958" t="s">
        <v>14</v>
      </c>
      <c r="E412" s="1110" t="s">
        <v>78</v>
      </c>
      <c r="F412" s="1108" t="s">
        <v>2010</v>
      </c>
      <c r="G412" s="1108" t="s">
        <v>40</v>
      </c>
      <c r="H412" s="1138" t="s">
        <v>614</v>
      </c>
      <c r="I412" s="1137"/>
      <c r="J412" s="1138">
        <v>1</v>
      </c>
      <c r="K412" s="1110" t="s">
        <v>2011</v>
      </c>
      <c r="L412" s="1060" t="s">
        <v>1997</v>
      </c>
    </row>
    <row r="413" spans="1:12" ht="20.100000000000001" customHeight="1">
      <c r="A413" s="1101"/>
      <c r="B413" s="1108"/>
      <c r="C413" s="1111"/>
      <c r="D413" s="959"/>
      <c r="E413" s="1111"/>
      <c r="F413" s="1108"/>
      <c r="G413" s="1108"/>
      <c r="H413" s="1138"/>
      <c r="I413" s="1137"/>
      <c r="J413" s="1138"/>
      <c r="K413" s="1111"/>
      <c r="L413" s="1062"/>
    </row>
    <row r="414" spans="1:12" ht="20.100000000000001" customHeight="1">
      <c r="A414" s="1101" t="s">
        <v>1646</v>
      </c>
      <c r="B414" s="1101"/>
      <c r="C414" s="1101"/>
      <c r="D414" s="1101"/>
      <c r="E414" s="1101"/>
      <c r="F414" s="1101"/>
      <c r="G414" s="1101"/>
      <c r="H414" s="1101"/>
      <c r="I414" s="1101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1060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1061"/>
      <c r="B418" s="78" t="s">
        <v>1748</v>
      </c>
      <c r="C418" s="1137" t="s">
        <v>306</v>
      </c>
      <c r="D418" s="1137" t="s">
        <v>322</v>
      </c>
      <c r="E418" s="1137" t="s">
        <v>307</v>
      </c>
      <c r="F418" s="1138">
        <v>3306</v>
      </c>
      <c r="G418" s="1137" t="s">
        <v>1153</v>
      </c>
      <c r="H418" s="1138" t="s">
        <v>1749</v>
      </c>
      <c r="I418" s="1137" t="s">
        <v>664</v>
      </c>
      <c r="J418" s="1137">
        <v>4</v>
      </c>
      <c r="K418" s="1110" t="s">
        <v>631</v>
      </c>
      <c r="L418" s="1060" t="s">
        <v>51</v>
      </c>
    </row>
    <row r="419" spans="1:12" ht="13.5" customHeight="1">
      <c r="A419" s="1061"/>
      <c r="B419" s="79" t="s">
        <v>1751</v>
      </c>
      <c r="C419" s="1137"/>
      <c r="D419" s="1137"/>
      <c r="E419" s="1137"/>
      <c r="F419" s="1138"/>
      <c r="G419" s="1137"/>
      <c r="H419" s="1138"/>
      <c r="I419" s="1137"/>
      <c r="J419" s="1137"/>
      <c r="K419" s="1111"/>
      <c r="L419" s="1062"/>
    </row>
    <row r="420" spans="1:12" ht="13.5" customHeight="1">
      <c r="A420" s="1061"/>
      <c r="B420" s="78" t="s">
        <v>1800</v>
      </c>
      <c r="C420" s="1137" t="s">
        <v>306</v>
      </c>
      <c r="D420" s="1137" t="s">
        <v>322</v>
      </c>
      <c r="E420" s="1137" t="s">
        <v>307</v>
      </c>
      <c r="F420" s="1138" t="s">
        <v>1801</v>
      </c>
      <c r="G420" s="1137" t="s">
        <v>1802</v>
      </c>
      <c r="H420" s="1138" t="s">
        <v>1803</v>
      </c>
      <c r="I420" s="1137" t="s">
        <v>664</v>
      </c>
      <c r="J420" s="1137">
        <v>5</v>
      </c>
      <c r="K420" s="1110" t="s">
        <v>631</v>
      </c>
      <c r="L420" s="1060" t="s">
        <v>51</v>
      </c>
    </row>
    <row r="421" spans="1:12" ht="13.5" customHeight="1">
      <c r="A421" s="1061"/>
      <c r="B421" s="79" t="s">
        <v>1795</v>
      </c>
      <c r="C421" s="1137"/>
      <c r="D421" s="1137"/>
      <c r="E421" s="1137"/>
      <c r="F421" s="1138"/>
      <c r="G421" s="1137"/>
      <c r="H421" s="1138"/>
      <c r="I421" s="1137"/>
      <c r="J421" s="1137"/>
      <c r="K421" s="1111"/>
      <c r="L421" s="1062"/>
    </row>
    <row r="422" spans="1:12" ht="27" customHeight="1">
      <c r="A422" s="1062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01" t="s">
        <v>1646</v>
      </c>
      <c r="B423" s="1101"/>
      <c r="C423" s="1101"/>
      <c r="D423" s="1101"/>
      <c r="E423" s="1101"/>
      <c r="F423" s="1101"/>
      <c r="G423" s="1101"/>
      <c r="H423" s="1101"/>
      <c r="I423" s="1101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890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891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891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891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1074" t="s">
        <v>1646</v>
      </c>
      <c r="B431" s="1074"/>
      <c r="C431" s="1074"/>
      <c r="D431" s="1074"/>
      <c r="E431" s="1074"/>
      <c r="F431" s="1074"/>
      <c r="G431" s="1074"/>
      <c r="H431" s="1074"/>
      <c r="I431" s="1074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891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9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1074" t="s">
        <v>1646</v>
      </c>
      <c r="B435" s="1074"/>
      <c r="C435" s="1074"/>
      <c r="D435" s="1074"/>
      <c r="E435" s="1074"/>
      <c r="F435" s="1074"/>
      <c r="G435" s="1074"/>
      <c r="H435" s="1074"/>
      <c r="I435" s="1074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25" t="s">
        <v>2027</v>
      </c>
      <c r="B438" s="252" t="s">
        <v>1760</v>
      </c>
      <c r="C438" s="1016" t="s">
        <v>306</v>
      </c>
      <c r="D438" s="1016" t="s">
        <v>322</v>
      </c>
      <c r="E438" s="1016" t="s">
        <v>307</v>
      </c>
      <c r="F438" s="1140" t="s">
        <v>1761</v>
      </c>
      <c r="G438" s="1016" t="s">
        <v>329</v>
      </c>
      <c r="H438" s="1122" t="s">
        <v>1762</v>
      </c>
      <c r="I438" s="964" t="s">
        <v>664</v>
      </c>
      <c r="J438" s="1142">
        <v>2</v>
      </c>
      <c r="K438" s="1110" t="s">
        <v>1996</v>
      </c>
      <c r="L438" s="1110" t="s">
        <v>51</v>
      </c>
    </row>
    <row r="439" spans="1:12" ht="13.5" customHeight="1">
      <c r="A439" s="926"/>
      <c r="B439" s="253" t="s">
        <v>2028</v>
      </c>
      <c r="C439" s="1017"/>
      <c r="D439" s="1017"/>
      <c r="E439" s="1017"/>
      <c r="F439" s="1141"/>
      <c r="G439" s="1017"/>
      <c r="H439" s="1124"/>
      <c r="I439" s="965"/>
      <c r="J439" s="1143"/>
      <c r="K439" s="1111"/>
      <c r="L439" s="1111"/>
    </row>
    <row r="440" spans="1:12" ht="13.5" customHeight="1">
      <c r="A440" s="926"/>
      <c r="B440" s="254" t="s">
        <v>1794</v>
      </c>
      <c r="C440" s="904" t="s">
        <v>306</v>
      </c>
      <c r="D440" s="904" t="s">
        <v>322</v>
      </c>
      <c r="E440" s="904" t="s">
        <v>307</v>
      </c>
      <c r="F440" s="911" t="s">
        <v>1796</v>
      </c>
      <c r="G440" s="904" t="s">
        <v>1797</v>
      </c>
      <c r="H440" s="911" t="s">
        <v>1792</v>
      </c>
      <c r="I440" s="904" t="s">
        <v>664</v>
      </c>
      <c r="J440" s="945">
        <v>4</v>
      </c>
      <c r="K440" s="1110" t="s">
        <v>631</v>
      </c>
      <c r="L440" s="1110" t="s">
        <v>1997</v>
      </c>
    </row>
    <row r="441" spans="1:12" ht="13.5" customHeight="1">
      <c r="A441" s="926"/>
      <c r="B441" s="255" t="s">
        <v>1795</v>
      </c>
      <c r="C441" s="904"/>
      <c r="D441" s="904"/>
      <c r="E441" s="904"/>
      <c r="F441" s="911"/>
      <c r="G441" s="904"/>
      <c r="H441" s="911"/>
      <c r="I441" s="904"/>
      <c r="J441" s="946"/>
      <c r="K441" s="1111"/>
      <c r="L441" s="1111"/>
    </row>
    <row r="442" spans="1:12" ht="20.100000000000001" customHeight="1">
      <c r="A442" s="926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26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26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26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26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26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26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27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05" t="s">
        <v>1646</v>
      </c>
      <c r="B450" s="1106"/>
      <c r="C450" s="1106"/>
      <c r="D450" s="1106"/>
      <c r="E450" s="1106"/>
      <c r="F450" s="1106"/>
      <c r="G450" s="1106"/>
      <c r="H450" s="1106"/>
      <c r="I450" s="1106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2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2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2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903" t="s">
        <v>2059</v>
      </c>
      <c r="B459" s="903"/>
      <c r="C459" s="903"/>
      <c r="D459" s="903"/>
      <c r="E459" s="903"/>
      <c r="F459" s="903"/>
      <c r="G459" s="903"/>
      <c r="H459" s="903"/>
      <c r="I459" s="903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890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891"/>
      <c r="B463" s="1144" t="s">
        <v>1767</v>
      </c>
      <c r="C463" s="1145" t="s">
        <v>311</v>
      </c>
      <c r="D463" s="1145" t="s">
        <v>320</v>
      </c>
      <c r="E463" s="1145" t="s">
        <v>709</v>
      </c>
      <c r="F463" s="1145" t="s">
        <v>1768</v>
      </c>
      <c r="G463" s="1144" t="s">
        <v>1769</v>
      </c>
      <c r="H463" s="258" t="s">
        <v>1770</v>
      </c>
      <c r="I463" s="1145"/>
      <c r="J463" s="1145">
        <v>1</v>
      </c>
      <c r="K463" s="958" t="s">
        <v>631</v>
      </c>
      <c r="L463" s="988" t="s">
        <v>51</v>
      </c>
    </row>
    <row r="464" spans="1:12" ht="13.5" customHeight="1">
      <c r="A464" s="891"/>
      <c r="B464" s="1144"/>
      <c r="C464" s="1145"/>
      <c r="D464" s="1145"/>
      <c r="E464" s="1145"/>
      <c r="F464" s="1145"/>
      <c r="G464" s="1144"/>
      <c r="H464" s="259" t="s">
        <v>1773</v>
      </c>
      <c r="I464" s="1145"/>
      <c r="J464" s="1145"/>
      <c r="K464" s="959"/>
      <c r="L464" s="989"/>
    </row>
    <row r="465" spans="1:12" ht="13.5" customHeight="1">
      <c r="A465" s="891"/>
      <c r="B465" s="1146" t="s">
        <v>1813</v>
      </c>
      <c r="C465" s="1108" t="s">
        <v>700</v>
      </c>
      <c r="D465" s="1137" t="s">
        <v>320</v>
      </c>
      <c r="E465" s="1137" t="s">
        <v>337</v>
      </c>
      <c r="F465" s="1108" t="s">
        <v>353</v>
      </c>
      <c r="G465" s="1108" t="s">
        <v>1814</v>
      </c>
      <c r="H465" s="1138" t="s">
        <v>1815</v>
      </c>
      <c r="I465" s="1137" t="s">
        <v>638</v>
      </c>
      <c r="J465" s="1138">
        <v>2</v>
      </c>
      <c r="K465" s="1110" t="s">
        <v>631</v>
      </c>
      <c r="L465" s="1110" t="s">
        <v>51</v>
      </c>
    </row>
    <row r="466" spans="1:12" ht="13.5" customHeight="1">
      <c r="A466" s="891"/>
      <c r="B466" s="1146"/>
      <c r="C466" s="1108"/>
      <c r="D466" s="1137"/>
      <c r="E466" s="1137"/>
      <c r="F466" s="1108"/>
      <c r="G466" s="1108"/>
      <c r="H466" s="1138"/>
      <c r="I466" s="1137"/>
      <c r="J466" s="1138"/>
      <c r="K466" s="1111"/>
      <c r="L466" s="1111"/>
    </row>
    <row r="467" spans="1:12" ht="27" customHeight="1">
      <c r="A467" s="891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891"/>
      <c r="B468" s="1108" t="s">
        <v>1820</v>
      </c>
      <c r="C468" s="1108" t="s">
        <v>700</v>
      </c>
      <c r="D468" s="1137" t="s">
        <v>320</v>
      </c>
      <c r="E468" s="1137" t="s">
        <v>709</v>
      </c>
      <c r="F468" s="1137" t="s">
        <v>1768</v>
      </c>
      <c r="G468" s="1108" t="s">
        <v>1821</v>
      </c>
      <c r="H468" s="261" t="s">
        <v>1822</v>
      </c>
      <c r="I468" s="1137" t="s">
        <v>638</v>
      </c>
      <c r="J468" s="1137">
        <v>2</v>
      </c>
      <c r="K468" s="1110" t="s">
        <v>631</v>
      </c>
      <c r="L468" s="1110" t="s">
        <v>51</v>
      </c>
    </row>
    <row r="469" spans="1:12" ht="13.5" customHeight="1">
      <c r="A469" s="891"/>
      <c r="B469" s="1108"/>
      <c r="C469" s="1108"/>
      <c r="D469" s="1137"/>
      <c r="E469" s="1137"/>
      <c r="F469" s="1137"/>
      <c r="G469" s="1108"/>
      <c r="H469" s="262" t="s">
        <v>1823</v>
      </c>
      <c r="I469" s="1137"/>
      <c r="J469" s="1137"/>
      <c r="K469" s="1111"/>
      <c r="L469" s="1111"/>
    </row>
    <row r="470" spans="1:12" ht="27" customHeight="1">
      <c r="A470" s="891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92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1074" t="s">
        <v>53</v>
      </c>
      <c r="B472" s="1074"/>
      <c r="C472" s="1074"/>
      <c r="D472" s="1074"/>
      <c r="E472" s="1074"/>
      <c r="F472" s="1074"/>
      <c r="G472" s="1074"/>
      <c r="H472" s="1074"/>
      <c r="I472" s="1074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1074" t="s">
        <v>228</v>
      </c>
      <c r="B476" s="1144" t="s">
        <v>1767</v>
      </c>
      <c r="C476" s="1145" t="s">
        <v>311</v>
      </c>
      <c r="D476" s="1145" t="s">
        <v>320</v>
      </c>
      <c r="E476" s="1145" t="s">
        <v>709</v>
      </c>
      <c r="F476" s="1145" t="s">
        <v>1768</v>
      </c>
      <c r="G476" s="1144" t="s">
        <v>1769</v>
      </c>
      <c r="H476" s="258" t="s">
        <v>1770</v>
      </c>
      <c r="I476" s="1145"/>
      <c r="J476" s="1145">
        <v>1</v>
      </c>
      <c r="K476" s="958" t="s">
        <v>631</v>
      </c>
      <c r="L476" s="988" t="s">
        <v>51</v>
      </c>
    </row>
    <row r="477" spans="1:12" ht="13.5" customHeight="1">
      <c r="A477" s="1074"/>
      <c r="B477" s="1144"/>
      <c r="C477" s="1145"/>
      <c r="D477" s="1145"/>
      <c r="E477" s="1145"/>
      <c r="F477" s="1145"/>
      <c r="G477" s="1144"/>
      <c r="H477" s="259" t="s">
        <v>1773</v>
      </c>
      <c r="I477" s="1145"/>
      <c r="J477" s="1145"/>
      <c r="K477" s="959"/>
      <c r="L477" s="989"/>
    </row>
    <row r="478" spans="1:12" ht="27" customHeight="1">
      <c r="A478" s="1074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1074" t="s">
        <v>1646</v>
      </c>
      <c r="B479" s="1074"/>
      <c r="C479" s="1074"/>
      <c r="D479" s="1074"/>
      <c r="E479" s="1074"/>
      <c r="F479" s="1074"/>
      <c r="G479" s="1074"/>
      <c r="H479" s="1074"/>
      <c r="I479" s="1074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10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12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12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12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1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05" t="s">
        <v>53</v>
      </c>
      <c r="B487" s="1106"/>
      <c r="C487" s="1106"/>
      <c r="D487" s="1106"/>
      <c r="E487" s="1106"/>
      <c r="F487" s="1106"/>
      <c r="G487" s="1106"/>
      <c r="H487" s="1106"/>
      <c r="I487" s="1107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03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04"/>
      <c r="B494" s="1147" t="s">
        <v>2182</v>
      </c>
      <c r="C494" s="1147" t="s">
        <v>306</v>
      </c>
      <c r="D494" s="1147" t="s">
        <v>322</v>
      </c>
      <c r="E494" s="1147" t="s">
        <v>307</v>
      </c>
      <c r="F494" s="1148" t="s">
        <v>1919</v>
      </c>
      <c r="G494" s="1147" t="s">
        <v>662</v>
      </c>
      <c r="H494" s="1148" t="s">
        <v>1920</v>
      </c>
      <c r="I494" s="1147" t="s">
        <v>349</v>
      </c>
      <c r="J494" s="1147">
        <v>2</v>
      </c>
      <c r="K494" s="1108" t="s">
        <v>50</v>
      </c>
      <c r="L494" s="222">
        <v>23</v>
      </c>
    </row>
    <row r="495" spans="1:12" ht="12.6" customHeight="1">
      <c r="A495" s="1104"/>
      <c r="B495" s="1147"/>
      <c r="C495" s="1147"/>
      <c r="D495" s="1147"/>
      <c r="E495" s="1147"/>
      <c r="F495" s="1148"/>
      <c r="G495" s="1147"/>
      <c r="H495" s="1148"/>
      <c r="I495" s="1147"/>
      <c r="J495" s="1147"/>
      <c r="K495" s="1108"/>
    </row>
    <row r="496" spans="1:12" ht="24.95" customHeight="1">
      <c r="A496" s="1104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04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04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0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1074" t="s">
        <v>53</v>
      </c>
      <c r="B500" s="1074"/>
      <c r="C500" s="1074"/>
      <c r="D500" s="1074"/>
      <c r="E500" s="1074"/>
      <c r="F500" s="1074"/>
      <c r="G500" s="1074"/>
      <c r="H500" s="1074"/>
      <c r="I500" s="1074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903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903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903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903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903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1074" t="s">
        <v>2217</v>
      </c>
      <c r="B511" s="1074"/>
      <c r="C511" s="1074"/>
      <c r="D511" s="1074"/>
      <c r="E511" s="1074"/>
      <c r="F511" s="1074"/>
      <c r="G511" s="1074"/>
      <c r="H511" s="1074"/>
      <c r="I511" s="1074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903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903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903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903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903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903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903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903" t="s">
        <v>2233</v>
      </c>
      <c r="B522" s="903"/>
      <c r="C522" s="903"/>
      <c r="D522" s="903"/>
      <c r="E522" s="903"/>
      <c r="F522" s="903"/>
      <c r="G522" s="903"/>
      <c r="H522" s="903"/>
      <c r="I522" s="903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1074" t="s">
        <v>2238</v>
      </c>
      <c r="B528" s="1074"/>
      <c r="C528" s="1074"/>
      <c r="D528" s="1074"/>
      <c r="E528" s="1074"/>
      <c r="F528" s="1074"/>
      <c r="G528" s="1074"/>
      <c r="H528" s="1074"/>
      <c r="I528" s="1074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903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903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903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1074" t="s">
        <v>2233</v>
      </c>
      <c r="B535" s="1074"/>
      <c r="C535" s="1074"/>
      <c r="D535" s="1074"/>
      <c r="E535" s="1074"/>
      <c r="F535" s="1074"/>
      <c r="G535" s="1074"/>
      <c r="H535" s="1074"/>
      <c r="I535" s="1074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05" t="s">
        <v>2238</v>
      </c>
      <c r="B540" s="1106"/>
      <c r="C540" s="1106"/>
      <c r="D540" s="1106"/>
      <c r="E540" s="1106"/>
      <c r="F540" s="1106"/>
      <c r="G540" s="1106"/>
      <c r="H540" s="1106"/>
      <c r="I540" s="1107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1074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1074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01" t="s">
        <v>2233</v>
      </c>
      <c r="B546" s="1101"/>
      <c r="C546" s="1101"/>
      <c r="D546" s="1101"/>
      <c r="E546" s="1101"/>
      <c r="F546" s="1101"/>
      <c r="G546" s="1101"/>
      <c r="H546" s="1101"/>
      <c r="I546" s="1101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1074" t="s">
        <v>2233</v>
      </c>
      <c r="B550" s="1074"/>
      <c r="C550" s="1074"/>
      <c r="D550" s="1074"/>
      <c r="E550" s="1074"/>
      <c r="F550" s="1074"/>
      <c r="G550" s="1074"/>
      <c r="H550" s="1074"/>
      <c r="I550" s="1074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02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02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02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02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02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02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02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02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02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02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02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1074" t="s">
        <v>2233</v>
      </c>
      <c r="B565" s="1074"/>
      <c r="C565" s="1074"/>
      <c r="D565" s="1074"/>
      <c r="E565" s="1074"/>
      <c r="F565" s="1074"/>
      <c r="G565" s="1074"/>
      <c r="H565" s="1074"/>
      <c r="I565" s="1074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20" t="s">
        <v>306</v>
      </c>
      <c r="D569" s="920" t="s">
        <v>322</v>
      </c>
      <c r="E569" s="920" t="s">
        <v>307</v>
      </c>
      <c r="F569" s="920">
        <v>3306</v>
      </c>
      <c r="G569" s="920" t="s">
        <v>1153</v>
      </c>
      <c r="H569" s="920" t="s">
        <v>1907</v>
      </c>
      <c r="I569" s="920" t="s">
        <v>1111</v>
      </c>
      <c r="J569" s="920" t="s">
        <v>692</v>
      </c>
      <c r="K569" s="1099" t="s">
        <v>2291</v>
      </c>
    </row>
    <row r="570" spans="1:12">
      <c r="B570" s="243" t="s">
        <v>1909</v>
      </c>
      <c r="C570" s="921"/>
      <c r="D570" s="921"/>
      <c r="E570" s="921"/>
      <c r="F570" s="921"/>
      <c r="G570" s="921"/>
      <c r="H570" s="921"/>
      <c r="I570" s="921"/>
      <c r="J570" s="921"/>
      <c r="K570" s="1100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03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0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04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04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04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04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04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1074" t="s">
        <v>1458</v>
      </c>
      <c r="B582" s="1074"/>
      <c r="C582" s="1074"/>
      <c r="D582" s="1074"/>
      <c r="E582" s="1074"/>
      <c r="F582" s="1074"/>
      <c r="G582" s="1074"/>
      <c r="H582" s="1074"/>
      <c r="I582" s="1074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903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903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1074" t="s">
        <v>2393</v>
      </c>
      <c r="B588" s="1074"/>
      <c r="C588" s="1074"/>
      <c r="D588" s="1074"/>
      <c r="E588" s="1074"/>
      <c r="F588" s="1074"/>
      <c r="G588" s="1074"/>
      <c r="H588" s="1074"/>
      <c r="I588" s="1074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903" t="s">
        <v>2406</v>
      </c>
      <c r="B592" s="903"/>
      <c r="C592" s="903"/>
      <c r="D592" s="903"/>
      <c r="E592" s="903"/>
      <c r="F592" s="903"/>
      <c r="G592" s="903"/>
      <c r="H592" s="903"/>
      <c r="I592" s="903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903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903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903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903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903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903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903" t="s">
        <v>2406</v>
      </c>
      <c r="B601" s="903"/>
      <c r="C601" s="903"/>
      <c r="D601" s="903"/>
      <c r="E601" s="903"/>
      <c r="F601" s="903"/>
      <c r="G601" s="903"/>
      <c r="H601" s="903"/>
      <c r="I601" s="903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1074" t="s">
        <v>2437</v>
      </c>
      <c r="B606" s="1074"/>
      <c r="C606" s="1074"/>
      <c r="D606" s="1074"/>
      <c r="E606" s="1074"/>
      <c r="F606" s="1074"/>
      <c r="G606" s="1074"/>
      <c r="H606" s="1074"/>
      <c r="I606" s="1074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903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903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903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1074" t="s">
        <v>2406</v>
      </c>
      <c r="B613" s="1074"/>
      <c r="C613" s="1074"/>
      <c r="D613" s="1074"/>
      <c r="E613" s="1074"/>
      <c r="F613" s="1074"/>
      <c r="G613" s="1074"/>
      <c r="H613" s="1074"/>
      <c r="I613" s="1074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02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02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02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02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02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02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02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02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02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02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1074" t="s">
        <v>2406</v>
      </c>
      <c r="B627" s="1074"/>
      <c r="C627" s="1074"/>
      <c r="D627" s="1074"/>
      <c r="E627" s="1074"/>
      <c r="F627" s="1074"/>
      <c r="G627" s="1074"/>
      <c r="H627" s="1074"/>
      <c r="I627" s="1074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50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50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50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50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50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50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50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50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50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50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50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50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50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50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51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52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52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52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52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53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54" t="s">
        <v>1646</v>
      </c>
      <c r="B655" s="1154"/>
      <c r="C655" s="1154"/>
      <c r="D655" s="1154"/>
      <c r="E655" s="1154"/>
      <c r="F655" s="1154"/>
      <c r="G655" s="1154"/>
      <c r="H655" s="1154"/>
      <c r="I655" s="1154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54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54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54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54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54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54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54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54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54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54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54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54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54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54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54" t="s">
        <v>1646</v>
      </c>
      <c r="B674" s="1154"/>
      <c r="C674" s="1154"/>
      <c r="D674" s="1154"/>
      <c r="E674" s="1154"/>
      <c r="F674" s="1154"/>
      <c r="G674" s="1154"/>
      <c r="H674" s="1154"/>
      <c r="I674" s="1154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54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54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54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54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54" t="s">
        <v>1646</v>
      </c>
      <c r="B681" s="1154"/>
      <c r="C681" s="1154"/>
      <c r="D681" s="1154"/>
      <c r="E681" s="1154"/>
      <c r="F681" s="1154"/>
      <c r="G681" s="1154"/>
      <c r="H681" s="1154"/>
      <c r="I681" s="1154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49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49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49" t="s">
        <v>1646</v>
      </c>
      <c r="B688" s="1149"/>
      <c r="C688" s="1149"/>
      <c r="D688" s="1149"/>
      <c r="E688" s="1149"/>
      <c r="F688" s="1149"/>
      <c r="G688" s="1149"/>
      <c r="H688" s="1149"/>
      <c r="I688" s="1149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50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50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50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50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50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50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50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49" t="s">
        <v>1646</v>
      </c>
      <c r="B699" s="1149"/>
      <c r="C699" s="1149"/>
      <c r="D699" s="1149"/>
      <c r="E699" s="1149"/>
      <c r="F699" s="1149"/>
      <c r="G699" s="1149"/>
      <c r="H699" s="1149"/>
      <c r="I699" s="1149"/>
      <c r="J699" s="228">
        <f>SUM(J692:J698)</f>
        <v>20</v>
      </c>
      <c r="K699" s="228"/>
    </row>
    <row r="702" spans="1:12" ht="22.5">
      <c r="A702" s="625" t="s">
        <v>43</v>
      </c>
      <c r="B702" s="625" t="s">
        <v>1620</v>
      </c>
      <c r="C702" s="626" t="s">
        <v>2</v>
      </c>
      <c r="D702" s="626" t="s">
        <v>3</v>
      </c>
      <c r="E702" s="626" t="s">
        <v>4</v>
      </c>
      <c r="F702" s="626" t="s">
        <v>5</v>
      </c>
      <c r="G702" s="626" t="s">
        <v>6</v>
      </c>
      <c r="H702" s="627" t="s">
        <v>45</v>
      </c>
      <c r="I702" s="626" t="s">
        <v>8</v>
      </c>
      <c r="J702" s="628" t="s">
        <v>46</v>
      </c>
      <c r="K702" s="629" t="s">
        <v>47</v>
      </c>
    </row>
    <row r="703" spans="1:12">
      <c r="A703" s="1096" t="s">
        <v>5657</v>
      </c>
      <c r="B703" s="630" t="s">
        <v>4913</v>
      </c>
      <c r="C703" s="631" t="s">
        <v>19</v>
      </c>
      <c r="D703" s="631" t="s">
        <v>25</v>
      </c>
      <c r="E703" s="631" t="s">
        <v>307</v>
      </c>
      <c r="F703" s="632" t="s">
        <v>4939</v>
      </c>
      <c r="G703" s="633" t="s">
        <v>482</v>
      </c>
      <c r="H703" s="634" t="s">
        <v>4941</v>
      </c>
      <c r="I703" s="631" t="s">
        <v>437</v>
      </c>
      <c r="J703" s="632">
        <v>5</v>
      </c>
      <c r="K703" s="631" t="s">
        <v>631</v>
      </c>
      <c r="L703" s="505">
        <v>2500000</v>
      </c>
    </row>
    <row r="704" spans="1:12">
      <c r="A704" s="1096"/>
      <c r="B704" s="630" t="s">
        <v>4945</v>
      </c>
      <c r="C704" s="631" t="s">
        <v>19</v>
      </c>
      <c r="D704" s="631" t="s">
        <v>25</v>
      </c>
      <c r="E704" s="631" t="s">
        <v>307</v>
      </c>
      <c r="F704" s="632" t="s">
        <v>4939</v>
      </c>
      <c r="G704" s="633" t="s">
        <v>4950</v>
      </c>
      <c r="H704" s="634" t="s">
        <v>4949</v>
      </c>
      <c r="I704" s="631" t="s">
        <v>1948</v>
      </c>
      <c r="J704" s="632">
        <v>2</v>
      </c>
      <c r="K704" s="631" t="s">
        <v>631</v>
      </c>
      <c r="L704" s="530">
        <v>500000</v>
      </c>
    </row>
    <row r="705" spans="1:12">
      <c r="A705" s="1096"/>
      <c r="B705" s="630" t="s">
        <v>4913</v>
      </c>
      <c r="C705" s="631" t="s">
        <v>19</v>
      </c>
      <c r="D705" s="631" t="s">
        <v>25</v>
      </c>
      <c r="E705" s="631" t="s">
        <v>307</v>
      </c>
      <c r="F705" s="632" t="s">
        <v>4947</v>
      </c>
      <c r="G705" s="633" t="s">
        <v>115</v>
      </c>
      <c r="H705" s="634" t="s">
        <v>4949</v>
      </c>
      <c r="I705" s="631" t="s">
        <v>1948</v>
      </c>
      <c r="J705" s="632">
        <v>3</v>
      </c>
      <c r="K705" s="631" t="s">
        <v>631</v>
      </c>
      <c r="L705" s="530">
        <v>750000</v>
      </c>
    </row>
    <row r="706" spans="1:12">
      <c r="A706" s="1096"/>
      <c r="B706" s="636" t="s">
        <v>5299</v>
      </c>
      <c r="C706" s="631" t="s">
        <v>49</v>
      </c>
      <c r="D706" s="631" t="s">
        <v>151</v>
      </c>
      <c r="E706" s="631" t="s">
        <v>5254</v>
      </c>
      <c r="F706" s="632" t="s">
        <v>4939</v>
      </c>
      <c r="G706" s="633" t="s">
        <v>482</v>
      </c>
      <c r="H706" s="634" t="s">
        <v>5300</v>
      </c>
      <c r="I706" s="631" t="s">
        <v>1948</v>
      </c>
      <c r="J706" s="632">
        <v>5</v>
      </c>
      <c r="K706" s="631" t="s">
        <v>631</v>
      </c>
      <c r="L706" s="463">
        <v>1250000</v>
      </c>
    </row>
    <row r="707" spans="1:12">
      <c r="A707" s="1096"/>
      <c r="B707" s="637" t="s">
        <v>5442</v>
      </c>
      <c r="C707" s="638" t="s">
        <v>306</v>
      </c>
      <c r="D707" s="638" t="s">
        <v>322</v>
      </c>
      <c r="E707" s="639" t="s">
        <v>5400</v>
      </c>
      <c r="F707" s="639" t="s">
        <v>4938</v>
      </c>
      <c r="G707" s="639" t="s">
        <v>1911</v>
      </c>
      <c r="H707" s="639" t="s">
        <v>5401</v>
      </c>
      <c r="I707" s="640" t="s">
        <v>1111</v>
      </c>
      <c r="J707" s="641">
        <v>1</v>
      </c>
      <c r="K707" s="631" t="s">
        <v>631</v>
      </c>
      <c r="L707" s="599">
        <v>250000</v>
      </c>
    </row>
    <row r="708" spans="1:12">
      <c r="A708" s="1096"/>
      <c r="B708" s="642" t="s">
        <v>5444</v>
      </c>
      <c r="C708" s="638" t="s">
        <v>306</v>
      </c>
      <c r="D708" s="638" t="s">
        <v>322</v>
      </c>
      <c r="E708" s="639" t="s">
        <v>5400</v>
      </c>
      <c r="F708" s="643" t="s">
        <v>4938</v>
      </c>
      <c r="G708" s="643" t="s">
        <v>1911</v>
      </c>
      <c r="H708" s="643" t="s">
        <v>5402</v>
      </c>
      <c r="I708" s="640" t="s">
        <v>1111</v>
      </c>
      <c r="J708" s="641">
        <v>5</v>
      </c>
      <c r="K708" s="631" t="s">
        <v>631</v>
      </c>
      <c r="L708" s="599">
        <v>2500000</v>
      </c>
    </row>
    <row r="709" spans="1:12">
      <c r="A709" s="1096"/>
      <c r="B709" s="639" t="s">
        <v>5445</v>
      </c>
      <c r="C709" s="640" t="s">
        <v>306</v>
      </c>
      <c r="D709" s="640" t="s">
        <v>322</v>
      </c>
      <c r="E709" s="640" t="s">
        <v>5400</v>
      </c>
      <c r="F709" s="643" t="s">
        <v>4938</v>
      </c>
      <c r="G709" s="643" t="s">
        <v>1911</v>
      </c>
      <c r="H709" s="643" t="s">
        <v>5446</v>
      </c>
      <c r="I709" s="640" t="s">
        <v>5447</v>
      </c>
      <c r="J709" s="641">
        <v>3</v>
      </c>
      <c r="K709" s="631" t="s">
        <v>631</v>
      </c>
      <c r="L709" s="599">
        <v>750000</v>
      </c>
    </row>
    <row r="710" spans="1:12">
      <c r="A710" s="1096"/>
      <c r="B710" s="639" t="s">
        <v>5453</v>
      </c>
      <c r="C710" s="640" t="s">
        <v>306</v>
      </c>
      <c r="D710" s="640" t="s">
        <v>322</v>
      </c>
      <c r="E710" s="640" t="s">
        <v>5400</v>
      </c>
      <c r="F710" s="643" t="s">
        <v>5454</v>
      </c>
      <c r="G710" s="643" t="s">
        <v>3113</v>
      </c>
      <c r="H710" s="643" t="s">
        <v>5455</v>
      </c>
      <c r="I710" s="640" t="s">
        <v>5447</v>
      </c>
      <c r="J710" s="641">
        <v>2</v>
      </c>
      <c r="K710" s="631" t="s">
        <v>631</v>
      </c>
      <c r="L710" s="599">
        <v>500000</v>
      </c>
    </row>
    <row r="711" spans="1:12">
      <c r="A711" s="1096"/>
      <c r="B711" s="635">
        <v>46123</v>
      </c>
      <c r="C711" s="638" t="s">
        <v>306</v>
      </c>
      <c r="D711" s="638" t="s">
        <v>322</v>
      </c>
      <c r="E711" s="639" t="s">
        <v>5400</v>
      </c>
      <c r="F711" s="639" t="s">
        <v>4938</v>
      </c>
      <c r="G711" s="639" t="s">
        <v>1911</v>
      </c>
      <c r="H711" s="639" t="s">
        <v>5401</v>
      </c>
      <c r="I711" s="638" t="s">
        <v>1111</v>
      </c>
      <c r="J711" s="644">
        <v>1</v>
      </c>
      <c r="K711" s="631" t="s">
        <v>631</v>
      </c>
      <c r="L711" s="392">
        <v>250000</v>
      </c>
    </row>
    <row r="712" spans="1:12">
      <c r="A712" s="1096"/>
      <c r="B712" s="636" t="s">
        <v>5505</v>
      </c>
      <c r="C712" s="645" t="s">
        <v>124</v>
      </c>
      <c r="D712" s="645" t="s">
        <v>151</v>
      </c>
      <c r="E712" s="646" t="s">
        <v>5254</v>
      </c>
      <c r="F712" s="647">
        <v>1614</v>
      </c>
      <c r="G712" s="639" t="s">
        <v>1911</v>
      </c>
      <c r="H712" s="648" t="s">
        <v>1105</v>
      </c>
      <c r="I712" s="645" t="s">
        <v>1259</v>
      </c>
      <c r="J712" s="647">
        <v>4</v>
      </c>
      <c r="K712" s="631" t="s">
        <v>631</v>
      </c>
      <c r="L712" s="96">
        <v>1250000</v>
      </c>
    </row>
    <row r="713" spans="1:12">
      <c r="A713" s="1096"/>
      <c r="B713" s="636" t="s">
        <v>5505</v>
      </c>
      <c r="C713" s="645" t="s">
        <v>124</v>
      </c>
      <c r="D713" s="645" t="s">
        <v>151</v>
      </c>
      <c r="E713" s="646" t="s">
        <v>5254</v>
      </c>
      <c r="F713" s="647" t="s">
        <v>5506</v>
      </c>
      <c r="G713" s="649" t="s">
        <v>482</v>
      </c>
      <c r="H713" s="648" t="s">
        <v>378</v>
      </c>
      <c r="I713" s="645" t="s">
        <v>812</v>
      </c>
      <c r="J713" s="647">
        <v>5</v>
      </c>
      <c r="K713" s="631" t="s">
        <v>631</v>
      </c>
      <c r="L713" s="96">
        <v>1250000</v>
      </c>
    </row>
    <row r="714" spans="1:12">
      <c r="A714" s="1096"/>
      <c r="B714" s="636">
        <v>46132</v>
      </c>
      <c r="C714" s="645" t="s">
        <v>306</v>
      </c>
      <c r="D714" s="645" t="s">
        <v>322</v>
      </c>
      <c r="E714" s="648" t="s">
        <v>5400</v>
      </c>
      <c r="F714" s="634" t="s">
        <v>5092</v>
      </c>
      <c r="G714" s="634" t="s">
        <v>347</v>
      </c>
      <c r="H714" s="634" t="s">
        <v>5452</v>
      </c>
      <c r="I714" s="631" t="s">
        <v>1534</v>
      </c>
      <c r="J714" s="647">
        <v>1</v>
      </c>
      <c r="K714" s="631" t="s">
        <v>631</v>
      </c>
      <c r="L714" s="392">
        <v>500000</v>
      </c>
    </row>
    <row r="715" spans="1:12">
      <c r="A715" s="1096"/>
      <c r="B715" s="636" t="s">
        <v>5571</v>
      </c>
      <c r="C715" s="645" t="s">
        <v>306</v>
      </c>
      <c r="D715" s="645" t="s">
        <v>322</v>
      </c>
      <c r="E715" s="648" t="s">
        <v>5400</v>
      </c>
      <c r="F715" s="648" t="s">
        <v>5572</v>
      </c>
      <c r="G715" s="648" t="s">
        <v>102</v>
      </c>
      <c r="H715" s="648" t="s">
        <v>1105</v>
      </c>
      <c r="I715" s="631" t="s">
        <v>1534</v>
      </c>
      <c r="J715" s="647">
        <v>4</v>
      </c>
      <c r="K715" s="631" t="s">
        <v>631</v>
      </c>
      <c r="L715" s="392">
        <v>1000000</v>
      </c>
    </row>
    <row r="716" spans="1:12" ht="17.25" customHeight="1">
      <c r="A716" s="1097"/>
      <c r="B716" s="636" t="s">
        <v>5571</v>
      </c>
      <c r="C716" s="645" t="s">
        <v>306</v>
      </c>
      <c r="D716" s="645" t="s">
        <v>322</v>
      </c>
      <c r="E716" s="648" t="s">
        <v>5400</v>
      </c>
      <c r="F716" s="647">
        <v>8263</v>
      </c>
      <c r="G716" s="648" t="s">
        <v>482</v>
      </c>
      <c r="H716" s="648" t="s">
        <v>1105</v>
      </c>
      <c r="I716" s="631" t="s">
        <v>1534</v>
      </c>
      <c r="J716" s="645">
        <v>3</v>
      </c>
      <c r="K716" s="631" t="s">
        <v>631</v>
      </c>
      <c r="L716" s="392">
        <v>1250000</v>
      </c>
    </row>
    <row r="717" spans="1:12">
      <c r="A717" s="1098" t="s">
        <v>1646</v>
      </c>
      <c r="B717" s="1098"/>
      <c r="C717" s="1098"/>
      <c r="D717" s="1098"/>
      <c r="E717" s="1098"/>
      <c r="F717" s="1098"/>
      <c r="G717" s="1098"/>
      <c r="H717" s="1098"/>
      <c r="I717" s="1098"/>
      <c r="J717" s="645">
        <f>SUM(J703:J716)</f>
        <v>44</v>
      </c>
      <c r="K717" s="651"/>
      <c r="L717" s="624">
        <f>SUM(L703:L716)</f>
        <v>14500000</v>
      </c>
    </row>
    <row r="722" spans="1:12" ht="22.5">
      <c r="A722" s="625" t="s">
        <v>43</v>
      </c>
      <c r="B722" s="625" t="s">
        <v>1620</v>
      </c>
      <c r="C722" s="626" t="s">
        <v>2</v>
      </c>
      <c r="D722" s="626" t="s">
        <v>3</v>
      </c>
      <c r="E722" s="626" t="s">
        <v>4</v>
      </c>
      <c r="F722" s="626" t="s">
        <v>5</v>
      </c>
      <c r="G722" s="626" t="s">
        <v>6</v>
      </c>
      <c r="H722" s="627" t="s">
        <v>45</v>
      </c>
      <c r="I722" s="626" t="s">
        <v>8</v>
      </c>
      <c r="J722" s="628" t="s">
        <v>46</v>
      </c>
      <c r="K722" s="629" t="s">
        <v>47</v>
      </c>
    </row>
    <row r="723" spans="1:12">
      <c r="A723" s="1157" t="s">
        <v>739</v>
      </c>
      <c r="B723" s="657">
        <v>46106</v>
      </c>
      <c r="C723" s="658" t="s">
        <v>19</v>
      </c>
      <c r="D723" s="658" t="s">
        <v>151</v>
      </c>
      <c r="E723" s="658" t="s">
        <v>5254</v>
      </c>
      <c r="F723" s="659">
        <v>594</v>
      </c>
      <c r="G723" s="660" t="s">
        <v>264</v>
      </c>
      <c r="H723" s="661" t="s">
        <v>5255</v>
      </c>
      <c r="I723" s="658" t="s">
        <v>168</v>
      </c>
      <c r="J723" s="631">
        <v>1</v>
      </c>
      <c r="K723" s="631" t="s">
        <v>50</v>
      </c>
    </row>
    <row r="724" spans="1:12">
      <c r="A724" s="1158"/>
      <c r="B724" s="657" t="s">
        <v>5301</v>
      </c>
      <c r="C724" s="658" t="s">
        <v>49</v>
      </c>
      <c r="D724" s="658" t="s">
        <v>151</v>
      </c>
      <c r="E724" s="658" t="s">
        <v>5254</v>
      </c>
      <c r="F724" s="659" t="s">
        <v>2959</v>
      </c>
      <c r="G724" s="660" t="s">
        <v>143</v>
      </c>
      <c r="H724" s="661" t="s">
        <v>1105</v>
      </c>
      <c r="I724" s="658" t="s">
        <v>1259</v>
      </c>
      <c r="J724" s="631">
        <v>2</v>
      </c>
      <c r="K724" s="631" t="s">
        <v>50</v>
      </c>
    </row>
    <row r="725" spans="1:12">
      <c r="A725" s="1158"/>
      <c r="B725" s="657" t="s">
        <v>5302</v>
      </c>
      <c r="C725" s="658" t="s">
        <v>49</v>
      </c>
      <c r="D725" s="658" t="s">
        <v>151</v>
      </c>
      <c r="E725" s="658" t="s">
        <v>5254</v>
      </c>
      <c r="F725" s="659" t="s">
        <v>4947</v>
      </c>
      <c r="G725" s="660" t="s">
        <v>102</v>
      </c>
      <c r="H725" s="661" t="s">
        <v>2497</v>
      </c>
      <c r="I725" s="658" t="s">
        <v>1259</v>
      </c>
      <c r="J725" s="631">
        <v>2</v>
      </c>
      <c r="K725" s="631" t="s">
        <v>50</v>
      </c>
    </row>
    <row r="726" spans="1:12">
      <c r="A726" s="1158"/>
      <c r="B726" s="662" t="s">
        <v>5442</v>
      </c>
      <c r="C726" s="663" t="s">
        <v>306</v>
      </c>
      <c r="D726" s="663" t="s">
        <v>322</v>
      </c>
      <c r="E726" s="662" t="s">
        <v>5400</v>
      </c>
      <c r="F726" s="661" t="s">
        <v>4964</v>
      </c>
      <c r="G726" s="661" t="s">
        <v>347</v>
      </c>
      <c r="H726" s="661" t="s">
        <v>4915</v>
      </c>
      <c r="I726" s="658" t="s">
        <v>1534</v>
      </c>
      <c r="J726" s="631">
        <v>1</v>
      </c>
      <c r="K726" s="631" t="s">
        <v>50</v>
      </c>
    </row>
    <row r="727" spans="1:12">
      <c r="A727" s="1158"/>
      <c r="B727" s="662" t="s">
        <v>5448</v>
      </c>
      <c r="C727" s="663" t="s">
        <v>306</v>
      </c>
      <c r="D727" s="663" t="s">
        <v>322</v>
      </c>
      <c r="E727" s="662" t="s">
        <v>5400</v>
      </c>
      <c r="F727" s="661" t="s">
        <v>5449</v>
      </c>
      <c r="G727" s="661" t="s">
        <v>662</v>
      </c>
      <c r="H727" s="661" t="s">
        <v>5450</v>
      </c>
      <c r="I727" s="658" t="s">
        <v>1534</v>
      </c>
      <c r="J727" s="631">
        <v>1</v>
      </c>
      <c r="K727" s="631" t="s">
        <v>50</v>
      </c>
    </row>
    <row r="728" spans="1:12">
      <c r="A728" s="1158"/>
      <c r="B728" s="662" t="s">
        <v>5451</v>
      </c>
      <c r="C728" s="663" t="s">
        <v>306</v>
      </c>
      <c r="D728" s="663" t="s">
        <v>322</v>
      </c>
      <c r="E728" s="662" t="s">
        <v>5400</v>
      </c>
      <c r="F728" s="661" t="s">
        <v>5092</v>
      </c>
      <c r="G728" s="661" t="s">
        <v>347</v>
      </c>
      <c r="H728" s="661" t="s">
        <v>5452</v>
      </c>
      <c r="I728" s="658" t="s">
        <v>1534</v>
      </c>
      <c r="J728" s="631">
        <v>4</v>
      </c>
      <c r="K728" s="631" t="s">
        <v>50</v>
      </c>
    </row>
    <row r="729" spans="1:12">
      <c r="A729" s="1158"/>
      <c r="B729" s="657">
        <v>46125</v>
      </c>
      <c r="C729" s="663" t="s">
        <v>19</v>
      </c>
      <c r="D729" s="663" t="s">
        <v>322</v>
      </c>
      <c r="E729" s="662" t="s">
        <v>5400</v>
      </c>
      <c r="F729" s="662" t="s">
        <v>3589</v>
      </c>
      <c r="G729" s="662" t="s">
        <v>482</v>
      </c>
      <c r="H729" s="664" t="s">
        <v>5326</v>
      </c>
      <c r="I729" s="663" t="s">
        <v>168</v>
      </c>
      <c r="J729" s="645">
        <v>1</v>
      </c>
      <c r="K729" s="631" t="s">
        <v>50</v>
      </c>
    </row>
    <row r="730" spans="1:12">
      <c r="A730" s="1159"/>
      <c r="B730" s="657" t="s">
        <v>5505</v>
      </c>
      <c r="C730" s="663" t="s">
        <v>19</v>
      </c>
      <c r="D730" s="663" t="s">
        <v>151</v>
      </c>
      <c r="E730" s="665" t="s">
        <v>5254</v>
      </c>
      <c r="F730" s="666">
        <v>1614</v>
      </c>
      <c r="G730" s="662" t="s">
        <v>1911</v>
      </c>
      <c r="H730" s="662" t="s">
        <v>1105</v>
      </c>
      <c r="I730" s="663" t="s">
        <v>1259</v>
      </c>
      <c r="J730" s="645">
        <v>2</v>
      </c>
      <c r="K730" s="631" t="s">
        <v>50</v>
      </c>
    </row>
    <row r="731" spans="1:12">
      <c r="A731" s="1098" t="s">
        <v>1646</v>
      </c>
      <c r="B731" s="1098"/>
      <c r="C731" s="1098"/>
      <c r="D731" s="1098"/>
      <c r="E731" s="1098"/>
      <c r="F731" s="1098"/>
      <c r="G731" s="1098"/>
      <c r="H731" s="1098"/>
      <c r="I731" s="1098"/>
      <c r="J731" s="645">
        <f>SUM(J723:J730)</f>
        <v>14</v>
      </c>
      <c r="K731" s="651"/>
      <c r="L731" s="624">
        <f>SUM(L717:L730)</f>
        <v>14500000</v>
      </c>
    </row>
    <row r="735" spans="1:12" ht="22.5">
      <c r="A735" s="625" t="s">
        <v>43</v>
      </c>
      <c r="B735" s="625" t="s">
        <v>1620</v>
      </c>
      <c r="C735" s="626" t="s">
        <v>2</v>
      </c>
      <c r="D735" s="626" t="s">
        <v>3</v>
      </c>
      <c r="E735" s="626" t="s">
        <v>4</v>
      </c>
      <c r="F735" s="626" t="s">
        <v>5</v>
      </c>
      <c r="G735" s="626" t="s">
        <v>6</v>
      </c>
      <c r="H735" s="627" t="s">
        <v>45</v>
      </c>
      <c r="I735" s="626" t="s">
        <v>8</v>
      </c>
      <c r="J735" s="628" t="s">
        <v>46</v>
      </c>
      <c r="K735" s="629" t="s">
        <v>47</v>
      </c>
    </row>
    <row r="736" spans="1:12">
      <c r="A736" s="1160" t="s">
        <v>5675</v>
      </c>
      <c r="B736" s="657">
        <v>46107</v>
      </c>
      <c r="C736" s="645" t="s">
        <v>21</v>
      </c>
      <c r="D736" s="645" t="s">
        <v>14</v>
      </c>
      <c r="E736" s="646" t="s">
        <v>107</v>
      </c>
      <c r="F736" s="646" t="s">
        <v>1968</v>
      </c>
      <c r="G736" s="649" t="s">
        <v>376</v>
      </c>
      <c r="H736" s="650" t="s">
        <v>303</v>
      </c>
      <c r="I736" s="646" t="s">
        <v>90</v>
      </c>
      <c r="J736" s="650">
        <v>1</v>
      </c>
      <c r="K736" s="631" t="s">
        <v>50</v>
      </c>
    </row>
    <row r="737" spans="1:12">
      <c r="A737" s="1160"/>
      <c r="B737" s="662" t="s">
        <v>5459</v>
      </c>
      <c r="C737" s="663" t="s">
        <v>311</v>
      </c>
      <c r="D737" s="663" t="s">
        <v>320</v>
      </c>
      <c r="E737" s="662" t="s">
        <v>690</v>
      </c>
      <c r="F737" s="662" t="s">
        <v>5004</v>
      </c>
      <c r="G737" s="662" t="s">
        <v>1198</v>
      </c>
      <c r="H737" s="664" t="s">
        <v>5460</v>
      </c>
      <c r="I737" s="631" t="s">
        <v>638</v>
      </c>
      <c r="J737" s="631">
        <v>1</v>
      </c>
      <c r="K737" s="631" t="s">
        <v>50</v>
      </c>
    </row>
    <row r="738" spans="1:12" ht="45">
      <c r="A738" s="1160"/>
      <c r="B738" s="662" t="s">
        <v>5462</v>
      </c>
      <c r="C738" s="663" t="s">
        <v>311</v>
      </c>
      <c r="D738" s="663" t="s">
        <v>675</v>
      </c>
      <c r="E738" s="662" t="s">
        <v>720</v>
      </c>
      <c r="F738" s="662">
        <v>7060</v>
      </c>
      <c r="G738" s="662" t="s">
        <v>371</v>
      </c>
      <c r="H738" s="661" t="s">
        <v>5463</v>
      </c>
      <c r="I738" s="648" t="s">
        <v>638</v>
      </c>
      <c r="J738" s="648">
        <v>1</v>
      </c>
      <c r="K738" s="631" t="s">
        <v>50</v>
      </c>
    </row>
    <row r="739" spans="1:12">
      <c r="A739" s="1160"/>
      <c r="B739" s="662" t="s">
        <v>5462</v>
      </c>
      <c r="C739" s="663" t="s">
        <v>311</v>
      </c>
      <c r="D739" s="663" t="s">
        <v>320</v>
      </c>
      <c r="E739" s="662" t="s">
        <v>337</v>
      </c>
      <c r="F739" s="662" t="s">
        <v>3054</v>
      </c>
      <c r="G739" s="662" t="s">
        <v>354</v>
      </c>
      <c r="H739" s="662" t="s">
        <v>310</v>
      </c>
      <c r="I739" s="648" t="s">
        <v>5465</v>
      </c>
      <c r="J739" s="648">
        <v>2</v>
      </c>
      <c r="K739" s="631" t="s">
        <v>50</v>
      </c>
    </row>
    <row r="740" spans="1:12">
      <c r="A740" s="1160"/>
      <c r="B740" s="662" t="s">
        <v>5467</v>
      </c>
      <c r="C740" s="663" t="s">
        <v>311</v>
      </c>
      <c r="D740" s="663" t="s">
        <v>320</v>
      </c>
      <c r="E740" s="662" t="s">
        <v>337</v>
      </c>
      <c r="F740" s="662" t="s">
        <v>3054</v>
      </c>
      <c r="G740" s="662" t="s">
        <v>354</v>
      </c>
      <c r="H740" s="662" t="s">
        <v>310</v>
      </c>
      <c r="I740" s="648" t="s">
        <v>5465</v>
      </c>
      <c r="J740" s="648">
        <v>2</v>
      </c>
      <c r="K740" s="631" t="s">
        <v>50</v>
      </c>
    </row>
    <row r="741" spans="1:12" ht="21">
      <c r="A741" s="1160"/>
      <c r="B741" s="662" t="s">
        <v>5468</v>
      </c>
      <c r="C741" s="663" t="s">
        <v>311</v>
      </c>
      <c r="D741" s="663" t="s">
        <v>320</v>
      </c>
      <c r="E741" s="667" t="s">
        <v>5469</v>
      </c>
      <c r="F741" s="662" t="s">
        <v>5060</v>
      </c>
      <c r="G741" s="662" t="s">
        <v>354</v>
      </c>
      <c r="H741" s="662" t="s">
        <v>310</v>
      </c>
      <c r="I741" s="648" t="s">
        <v>5465</v>
      </c>
      <c r="J741" s="648">
        <v>2</v>
      </c>
      <c r="K741" s="631" t="s">
        <v>50</v>
      </c>
    </row>
    <row r="742" spans="1:12" ht="21">
      <c r="A742" s="1160"/>
      <c r="B742" s="662" t="s">
        <v>5470</v>
      </c>
      <c r="C742" s="663" t="s">
        <v>311</v>
      </c>
      <c r="D742" s="663" t="s">
        <v>320</v>
      </c>
      <c r="E742" s="667" t="s">
        <v>5469</v>
      </c>
      <c r="F742" s="662" t="s">
        <v>5060</v>
      </c>
      <c r="G742" s="662" t="s">
        <v>354</v>
      </c>
      <c r="H742" s="662" t="s">
        <v>310</v>
      </c>
      <c r="I742" s="648" t="s">
        <v>5465</v>
      </c>
      <c r="J742" s="648">
        <v>2</v>
      </c>
      <c r="K742" s="631" t="s">
        <v>50</v>
      </c>
    </row>
    <row r="743" spans="1:12">
      <c r="A743" s="1160"/>
      <c r="B743" s="657">
        <v>46120</v>
      </c>
      <c r="C743" s="663" t="s">
        <v>21</v>
      </c>
      <c r="D743" s="663" t="s">
        <v>14</v>
      </c>
      <c r="E743" s="665" t="s">
        <v>107</v>
      </c>
      <c r="F743" s="665" t="s">
        <v>2959</v>
      </c>
      <c r="G743" s="668" t="s">
        <v>143</v>
      </c>
      <c r="H743" s="666" t="s">
        <v>271</v>
      </c>
      <c r="I743" s="646"/>
      <c r="J743" s="646">
        <v>1</v>
      </c>
      <c r="K743" s="631" t="s">
        <v>50</v>
      </c>
    </row>
    <row r="744" spans="1:12">
      <c r="A744" s="1160"/>
      <c r="B744" s="657">
        <v>46125</v>
      </c>
      <c r="C744" s="663" t="s">
        <v>24</v>
      </c>
      <c r="D744" s="663" t="s">
        <v>14</v>
      </c>
      <c r="E744" s="665" t="s">
        <v>78</v>
      </c>
      <c r="F744" s="666" t="s">
        <v>3008</v>
      </c>
      <c r="G744" s="668" t="s">
        <v>1382</v>
      </c>
      <c r="H744" s="666" t="s">
        <v>5359</v>
      </c>
      <c r="I744" s="646" t="s">
        <v>202</v>
      </c>
      <c r="J744" s="646">
        <v>1</v>
      </c>
      <c r="K744" s="631" t="s">
        <v>50</v>
      </c>
    </row>
    <row r="745" spans="1:12">
      <c r="A745" s="1160"/>
      <c r="B745" s="657">
        <v>46125</v>
      </c>
      <c r="C745" s="663" t="s">
        <v>24</v>
      </c>
      <c r="D745" s="663" t="s">
        <v>14</v>
      </c>
      <c r="E745" s="646" t="s">
        <v>1787</v>
      </c>
      <c r="F745" s="665" t="s">
        <v>2135</v>
      </c>
      <c r="G745" s="649" t="s">
        <v>67</v>
      </c>
      <c r="H745" s="666" t="s">
        <v>5480</v>
      </c>
      <c r="I745" s="646" t="s">
        <v>90</v>
      </c>
      <c r="J745" s="650">
        <v>1</v>
      </c>
      <c r="K745" s="631" t="s">
        <v>50</v>
      </c>
    </row>
    <row r="746" spans="1:12" ht="36">
      <c r="A746" s="1160"/>
      <c r="B746" s="657">
        <v>46126</v>
      </c>
      <c r="C746" s="663" t="s">
        <v>24</v>
      </c>
      <c r="D746" s="663" t="s">
        <v>31</v>
      </c>
      <c r="E746" s="666" t="s">
        <v>78</v>
      </c>
      <c r="F746" s="666" t="s">
        <v>3900</v>
      </c>
      <c r="G746" s="668" t="s">
        <v>36</v>
      </c>
      <c r="H746" s="666" t="s">
        <v>5483</v>
      </c>
      <c r="I746" s="650" t="s">
        <v>5484</v>
      </c>
      <c r="J746" s="650">
        <v>1</v>
      </c>
      <c r="K746" s="631" t="s">
        <v>50</v>
      </c>
    </row>
    <row r="747" spans="1:12">
      <c r="A747" s="1160"/>
      <c r="B747" s="657">
        <v>46128</v>
      </c>
      <c r="C747" s="645" t="s">
        <v>21</v>
      </c>
      <c r="D747" s="645" t="s">
        <v>14</v>
      </c>
      <c r="E747" s="646" t="s">
        <v>107</v>
      </c>
      <c r="F747" s="646" t="s">
        <v>1968</v>
      </c>
      <c r="G747" s="649" t="s">
        <v>376</v>
      </c>
      <c r="H747" s="650" t="s">
        <v>4843</v>
      </c>
      <c r="I747" s="646" t="s">
        <v>90</v>
      </c>
      <c r="J747" s="646">
        <v>2</v>
      </c>
      <c r="K747" s="631" t="s">
        <v>50</v>
      </c>
    </row>
    <row r="748" spans="1:12">
      <c r="A748" s="1160"/>
      <c r="B748" s="657">
        <v>46128</v>
      </c>
      <c r="C748" s="663" t="s">
        <v>24</v>
      </c>
      <c r="D748" s="663" t="s">
        <v>14</v>
      </c>
      <c r="E748" s="646" t="s">
        <v>1787</v>
      </c>
      <c r="F748" s="665" t="s">
        <v>2817</v>
      </c>
      <c r="G748" s="649" t="s">
        <v>23</v>
      </c>
      <c r="H748" s="666" t="s">
        <v>5434</v>
      </c>
      <c r="I748" s="646"/>
      <c r="J748" s="650">
        <v>2</v>
      </c>
      <c r="K748" s="631" t="s">
        <v>50</v>
      </c>
    </row>
    <row r="749" spans="1:12">
      <c r="A749" s="1098" t="s">
        <v>1646</v>
      </c>
      <c r="B749" s="1098"/>
      <c r="C749" s="1098"/>
      <c r="D749" s="1098"/>
      <c r="E749" s="1098"/>
      <c r="F749" s="1098"/>
      <c r="G749" s="1098"/>
      <c r="H749" s="1098"/>
      <c r="I749" s="1098"/>
      <c r="J749" s="645">
        <f>SUM(J736:J748)</f>
        <v>19</v>
      </c>
      <c r="K749" s="651"/>
      <c r="L749" s="624">
        <f>SUM(L735:L748)</f>
        <v>0</v>
      </c>
    </row>
    <row r="750" spans="1:12">
      <c r="K750" s="109"/>
    </row>
    <row r="752" spans="1:12" ht="22.5">
      <c r="A752" s="625" t="s">
        <v>43</v>
      </c>
      <c r="B752" s="625" t="s">
        <v>1620</v>
      </c>
      <c r="C752" s="626" t="s">
        <v>2</v>
      </c>
      <c r="D752" s="626" t="s">
        <v>3</v>
      </c>
      <c r="E752" s="626" t="s">
        <v>4</v>
      </c>
      <c r="F752" s="626" t="s">
        <v>5</v>
      </c>
      <c r="G752" s="626" t="s">
        <v>6</v>
      </c>
      <c r="H752" s="627" t="s">
        <v>45</v>
      </c>
      <c r="I752" s="626" t="s">
        <v>8</v>
      </c>
      <c r="J752" s="628" t="s">
        <v>46</v>
      </c>
      <c r="K752" s="629" t="s">
        <v>47</v>
      </c>
    </row>
    <row r="753" spans="1:12">
      <c r="A753" s="1161" t="s">
        <v>5678</v>
      </c>
      <c r="B753" s="669" t="s">
        <v>5676</v>
      </c>
      <c r="C753" s="632" t="s">
        <v>49</v>
      </c>
      <c r="D753" s="632" t="s">
        <v>151</v>
      </c>
      <c r="E753" s="632" t="s">
        <v>5254</v>
      </c>
      <c r="F753" s="632" t="s">
        <v>4939</v>
      </c>
      <c r="G753" s="633" t="s">
        <v>482</v>
      </c>
      <c r="H753" s="632" t="s">
        <v>5298</v>
      </c>
      <c r="I753" s="632" t="s">
        <v>126</v>
      </c>
      <c r="J753" s="632">
        <v>2</v>
      </c>
      <c r="K753" s="631" t="s">
        <v>50</v>
      </c>
    </row>
    <row r="754" spans="1:12">
      <c r="A754" s="1162"/>
      <c r="B754" s="669">
        <v>46113</v>
      </c>
      <c r="C754" s="632" t="s">
        <v>49</v>
      </c>
      <c r="D754" s="632" t="s">
        <v>151</v>
      </c>
      <c r="E754" s="632" t="s">
        <v>5254</v>
      </c>
      <c r="F754" s="632">
        <v>1614</v>
      </c>
      <c r="G754" s="633" t="s">
        <v>482</v>
      </c>
      <c r="H754" s="632" t="s">
        <v>378</v>
      </c>
      <c r="I754" s="632" t="s">
        <v>126</v>
      </c>
      <c r="J754" s="632">
        <v>1</v>
      </c>
      <c r="K754" s="631" t="s">
        <v>50</v>
      </c>
    </row>
    <row r="755" spans="1:12">
      <c r="A755" s="1162"/>
      <c r="B755" s="632" t="s">
        <v>5444</v>
      </c>
      <c r="C755" s="632" t="s">
        <v>306</v>
      </c>
      <c r="D755" s="632" t="s">
        <v>322</v>
      </c>
      <c r="E755" s="632" t="s">
        <v>5400</v>
      </c>
      <c r="F755" s="632" t="s">
        <v>4938</v>
      </c>
      <c r="G755" s="632" t="s">
        <v>1911</v>
      </c>
      <c r="H755" s="632" t="s">
        <v>4941</v>
      </c>
      <c r="I755" s="632" t="s">
        <v>1111</v>
      </c>
      <c r="J755" s="632">
        <v>5</v>
      </c>
      <c r="K755" s="631" t="s">
        <v>50</v>
      </c>
    </row>
    <row r="756" spans="1:12">
      <c r="A756" s="1162"/>
      <c r="B756" s="669" t="s">
        <v>5505</v>
      </c>
      <c r="C756" s="632" t="s">
        <v>19</v>
      </c>
      <c r="D756" s="632" t="s">
        <v>151</v>
      </c>
      <c r="E756" s="670" t="s">
        <v>5254</v>
      </c>
      <c r="F756" s="632" t="s">
        <v>5506</v>
      </c>
      <c r="G756" s="633" t="s">
        <v>18</v>
      </c>
      <c r="H756" s="632" t="s">
        <v>378</v>
      </c>
      <c r="I756" s="632" t="s">
        <v>168</v>
      </c>
      <c r="J756" s="632">
        <v>5</v>
      </c>
      <c r="K756" s="631" t="s">
        <v>50</v>
      </c>
    </row>
    <row r="757" spans="1:12">
      <c r="A757" s="1162"/>
      <c r="B757" s="669" t="s">
        <v>5574</v>
      </c>
      <c r="C757" s="632" t="s">
        <v>306</v>
      </c>
      <c r="D757" s="632" t="s">
        <v>322</v>
      </c>
      <c r="E757" s="632" t="s">
        <v>5400</v>
      </c>
      <c r="F757" s="632">
        <v>7063</v>
      </c>
      <c r="G757" s="632" t="s">
        <v>1391</v>
      </c>
      <c r="H757" s="632" t="s">
        <v>378</v>
      </c>
      <c r="I757" s="632" t="s">
        <v>168</v>
      </c>
      <c r="J757" s="632">
        <v>3</v>
      </c>
      <c r="K757" s="631" t="s">
        <v>50</v>
      </c>
    </row>
    <row r="758" spans="1:12">
      <c r="A758" s="1162"/>
      <c r="B758" s="669" t="s">
        <v>5571</v>
      </c>
      <c r="C758" s="632" t="s">
        <v>306</v>
      </c>
      <c r="D758" s="632" t="s">
        <v>322</v>
      </c>
      <c r="E758" s="632" t="s">
        <v>5400</v>
      </c>
      <c r="F758" s="632">
        <v>8263</v>
      </c>
      <c r="G758" s="632" t="s">
        <v>482</v>
      </c>
      <c r="H758" s="632" t="s">
        <v>1105</v>
      </c>
      <c r="I758" s="632" t="s">
        <v>1534</v>
      </c>
      <c r="J758" s="632">
        <v>2</v>
      </c>
      <c r="K758" s="631" t="s">
        <v>50</v>
      </c>
    </row>
    <row r="759" spans="1:12">
      <c r="A759" s="1162"/>
      <c r="B759" s="669">
        <v>46139</v>
      </c>
      <c r="C759" s="632" t="s">
        <v>306</v>
      </c>
      <c r="D759" s="632" t="s">
        <v>322</v>
      </c>
      <c r="E759" s="632" t="s">
        <v>5400</v>
      </c>
      <c r="F759" s="632" t="s">
        <v>3244</v>
      </c>
      <c r="G759" s="632" t="s">
        <v>23</v>
      </c>
      <c r="H759" s="632" t="s">
        <v>5599</v>
      </c>
      <c r="I759" s="632" t="s">
        <v>168</v>
      </c>
      <c r="J759" s="632">
        <v>1</v>
      </c>
      <c r="K759" s="631" t="s">
        <v>50</v>
      </c>
    </row>
    <row r="760" spans="1:12">
      <c r="A760" s="1162"/>
      <c r="B760" s="669" t="s">
        <v>5601</v>
      </c>
      <c r="C760" s="632" t="s">
        <v>306</v>
      </c>
      <c r="D760" s="632" t="s">
        <v>322</v>
      </c>
      <c r="E760" s="632" t="s">
        <v>5400</v>
      </c>
      <c r="F760" s="632">
        <v>7063</v>
      </c>
      <c r="G760" s="632" t="s">
        <v>1391</v>
      </c>
      <c r="H760" s="632" t="s">
        <v>2962</v>
      </c>
      <c r="I760" s="632" t="s">
        <v>1948</v>
      </c>
      <c r="J760" s="632">
        <v>3</v>
      </c>
      <c r="K760" s="631" t="s">
        <v>50</v>
      </c>
    </row>
    <row r="761" spans="1:12">
      <c r="A761" s="1163"/>
      <c r="B761" s="669">
        <v>46125</v>
      </c>
      <c r="C761" s="632" t="s">
        <v>5679</v>
      </c>
      <c r="D761" s="632" t="s">
        <v>14</v>
      </c>
      <c r="E761" s="632" t="s">
        <v>5680</v>
      </c>
      <c r="F761" s="632" t="s">
        <v>5681</v>
      </c>
      <c r="G761" s="632" t="s">
        <v>5682</v>
      </c>
      <c r="H761" s="632" t="s">
        <v>5683</v>
      </c>
      <c r="I761" s="632" t="s">
        <v>5684</v>
      </c>
      <c r="J761" s="632">
        <v>1</v>
      </c>
      <c r="K761" s="673" t="s">
        <v>5685</v>
      </c>
    </row>
    <row r="762" spans="1:12">
      <c r="A762" s="1155" t="s">
        <v>1646</v>
      </c>
      <c r="B762" s="1155"/>
      <c r="C762" s="1155"/>
      <c r="D762" s="1155"/>
      <c r="E762" s="1155"/>
      <c r="F762" s="1155"/>
      <c r="G762" s="1155"/>
      <c r="H762" s="1155"/>
      <c r="I762" s="1155"/>
      <c r="J762" s="631">
        <f>SUM(J753:J761)</f>
        <v>23</v>
      </c>
      <c r="K762" s="672"/>
      <c r="L762" s="624">
        <f>SUM(L748:L760)</f>
        <v>0</v>
      </c>
    </row>
    <row r="763" spans="1:12">
      <c r="J763" s="222"/>
    </row>
    <row r="764" spans="1:12" ht="22.5">
      <c r="A764" s="625" t="s">
        <v>43</v>
      </c>
      <c r="B764" s="625" t="s">
        <v>1620</v>
      </c>
      <c r="C764" s="626" t="s">
        <v>2</v>
      </c>
      <c r="D764" s="626" t="s">
        <v>3</v>
      </c>
      <c r="E764" s="626" t="s">
        <v>4</v>
      </c>
      <c r="F764" s="626" t="s">
        <v>5</v>
      </c>
      <c r="G764" s="626" t="s">
        <v>6</v>
      </c>
      <c r="H764" s="627" t="s">
        <v>45</v>
      </c>
      <c r="I764" s="626" t="s">
        <v>8</v>
      </c>
      <c r="J764" s="628" t="s">
        <v>46</v>
      </c>
      <c r="K764" s="629" t="s">
        <v>47</v>
      </c>
    </row>
    <row r="765" spans="1:12">
      <c r="A765" s="1164" t="s">
        <v>5686</v>
      </c>
      <c r="B765" s="743">
        <v>46154</v>
      </c>
      <c r="C765" s="732" t="s">
        <v>306</v>
      </c>
      <c r="D765" s="732" t="s">
        <v>322</v>
      </c>
      <c r="E765" s="661" t="s">
        <v>5400</v>
      </c>
      <c r="F765" s="729" t="s">
        <v>5051</v>
      </c>
      <c r="G765" s="729" t="s">
        <v>4967</v>
      </c>
      <c r="H765" s="677" t="s">
        <v>5762</v>
      </c>
      <c r="I765" s="732" t="s">
        <v>1534</v>
      </c>
      <c r="J765" s="732">
        <v>2</v>
      </c>
      <c r="K765" s="631" t="s">
        <v>50</v>
      </c>
    </row>
    <row r="766" spans="1:12">
      <c r="A766" s="1165"/>
      <c r="B766" s="743">
        <v>46155</v>
      </c>
      <c r="C766" s="732" t="s">
        <v>306</v>
      </c>
      <c r="D766" s="732" t="s">
        <v>322</v>
      </c>
      <c r="E766" s="661" t="s">
        <v>5400</v>
      </c>
      <c r="F766" s="729" t="s">
        <v>5051</v>
      </c>
      <c r="G766" s="729" t="s">
        <v>4967</v>
      </c>
      <c r="H766" s="677" t="s">
        <v>5762</v>
      </c>
      <c r="I766" s="732" t="s">
        <v>1534</v>
      </c>
      <c r="J766" s="732">
        <v>2</v>
      </c>
      <c r="K766" s="631" t="s">
        <v>50</v>
      </c>
    </row>
    <row r="767" spans="1:12">
      <c r="A767" s="1165"/>
      <c r="B767" s="743">
        <v>46156</v>
      </c>
      <c r="C767" s="732" t="s">
        <v>306</v>
      </c>
      <c r="D767" s="732" t="s">
        <v>322</v>
      </c>
      <c r="E767" s="661" t="s">
        <v>5400</v>
      </c>
      <c r="F767" s="729" t="s">
        <v>5051</v>
      </c>
      <c r="G767" s="729" t="s">
        <v>4967</v>
      </c>
      <c r="H767" s="677" t="s">
        <v>5762</v>
      </c>
      <c r="I767" s="732" t="s">
        <v>1534</v>
      </c>
      <c r="J767" s="732">
        <v>2</v>
      </c>
      <c r="K767" s="631" t="s">
        <v>50</v>
      </c>
    </row>
    <row r="768" spans="1:12">
      <c r="A768" s="1165"/>
      <c r="B768" s="742">
        <v>46160</v>
      </c>
      <c r="C768" s="730" t="s">
        <v>306</v>
      </c>
      <c r="D768" s="730" t="s">
        <v>322</v>
      </c>
      <c r="E768" s="729" t="s">
        <v>5400</v>
      </c>
      <c r="F768" s="729" t="s">
        <v>5051</v>
      </c>
      <c r="G768" s="729" t="s">
        <v>4967</v>
      </c>
      <c r="H768" s="731" t="s">
        <v>5858</v>
      </c>
      <c r="I768" s="732" t="s">
        <v>1534</v>
      </c>
      <c r="J768" s="663">
        <v>1</v>
      </c>
      <c r="K768" s="631" t="s">
        <v>50</v>
      </c>
    </row>
    <row r="769" spans="1:12">
      <c r="A769" s="1166"/>
      <c r="B769" s="742">
        <v>46164</v>
      </c>
      <c r="C769" s="730" t="s">
        <v>306</v>
      </c>
      <c r="D769" s="730" t="s">
        <v>322</v>
      </c>
      <c r="E769" s="729" t="s">
        <v>5400</v>
      </c>
      <c r="F769" s="729" t="s">
        <v>5051</v>
      </c>
      <c r="G769" s="729" t="s">
        <v>4967</v>
      </c>
      <c r="H769" s="731" t="s">
        <v>5858</v>
      </c>
      <c r="I769" s="732" t="s">
        <v>1534</v>
      </c>
      <c r="J769" s="663">
        <v>1</v>
      </c>
      <c r="K769" s="631" t="s">
        <v>50</v>
      </c>
    </row>
    <row r="770" spans="1:12">
      <c r="A770" s="1155" t="s">
        <v>1646</v>
      </c>
      <c r="B770" s="1155"/>
      <c r="C770" s="1155"/>
      <c r="D770" s="1155"/>
      <c r="E770" s="1155"/>
      <c r="F770" s="1155"/>
      <c r="G770" s="1155"/>
      <c r="H770" s="1155"/>
      <c r="I770" s="1155"/>
      <c r="J770" s="631">
        <f>SUM(J765:J769)</f>
        <v>8</v>
      </c>
      <c r="K770" s="672"/>
      <c r="L770" s="624">
        <f>SUM(L753:L765)</f>
        <v>0</v>
      </c>
    </row>
    <row r="772" spans="1:12" ht="22.5">
      <c r="A772" s="625" t="s">
        <v>43</v>
      </c>
      <c r="B772" s="625" t="s">
        <v>1620</v>
      </c>
      <c r="C772" s="626" t="s">
        <v>2</v>
      </c>
      <c r="D772" s="626" t="s">
        <v>3</v>
      </c>
      <c r="E772" s="626" t="s">
        <v>4</v>
      </c>
      <c r="F772" s="626" t="s">
        <v>5</v>
      </c>
      <c r="G772" s="626" t="s">
        <v>6</v>
      </c>
      <c r="H772" s="627" t="s">
        <v>45</v>
      </c>
      <c r="I772" s="626" t="s">
        <v>8</v>
      </c>
      <c r="J772" s="628" t="s">
        <v>46</v>
      </c>
      <c r="K772" s="629" t="s">
        <v>47</v>
      </c>
    </row>
    <row r="773" spans="1:12" ht="33.75">
      <c r="A773" s="1156" t="s">
        <v>5687</v>
      </c>
      <c r="B773" s="676">
        <v>46111</v>
      </c>
      <c r="C773" s="658" t="s">
        <v>21</v>
      </c>
      <c r="D773" s="658" t="s">
        <v>14</v>
      </c>
      <c r="E773" s="683" t="s">
        <v>1787</v>
      </c>
      <c r="F773" s="683" t="s">
        <v>2817</v>
      </c>
      <c r="G773" s="660" t="s">
        <v>23</v>
      </c>
      <c r="H773" s="659" t="s">
        <v>5289</v>
      </c>
      <c r="I773" s="632" t="s">
        <v>90</v>
      </c>
      <c r="J773" s="632">
        <v>1</v>
      </c>
      <c r="K773" s="631" t="s">
        <v>50</v>
      </c>
    </row>
    <row r="774" spans="1:12" ht="33.75">
      <c r="A774" s="1156"/>
      <c r="B774" s="676">
        <v>46113</v>
      </c>
      <c r="C774" s="631" t="s">
        <v>21</v>
      </c>
      <c r="D774" s="631" t="s">
        <v>14</v>
      </c>
      <c r="E774" s="670" t="s">
        <v>1788</v>
      </c>
      <c r="F774" s="632" t="s">
        <v>3332</v>
      </c>
      <c r="G774" s="633" t="s">
        <v>23</v>
      </c>
      <c r="H774" s="632" t="s">
        <v>5234</v>
      </c>
      <c r="I774" s="670"/>
      <c r="J774" s="632">
        <v>2</v>
      </c>
      <c r="K774" s="631" t="s">
        <v>50</v>
      </c>
    </row>
    <row r="775" spans="1:12" ht="33.75">
      <c r="A775" s="1156"/>
      <c r="B775" s="676">
        <v>46114</v>
      </c>
      <c r="C775" s="658" t="s">
        <v>21</v>
      </c>
      <c r="D775" s="658" t="s">
        <v>14</v>
      </c>
      <c r="E775" s="683" t="s">
        <v>1788</v>
      </c>
      <c r="F775" s="659" t="s">
        <v>3332</v>
      </c>
      <c r="G775" s="660" t="s">
        <v>23</v>
      </c>
      <c r="H775" s="659" t="s">
        <v>5234</v>
      </c>
      <c r="I775" s="683"/>
      <c r="J775" s="632">
        <v>2</v>
      </c>
      <c r="K775" s="631" t="s">
        <v>50</v>
      </c>
    </row>
    <row r="776" spans="1:12">
      <c r="A776" s="1156"/>
      <c r="B776" s="676">
        <v>46124</v>
      </c>
      <c r="C776" s="658" t="s">
        <v>21</v>
      </c>
      <c r="D776" s="658" t="s">
        <v>17</v>
      </c>
      <c r="E776" s="659" t="s">
        <v>5276</v>
      </c>
      <c r="F776" s="683" t="s">
        <v>2329</v>
      </c>
      <c r="G776" s="633" t="s">
        <v>23</v>
      </c>
      <c r="H776" s="659" t="s">
        <v>5532</v>
      </c>
      <c r="I776" s="683" t="s">
        <v>202</v>
      </c>
      <c r="J776" s="670">
        <v>2</v>
      </c>
      <c r="K776" s="631" t="s">
        <v>50</v>
      </c>
    </row>
    <row r="777" spans="1:12">
      <c r="A777" s="1156"/>
      <c r="B777" s="669">
        <v>46136</v>
      </c>
      <c r="C777" s="631" t="s">
        <v>21</v>
      </c>
      <c r="D777" s="631" t="s">
        <v>14</v>
      </c>
      <c r="E777" s="670" t="s">
        <v>107</v>
      </c>
      <c r="F777" s="670" t="s">
        <v>1968</v>
      </c>
      <c r="G777" s="633" t="s">
        <v>376</v>
      </c>
      <c r="H777" s="632" t="s">
        <v>5397</v>
      </c>
      <c r="I777" s="670" t="s">
        <v>90</v>
      </c>
      <c r="J777" s="670">
        <v>1</v>
      </c>
      <c r="K777" s="631" t="s">
        <v>50</v>
      </c>
    </row>
    <row r="778" spans="1:12">
      <c r="A778" s="1155" t="s">
        <v>1646</v>
      </c>
      <c r="B778" s="1155"/>
      <c r="C778" s="1155"/>
      <c r="D778" s="1155"/>
      <c r="E778" s="1155"/>
      <c r="F778" s="1155"/>
      <c r="G778" s="1155"/>
      <c r="H778" s="1155"/>
      <c r="I778" s="1155"/>
      <c r="J778" s="631">
        <f>SUM(J773:J777)</f>
        <v>8</v>
      </c>
      <c r="K778" s="672"/>
      <c r="L778" s="624">
        <f>SUM(L761:L776)</f>
        <v>0</v>
      </c>
    </row>
    <row r="781" spans="1:12" ht="22.5">
      <c r="A781" s="625" t="s">
        <v>43</v>
      </c>
      <c r="B781" s="625" t="s">
        <v>1620</v>
      </c>
      <c r="C781" s="626" t="s">
        <v>2</v>
      </c>
      <c r="D781" s="626" t="s">
        <v>3</v>
      </c>
      <c r="E781" s="626" t="s">
        <v>4</v>
      </c>
      <c r="F781" s="626" t="s">
        <v>5</v>
      </c>
      <c r="G781" s="626" t="s">
        <v>6</v>
      </c>
      <c r="H781" s="627" t="s">
        <v>45</v>
      </c>
      <c r="I781" s="626" t="s">
        <v>8</v>
      </c>
      <c r="J781" s="628" t="s">
        <v>46</v>
      </c>
      <c r="K781" s="629" t="s">
        <v>47</v>
      </c>
    </row>
    <row r="782" spans="1:12">
      <c r="A782" s="1156" t="s">
        <v>228</v>
      </c>
      <c r="B782" s="685">
        <v>46115</v>
      </c>
      <c r="C782" s="683" t="s">
        <v>5688</v>
      </c>
      <c r="D782" s="683" t="s">
        <v>14</v>
      </c>
      <c r="E782" s="683" t="s">
        <v>1893</v>
      </c>
      <c r="F782" s="683" t="s">
        <v>5689</v>
      </c>
      <c r="G782" s="683" t="s">
        <v>34</v>
      </c>
      <c r="H782" s="683" t="s">
        <v>5690</v>
      </c>
      <c r="I782" s="683" t="s">
        <v>5684</v>
      </c>
      <c r="J782" s="683">
        <v>3</v>
      </c>
      <c r="K782" s="683" t="s">
        <v>1280</v>
      </c>
    </row>
    <row r="783" spans="1:12">
      <c r="A783" s="1156"/>
      <c r="B783" s="685">
        <v>46125</v>
      </c>
      <c r="C783" s="683" t="s">
        <v>5688</v>
      </c>
      <c r="D783" s="683" t="s">
        <v>14</v>
      </c>
      <c r="E783" s="683" t="s">
        <v>1893</v>
      </c>
      <c r="F783" s="683" t="s">
        <v>5689</v>
      </c>
      <c r="G783" s="683" t="s">
        <v>34</v>
      </c>
      <c r="H783" s="683" t="s">
        <v>5690</v>
      </c>
      <c r="I783" s="683" t="s">
        <v>5684</v>
      </c>
      <c r="J783" s="683">
        <v>3</v>
      </c>
      <c r="K783" s="683" t="s">
        <v>1280</v>
      </c>
    </row>
    <row r="784" spans="1:12">
      <c r="A784" s="1156"/>
      <c r="B784" s="685">
        <v>46127</v>
      </c>
      <c r="C784" s="683" t="s">
        <v>5688</v>
      </c>
      <c r="D784" s="683" t="s">
        <v>14</v>
      </c>
      <c r="E784" s="683" t="s">
        <v>1893</v>
      </c>
      <c r="F784" s="683" t="s">
        <v>5689</v>
      </c>
      <c r="G784" s="683" t="s">
        <v>34</v>
      </c>
      <c r="H784" s="683" t="s">
        <v>5690</v>
      </c>
      <c r="I784" s="683" t="s">
        <v>5684</v>
      </c>
      <c r="J784" s="683">
        <v>3</v>
      </c>
      <c r="K784" s="683" t="s">
        <v>1280</v>
      </c>
    </row>
    <row r="785" spans="1:11">
      <c r="A785" s="1156"/>
      <c r="B785" s="685">
        <v>46128</v>
      </c>
      <c r="C785" s="683" t="s">
        <v>5688</v>
      </c>
      <c r="D785" s="683" t="s">
        <v>14</v>
      </c>
      <c r="E785" s="683" t="s">
        <v>1893</v>
      </c>
      <c r="F785" s="683" t="s">
        <v>5689</v>
      </c>
      <c r="G785" s="683" t="s">
        <v>5692</v>
      </c>
      <c r="H785" s="683" t="s">
        <v>5690</v>
      </c>
      <c r="I785" s="683" t="s">
        <v>5684</v>
      </c>
      <c r="J785" s="683">
        <v>3</v>
      </c>
      <c r="K785" s="683" t="s">
        <v>1280</v>
      </c>
    </row>
    <row r="786" spans="1:11">
      <c r="A786" s="1156"/>
      <c r="B786" s="685">
        <v>46132</v>
      </c>
      <c r="C786" s="683" t="s">
        <v>5688</v>
      </c>
      <c r="D786" s="683" t="s">
        <v>14</v>
      </c>
      <c r="E786" s="683" t="s">
        <v>1893</v>
      </c>
      <c r="F786" s="683" t="s">
        <v>5689</v>
      </c>
      <c r="G786" s="683" t="s">
        <v>5691</v>
      </c>
      <c r="H786" s="683" t="s">
        <v>5690</v>
      </c>
      <c r="I786" s="683" t="s">
        <v>5684</v>
      </c>
      <c r="J786" s="683">
        <v>3</v>
      </c>
      <c r="K786" s="683" t="s">
        <v>1280</v>
      </c>
    </row>
    <row r="787" spans="1:11">
      <c r="A787" s="1156"/>
      <c r="B787" s="685">
        <v>46135</v>
      </c>
      <c r="C787" s="683" t="s">
        <v>5688</v>
      </c>
      <c r="D787" s="683" t="s">
        <v>14</v>
      </c>
      <c r="E787" s="683" t="s">
        <v>1893</v>
      </c>
      <c r="F787" s="683" t="s">
        <v>5689</v>
      </c>
      <c r="G787" s="683" t="s">
        <v>5691</v>
      </c>
      <c r="H787" s="683" t="s">
        <v>5690</v>
      </c>
      <c r="I787" s="683" t="s">
        <v>5684</v>
      </c>
      <c r="J787" s="683">
        <v>3</v>
      </c>
      <c r="K787" s="683" t="s">
        <v>1280</v>
      </c>
    </row>
    <row r="788" spans="1:11">
      <c r="A788" s="1156"/>
      <c r="B788" s="685">
        <v>46136</v>
      </c>
      <c r="C788" s="683" t="s">
        <v>5688</v>
      </c>
      <c r="D788" s="683" t="s">
        <v>14</v>
      </c>
      <c r="E788" s="683" t="s">
        <v>1893</v>
      </c>
      <c r="F788" s="683" t="s">
        <v>5689</v>
      </c>
      <c r="G788" s="683" t="s">
        <v>5691</v>
      </c>
      <c r="H788" s="683" t="s">
        <v>5690</v>
      </c>
      <c r="I788" s="683" t="s">
        <v>5684</v>
      </c>
      <c r="J788" s="683">
        <v>3</v>
      </c>
      <c r="K788" s="683" t="s">
        <v>1280</v>
      </c>
    </row>
    <row r="789" spans="1:11">
      <c r="A789" s="1156"/>
      <c r="B789" s="685">
        <v>46137</v>
      </c>
      <c r="C789" s="683" t="s">
        <v>5688</v>
      </c>
      <c r="D789" s="683" t="s">
        <v>14</v>
      </c>
      <c r="E789" s="683" t="s">
        <v>1893</v>
      </c>
      <c r="F789" s="683" t="s">
        <v>5689</v>
      </c>
      <c r="G789" s="683" t="s">
        <v>5691</v>
      </c>
      <c r="H789" s="683" t="s">
        <v>5690</v>
      </c>
      <c r="I789" s="683" t="s">
        <v>5684</v>
      </c>
      <c r="J789" s="683">
        <v>3</v>
      </c>
      <c r="K789" s="683" t="s">
        <v>1280</v>
      </c>
    </row>
    <row r="790" spans="1:11">
      <c r="A790" s="1155" t="s">
        <v>1646</v>
      </c>
      <c r="B790" s="1155"/>
      <c r="C790" s="1155"/>
      <c r="D790" s="1155"/>
      <c r="E790" s="1155"/>
      <c r="F790" s="1155"/>
      <c r="G790" s="1155"/>
      <c r="H790" s="1155"/>
      <c r="I790" s="1155"/>
      <c r="J790" s="631">
        <f>SUM(J782:J789)</f>
        <v>24</v>
      </c>
      <c r="K790" s="672"/>
    </row>
    <row r="793" spans="1:11" ht="22.5">
      <c r="A793" s="625" t="s">
        <v>43</v>
      </c>
      <c r="B793" s="625" t="s">
        <v>1620</v>
      </c>
      <c r="C793" s="626" t="s">
        <v>2</v>
      </c>
      <c r="D793" s="626" t="s">
        <v>3</v>
      </c>
      <c r="E793" s="626" t="s">
        <v>4</v>
      </c>
      <c r="F793" s="626" t="s">
        <v>5</v>
      </c>
      <c r="G793" s="626" t="s">
        <v>6</v>
      </c>
      <c r="H793" s="627" t="s">
        <v>45</v>
      </c>
      <c r="I793" s="626" t="s">
        <v>8</v>
      </c>
      <c r="J793" s="628" t="s">
        <v>46</v>
      </c>
      <c r="K793" s="629" t="s">
        <v>47</v>
      </c>
    </row>
    <row r="794" spans="1:11">
      <c r="A794" s="1161" t="s">
        <v>5678</v>
      </c>
      <c r="B794" s="657">
        <v>46148</v>
      </c>
      <c r="C794" s="721" t="s">
        <v>306</v>
      </c>
      <c r="D794" s="721" t="s">
        <v>322</v>
      </c>
      <c r="E794" s="699" t="s">
        <v>5400</v>
      </c>
      <c r="F794" s="699" t="s">
        <v>4939</v>
      </c>
      <c r="G794" s="699" t="s">
        <v>482</v>
      </c>
      <c r="H794" s="700" t="s">
        <v>2979</v>
      </c>
      <c r="I794" s="744" t="s">
        <v>126</v>
      </c>
      <c r="J794" s="701">
        <v>1</v>
      </c>
      <c r="K794" s="631" t="s">
        <v>50</v>
      </c>
    </row>
    <row r="795" spans="1:11">
      <c r="A795" s="1162"/>
      <c r="B795" s="657" t="s">
        <v>5665</v>
      </c>
      <c r="C795" s="721" t="s">
        <v>306</v>
      </c>
      <c r="D795" s="721" t="s">
        <v>322</v>
      </c>
      <c r="E795" s="699" t="s">
        <v>5400</v>
      </c>
      <c r="F795" s="699">
        <v>1615</v>
      </c>
      <c r="G795" s="699" t="s">
        <v>482</v>
      </c>
      <c r="H795" s="700" t="s">
        <v>5663</v>
      </c>
      <c r="I795" s="744" t="s">
        <v>1948</v>
      </c>
      <c r="J795" s="701">
        <v>2</v>
      </c>
      <c r="K795" s="631" t="s">
        <v>50</v>
      </c>
    </row>
    <row r="796" spans="1:11">
      <c r="A796" s="1162"/>
      <c r="B796" s="661" t="s">
        <v>5765</v>
      </c>
      <c r="C796" s="732" t="s">
        <v>306</v>
      </c>
      <c r="D796" s="732" t="s">
        <v>322</v>
      </c>
      <c r="E796" s="661" t="s">
        <v>5400</v>
      </c>
      <c r="F796" s="661" t="s">
        <v>5766</v>
      </c>
      <c r="G796" s="661" t="s">
        <v>5767</v>
      </c>
      <c r="H796" s="677" t="s">
        <v>5768</v>
      </c>
      <c r="I796" s="732" t="s">
        <v>664</v>
      </c>
      <c r="J796" s="732">
        <v>4</v>
      </c>
      <c r="K796" s="631" t="s">
        <v>50</v>
      </c>
    </row>
    <row r="797" spans="1:11">
      <c r="A797" s="1162"/>
      <c r="B797" s="729" t="s">
        <v>5860</v>
      </c>
      <c r="C797" s="730" t="s">
        <v>306</v>
      </c>
      <c r="D797" s="730" t="s">
        <v>322</v>
      </c>
      <c r="E797" s="729" t="s">
        <v>5400</v>
      </c>
      <c r="F797" s="729">
        <v>1615</v>
      </c>
      <c r="G797" s="729" t="s">
        <v>1911</v>
      </c>
      <c r="H797" s="731" t="s">
        <v>1057</v>
      </c>
      <c r="I797" s="732" t="s">
        <v>5447</v>
      </c>
      <c r="J797" s="663">
        <v>1</v>
      </c>
      <c r="K797" s="631" t="s">
        <v>50</v>
      </c>
    </row>
    <row r="798" spans="1:11">
      <c r="A798" s="1162"/>
      <c r="B798" s="729" t="s">
        <v>5861</v>
      </c>
      <c r="C798" s="730" t="s">
        <v>306</v>
      </c>
      <c r="D798" s="730" t="s">
        <v>322</v>
      </c>
      <c r="E798" s="729" t="s">
        <v>5400</v>
      </c>
      <c r="F798" s="729">
        <v>1571</v>
      </c>
      <c r="G798" s="729" t="s">
        <v>1911</v>
      </c>
      <c r="H798" s="731" t="s">
        <v>5862</v>
      </c>
      <c r="I798" s="732" t="s">
        <v>5447</v>
      </c>
      <c r="J798" s="663">
        <v>2</v>
      </c>
      <c r="K798" s="631" t="s">
        <v>50</v>
      </c>
    </row>
    <row r="799" spans="1:11">
      <c r="A799" s="1162"/>
      <c r="B799" s="729" t="s">
        <v>5865</v>
      </c>
      <c r="C799" s="730" t="s">
        <v>306</v>
      </c>
      <c r="D799" s="730" t="s">
        <v>322</v>
      </c>
      <c r="E799" s="729" t="s">
        <v>5400</v>
      </c>
      <c r="F799" s="729" t="s">
        <v>5766</v>
      </c>
      <c r="G799" s="729" t="s">
        <v>1047</v>
      </c>
      <c r="H799" s="731" t="s">
        <v>5862</v>
      </c>
      <c r="I799" s="732" t="s">
        <v>5447</v>
      </c>
      <c r="J799" s="663">
        <v>2</v>
      </c>
      <c r="K799" s="631" t="s">
        <v>50</v>
      </c>
    </row>
    <row r="800" spans="1:11">
      <c r="A800" s="1162"/>
      <c r="B800" s="657" t="s">
        <v>5851</v>
      </c>
      <c r="C800" s="645" t="s">
        <v>19</v>
      </c>
      <c r="D800" s="645" t="s">
        <v>25</v>
      </c>
      <c r="E800" s="729" t="s">
        <v>5838</v>
      </c>
      <c r="F800" s="646" t="s">
        <v>5847</v>
      </c>
      <c r="G800" s="649" t="s">
        <v>331</v>
      </c>
      <c r="H800" s="735" t="s">
        <v>5853</v>
      </c>
      <c r="I800" s="732" t="s">
        <v>664</v>
      </c>
      <c r="J800" s="735">
        <v>2</v>
      </c>
      <c r="K800" s="631" t="s">
        <v>50</v>
      </c>
    </row>
    <row r="801" spans="1:11">
      <c r="A801" s="1162"/>
      <c r="B801" s="657">
        <v>46171</v>
      </c>
      <c r="C801" s="645" t="s">
        <v>19</v>
      </c>
      <c r="D801" s="645" t="s">
        <v>25</v>
      </c>
      <c r="E801" s="729" t="s">
        <v>5838</v>
      </c>
      <c r="F801" s="646" t="s">
        <v>5847</v>
      </c>
      <c r="G801" s="729" t="s">
        <v>18</v>
      </c>
      <c r="H801" s="731" t="s">
        <v>5850</v>
      </c>
      <c r="I801" s="732" t="s">
        <v>664</v>
      </c>
      <c r="J801" s="735">
        <v>2</v>
      </c>
      <c r="K801" s="631" t="s">
        <v>50</v>
      </c>
    </row>
    <row r="802" spans="1:11">
      <c r="A802" s="1155" t="s">
        <v>1646</v>
      </c>
      <c r="B802" s="1155"/>
      <c r="C802" s="1155"/>
      <c r="D802" s="1155"/>
      <c r="E802" s="1155"/>
      <c r="F802" s="1155"/>
      <c r="G802" s="1155"/>
      <c r="H802" s="1155"/>
      <c r="I802" s="1155"/>
      <c r="J802" s="631">
        <f>SUM(J794:J801)</f>
        <v>16</v>
      </c>
      <c r="K802" s="672"/>
    </row>
    <row r="805" spans="1:11" ht="22.5">
      <c r="A805" s="625" t="s">
        <v>43</v>
      </c>
      <c r="B805" s="625" t="s">
        <v>1620</v>
      </c>
      <c r="C805" s="626" t="s">
        <v>2</v>
      </c>
      <c r="D805" s="626" t="s">
        <v>3</v>
      </c>
      <c r="E805" s="626" t="s">
        <v>4</v>
      </c>
      <c r="F805" s="626" t="s">
        <v>5</v>
      </c>
      <c r="G805" s="626" t="s">
        <v>6</v>
      </c>
      <c r="H805" s="627" t="s">
        <v>45</v>
      </c>
      <c r="I805" s="626" t="s">
        <v>8</v>
      </c>
      <c r="J805" s="628" t="s">
        <v>46</v>
      </c>
      <c r="K805" s="629" t="s">
        <v>47</v>
      </c>
    </row>
    <row r="806" spans="1:11">
      <c r="A806" s="1167" t="s">
        <v>5980</v>
      </c>
      <c r="B806" s="676">
        <v>46140</v>
      </c>
      <c r="C806" s="732" t="s">
        <v>21</v>
      </c>
      <c r="D806" s="732" t="s">
        <v>14</v>
      </c>
      <c r="E806" s="734" t="s">
        <v>78</v>
      </c>
      <c r="F806" s="736" t="s">
        <v>3008</v>
      </c>
      <c r="G806" s="660" t="s">
        <v>1382</v>
      </c>
      <c r="H806" s="736" t="s">
        <v>5981</v>
      </c>
      <c r="I806" s="734" t="s">
        <v>202</v>
      </c>
      <c r="J806" s="734">
        <v>1</v>
      </c>
      <c r="K806" s="631" t="s">
        <v>50</v>
      </c>
    </row>
    <row r="807" spans="1:11">
      <c r="A807" s="1168"/>
      <c r="B807" s="676">
        <v>46148</v>
      </c>
      <c r="C807" s="631" t="s">
        <v>21</v>
      </c>
      <c r="D807" s="631" t="s">
        <v>14</v>
      </c>
      <c r="E807" s="733" t="s">
        <v>107</v>
      </c>
      <c r="F807" s="670" t="s">
        <v>2959</v>
      </c>
      <c r="G807" s="633" t="s">
        <v>143</v>
      </c>
      <c r="H807" s="733" t="s">
        <v>5570</v>
      </c>
      <c r="I807" s="670" t="s">
        <v>126</v>
      </c>
      <c r="J807" s="670">
        <v>1</v>
      </c>
      <c r="K807" s="631" t="s">
        <v>50</v>
      </c>
    </row>
    <row r="808" spans="1:11">
      <c r="A808" s="1168"/>
      <c r="B808" s="676">
        <v>46149</v>
      </c>
      <c r="C808" s="631" t="s">
        <v>21</v>
      </c>
      <c r="D808" s="631" t="s">
        <v>14</v>
      </c>
      <c r="E808" s="733" t="s">
        <v>107</v>
      </c>
      <c r="F808" s="670" t="s">
        <v>2959</v>
      </c>
      <c r="G808" s="633" t="s">
        <v>143</v>
      </c>
      <c r="H808" s="733" t="s">
        <v>5570</v>
      </c>
      <c r="I808" s="670" t="s">
        <v>126</v>
      </c>
      <c r="J808" s="670">
        <v>1</v>
      </c>
      <c r="K808" s="631" t="s">
        <v>50</v>
      </c>
    </row>
    <row r="809" spans="1:11" ht="22.5">
      <c r="A809" s="1168"/>
      <c r="B809" s="676">
        <v>46150</v>
      </c>
      <c r="C809" s="732" t="s">
        <v>21</v>
      </c>
      <c r="D809" s="732" t="s">
        <v>14</v>
      </c>
      <c r="E809" s="734" t="s">
        <v>1787</v>
      </c>
      <c r="F809" s="734" t="s">
        <v>2817</v>
      </c>
      <c r="G809" s="660" t="s">
        <v>67</v>
      </c>
      <c r="H809" s="736" t="s">
        <v>5982</v>
      </c>
      <c r="I809" s="734" t="s">
        <v>120</v>
      </c>
      <c r="J809" s="736">
        <v>1</v>
      </c>
      <c r="K809" s="631" t="s">
        <v>50</v>
      </c>
    </row>
    <row r="810" spans="1:11">
      <c r="A810" s="1168"/>
      <c r="B810" s="661" t="s">
        <v>5866</v>
      </c>
      <c r="C810" s="672" t="s">
        <v>311</v>
      </c>
      <c r="D810" s="672" t="s">
        <v>320</v>
      </c>
      <c r="E810" s="677" t="s">
        <v>337</v>
      </c>
      <c r="F810" s="677" t="s">
        <v>3168</v>
      </c>
      <c r="G810" s="677" t="s">
        <v>3169</v>
      </c>
      <c r="H810" s="661" t="s">
        <v>5983</v>
      </c>
      <c r="I810" s="661" t="s">
        <v>5868</v>
      </c>
      <c r="J810" s="661">
        <v>1</v>
      </c>
      <c r="K810" s="631" t="s">
        <v>50</v>
      </c>
    </row>
    <row r="811" spans="1:11">
      <c r="A811" s="1168"/>
      <c r="B811" s="661" t="s">
        <v>5860</v>
      </c>
      <c r="C811" s="672" t="s">
        <v>311</v>
      </c>
      <c r="D811" s="672" t="s">
        <v>320</v>
      </c>
      <c r="E811" s="677" t="s">
        <v>5188</v>
      </c>
      <c r="F811" s="677" t="s">
        <v>1919</v>
      </c>
      <c r="G811" s="677" t="s">
        <v>347</v>
      </c>
      <c r="H811" s="677" t="s">
        <v>5753</v>
      </c>
      <c r="I811" s="677"/>
      <c r="J811" s="677">
        <v>2</v>
      </c>
      <c r="K811" s="631" t="s">
        <v>50</v>
      </c>
    </row>
    <row r="812" spans="1:11">
      <c r="A812" s="1155" t="s">
        <v>1646</v>
      </c>
      <c r="B812" s="1155"/>
      <c r="C812" s="1155"/>
      <c r="D812" s="1155"/>
      <c r="E812" s="1155"/>
      <c r="F812" s="1155"/>
      <c r="G812" s="1155"/>
      <c r="H812" s="1155"/>
      <c r="I812" s="1155"/>
      <c r="J812" s="631">
        <f>SUM(J806:J811)</f>
        <v>7</v>
      </c>
      <c r="K812" s="672"/>
    </row>
    <row r="816" spans="1:11" ht="22.5">
      <c r="A816" s="625" t="s">
        <v>43</v>
      </c>
      <c r="B816" s="625" t="s">
        <v>1620</v>
      </c>
      <c r="C816" s="626" t="s">
        <v>2</v>
      </c>
      <c r="D816" s="626" t="s">
        <v>3</v>
      </c>
      <c r="E816" s="626" t="s">
        <v>4</v>
      </c>
      <c r="F816" s="626" t="s">
        <v>5</v>
      </c>
      <c r="G816" s="626" t="s">
        <v>6</v>
      </c>
      <c r="H816" s="627" t="s">
        <v>45</v>
      </c>
      <c r="I816" s="626" t="s">
        <v>8</v>
      </c>
      <c r="J816" s="628" t="s">
        <v>46</v>
      </c>
      <c r="K816" s="629" t="s">
        <v>47</v>
      </c>
    </row>
    <row r="817" spans="1:12">
      <c r="A817" s="903" t="s">
        <v>5986</v>
      </c>
      <c r="B817" s="676">
        <v>46153</v>
      </c>
      <c r="C817" s="631" t="s">
        <v>21</v>
      </c>
      <c r="D817" s="631" t="s">
        <v>14</v>
      </c>
      <c r="E817" s="670" t="s">
        <v>1893</v>
      </c>
      <c r="F817" s="670" t="s">
        <v>4939</v>
      </c>
      <c r="G817" s="633" t="s">
        <v>2193</v>
      </c>
      <c r="H817" s="736" t="s">
        <v>5984</v>
      </c>
      <c r="I817" s="734" t="s">
        <v>202</v>
      </c>
      <c r="J817" s="734">
        <v>2</v>
      </c>
      <c r="K817" s="631" t="s">
        <v>50</v>
      </c>
    </row>
    <row r="818" spans="1:12">
      <c r="A818" s="903"/>
      <c r="B818" s="676">
        <v>46154</v>
      </c>
      <c r="C818" s="631" t="s">
        <v>21</v>
      </c>
      <c r="D818" s="631" t="s">
        <v>14</v>
      </c>
      <c r="E818" s="670" t="s">
        <v>1893</v>
      </c>
      <c r="F818" s="670" t="s">
        <v>4939</v>
      </c>
      <c r="G818" s="633" t="s">
        <v>2193</v>
      </c>
      <c r="H818" s="736" t="s">
        <v>5985</v>
      </c>
      <c r="I818" s="734" t="s">
        <v>202</v>
      </c>
      <c r="J818" s="734">
        <v>2</v>
      </c>
      <c r="K818" s="631" t="s">
        <v>50</v>
      </c>
    </row>
    <row r="819" spans="1:12">
      <c r="A819" s="1155" t="s">
        <v>1646</v>
      </c>
      <c r="B819" s="1155"/>
      <c r="C819" s="1155"/>
      <c r="D819" s="1155"/>
      <c r="E819" s="1155"/>
      <c r="F819" s="1155"/>
      <c r="G819" s="1155"/>
      <c r="H819" s="1155"/>
      <c r="I819" s="1155"/>
      <c r="J819" s="631">
        <f>SUM(J813:J818)</f>
        <v>4</v>
      </c>
      <c r="K819" s="672"/>
    </row>
    <row r="823" spans="1:12" s="747" customFormat="1" ht="22.5">
      <c r="A823" s="625" t="s">
        <v>43</v>
      </c>
      <c r="B823" s="625" t="s">
        <v>1620</v>
      </c>
      <c r="C823" s="626" t="s">
        <v>2</v>
      </c>
      <c r="D823" s="626" t="s">
        <v>3</v>
      </c>
      <c r="E823" s="626" t="s">
        <v>4</v>
      </c>
      <c r="F823" s="626" t="s">
        <v>5</v>
      </c>
      <c r="G823" s="626" t="s">
        <v>6</v>
      </c>
      <c r="H823" s="627" t="s">
        <v>45</v>
      </c>
      <c r="I823" s="626" t="s">
        <v>8</v>
      </c>
      <c r="J823" s="628" t="s">
        <v>46</v>
      </c>
      <c r="K823" s="629" t="s">
        <v>47</v>
      </c>
      <c r="L823" s="746"/>
    </row>
    <row r="824" spans="1:12" s="747" customFormat="1" ht="11.25">
      <c r="A824" s="1164" t="s">
        <v>5995</v>
      </c>
      <c r="B824" s="676">
        <v>46139</v>
      </c>
      <c r="C824" s="732" t="s">
        <v>306</v>
      </c>
      <c r="D824" s="732" t="s">
        <v>322</v>
      </c>
      <c r="E824" s="661" t="s">
        <v>5400</v>
      </c>
      <c r="F824" s="661">
        <v>1571</v>
      </c>
      <c r="G824" s="661" t="s">
        <v>482</v>
      </c>
      <c r="H824" s="677" t="s">
        <v>2962</v>
      </c>
      <c r="I824" s="732" t="s">
        <v>126</v>
      </c>
      <c r="J824" s="732">
        <v>1</v>
      </c>
      <c r="K824" s="631" t="s">
        <v>50</v>
      </c>
      <c r="L824" s="746"/>
    </row>
    <row r="825" spans="1:12" s="747" customFormat="1" ht="11.25">
      <c r="A825" s="1165"/>
      <c r="B825" s="676" t="s">
        <v>5615</v>
      </c>
      <c r="C825" s="732" t="s">
        <v>306</v>
      </c>
      <c r="D825" s="732" t="s">
        <v>322</v>
      </c>
      <c r="E825" s="661" t="s">
        <v>5400</v>
      </c>
      <c r="F825" s="661">
        <v>1615</v>
      </c>
      <c r="G825" s="661" t="s">
        <v>482</v>
      </c>
      <c r="H825" s="677" t="s">
        <v>5616</v>
      </c>
      <c r="I825" s="732"/>
      <c r="J825" s="732">
        <v>2</v>
      </c>
      <c r="K825" s="631" t="s">
        <v>50</v>
      </c>
      <c r="L825" s="746"/>
    </row>
    <row r="826" spans="1:12" s="747" customFormat="1" ht="11.25">
      <c r="A826" s="1165"/>
      <c r="B826" s="676" t="s">
        <v>5600</v>
      </c>
      <c r="C826" s="732" t="s">
        <v>306</v>
      </c>
      <c r="D826" s="732" t="s">
        <v>322</v>
      </c>
      <c r="E826" s="661" t="s">
        <v>5400</v>
      </c>
      <c r="F826" s="661" t="s">
        <v>5572</v>
      </c>
      <c r="G826" s="661" t="s">
        <v>102</v>
      </c>
      <c r="H826" s="677" t="s">
        <v>5613</v>
      </c>
      <c r="I826" s="732" t="s">
        <v>1534</v>
      </c>
      <c r="J826" s="631">
        <v>2</v>
      </c>
      <c r="K826" s="631" t="s">
        <v>50</v>
      </c>
      <c r="L826" s="746"/>
    </row>
    <row r="827" spans="1:12" s="747" customFormat="1" ht="11.25">
      <c r="A827" s="1165"/>
      <c r="B827" s="676">
        <v>46148</v>
      </c>
      <c r="C827" s="732" t="s">
        <v>306</v>
      </c>
      <c r="D827" s="732" t="s">
        <v>322</v>
      </c>
      <c r="E827" s="661" t="s">
        <v>5400</v>
      </c>
      <c r="F827" s="661" t="s">
        <v>4939</v>
      </c>
      <c r="G827" s="661" t="s">
        <v>482</v>
      </c>
      <c r="H827" s="677" t="s">
        <v>2979</v>
      </c>
      <c r="I827" s="732" t="s">
        <v>126</v>
      </c>
      <c r="J827" s="732">
        <v>2</v>
      </c>
      <c r="K827" s="631" t="s">
        <v>50</v>
      </c>
      <c r="L827" s="746"/>
    </row>
    <row r="828" spans="1:12" s="747" customFormat="1" ht="11.25">
      <c r="A828" s="1165"/>
      <c r="B828" s="676">
        <v>46148</v>
      </c>
      <c r="C828" s="732" t="s">
        <v>306</v>
      </c>
      <c r="D828" s="732" t="s">
        <v>322</v>
      </c>
      <c r="E828" s="661" t="s">
        <v>5400</v>
      </c>
      <c r="F828" s="661" t="s">
        <v>5506</v>
      </c>
      <c r="G828" s="661" t="s">
        <v>18</v>
      </c>
      <c r="H828" s="677" t="s">
        <v>5613</v>
      </c>
      <c r="I828" s="732" t="s">
        <v>1534</v>
      </c>
      <c r="J828" s="732">
        <v>1</v>
      </c>
      <c r="K828" s="631" t="s">
        <v>50</v>
      </c>
      <c r="L828" s="746"/>
    </row>
    <row r="829" spans="1:12" s="747" customFormat="1" ht="11.25">
      <c r="A829" s="1165"/>
      <c r="B829" s="676" t="s">
        <v>5666</v>
      </c>
      <c r="C829" s="732" t="s">
        <v>306</v>
      </c>
      <c r="D829" s="732" t="s">
        <v>322</v>
      </c>
      <c r="E829" s="661" t="s">
        <v>5400</v>
      </c>
      <c r="F829" s="661" t="s">
        <v>5506</v>
      </c>
      <c r="G829" s="661" t="s">
        <v>264</v>
      </c>
      <c r="H829" s="677" t="s">
        <v>5613</v>
      </c>
      <c r="I829" s="732" t="s">
        <v>1534</v>
      </c>
      <c r="J829" s="732">
        <v>2</v>
      </c>
      <c r="K829" s="631" t="s">
        <v>50</v>
      </c>
      <c r="L829" s="746"/>
    </row>
    <row r="830" spans="1:12" s="747" customFormat="1" ht="11.25">
      <c r="A830" s="1165"/>
      <c r="B830" s="661" t="s">
        <v>5759</v>
      </c>
      <c r="C830" s="732" t="s">
        <v>306</v>
      </c>
      <c r="D830" s="732" t="s">
        <v>322</v>
      </c>
      <c r="E830" s="661" t="s">
        <v>5400</v>
      </c>
      <c r="F830" s="661" t="s">
        <v>5760</v>
      </c>
      <c r="G830" s="661" t="s">
        <v>1911</v>
      </c>
      <c r="H830" s="677" t="s">
        <v>4915</v>
      </c>
      <c r="I830" s="732" t="s">
        <v>1534</v>
      </c>
      <c r="J830" s="732">
        <v>3</v>
      </c>
      <c r="K830" s="631" t="s">
        <v>50</v>
      </c>
      <c r="L830" s="746"/>
    </row>
    <row r="831" spans="1:12" s="747" customFormat="1" ht="11.25">
      <c r="A831" s="1165"/>
      <c r="B831" s="661" t="s">
        <v>5764</v>
      </c>
      <c r="C831" s="732" t="s">
        <v>306</v>
      </c>
      <c r="D831" s="732" t="s">
        <v>322</v>
      </c>
      <c r="E831" s="661" t="s">
        <v>5400</v>
      </c>
      <c r="F831" s="661" t="s">
        <v>5760</v>
      </c>
      <c r="G831" s="661" t="s">
        <v>640</v>
      </c>
      <c r="H831" s="677" t="s">
        <v>4915</v>
      </c>
      <c r="I831" s="732" t="s">
        <v>1534</v>
      </c>
      <c r="J831" s="732">
        <v>2</v>
      </c>
      <c r="K831" s="631" t="s">
        <v>50</v>
      </c>
      <c r="L831" s="746"/>
    </row>
    <row r="832" spans="1:12" s="747" customFormat="1" ht="11.25">
      <c r="A832" s="1165"/>
      <c r="B832" s="661" t="s">
        <v>5857</v>
      </c>
      <c r="C832" s="672" t="s">
        <v>306</v>
      </c>
      <c r="D832" s="672" t="s">
        <v>322</v>
      </c>
      <c r="E832" s="661" t="s">
        <v>5400</v>
      </c>
      <c r="F832" s="661" t="s">
        <v>5051</v>
      </c>
      <c r="G832" s="661" t="s">
        <v>4967</v>
      </c>
      <c r="H832" s="677" t="s">
        <v>5858</v>
      </c>
      <c r="I832" s="732" t="s">
        <v>1534</v>
      </c>
      <c r="J832" s="732">
        <v>4</v>
      </c>
      <c r="K832" s="631" t="s">
        <v>50</v>
      </c>
      <c r="L832" s="746"/>
    </row>
    <row r="833" spans="1:12" s="747" customFormat="1" ht="11.25">
      <c r="A833" s="1166"/>
      <c r="B833" s="676">
        <v>46165</v>
      </c>
      <c r="C833" s="631" t="s">
        <v>19</v>
      </c>
      <c r="D833" s="631" t="s">
        <v>25</v>
      </c>
      <c r="E833" s="661" t="s">
        <v>5838</v>
      </c>
      <c r="F833" s="661" t="s">
        <v>5051</v>
      </c>
      <c r="G833" s="661" t="s">
        <v>5840</v>
      </c>
      <c r="H833" s="677" t="s">
        <v>5841</v>
      </c>
      <c r="I833" s="732"/>
      <c r="J833" s="732">
        <v>2</v>
      </c>
      <c r="K833" s="631" t="s">
        <v>50</v>
      </c>
      <c r="L833" s="746"/>
    </row>
    <row r="834" spans="1:12" s="747" customFormat="1" ht="11.25">
      <c r="A834" s="1155" t="s">
        <v>1646</v>
      </c>
      <c r="B834" s="1155"/>
      <c r="C834" s="1155"/>
      <c r="D834" s="1155"/>
      <c r="E834" s="1155"/>
      <c r="F834" s="1155"/>
      <c r="G834" s="1155"/>
      <c r="H834" s="1155"/>
      <c r="I834" s="1155"/>
      <c r="J834" s="631">
        <f>SUM(J824:J833)</f>
        <v>21</v>
      </c>
      <c r="K834" s="672"/>
      <c r="L834" s="746"/>
    </row>
    <row r="835" spans="1:12" s="747" customFormat="1" ht="11.25">
      <c r="L835" s="746"/>
    </row>
    <row r="836" spans="1:12" s="747" customFormat="1" ht="11.25">
      <c r="L836" s="746"/>
    </row>
    <row r="837" spans="1:12" s="747" customFormat="1" ht="22.5">
      <c r="A837" s="625" t="s">
        <v>43</v>
      </c>
      <c r="B837" s="625" t="s">
        <v>1620</v>
      </c>
      <c r="C837" s="626" t="s">
        <v>2</v>
      </c>
      <c r="D837" s="626" t="s">
        <v>3</v>
      </c>
      <c r="E837" s="626" t="s">
        <v>4</v>
      </c>
      <c r="F837" s="626" t="s">
        <v>5</v>
      </c>
      <c r="G837" s="626" t="s">
        <v>6</v>
      </c>
      <c r="H837" s="627" t="s">
        <v>45</v>
      </c>
      <c r="I837" s="626" t="s">
        <v>8</v>
      </c>
      <c r="J837" s="628" t="s">
        <v>46</v>
      </c>
      <c r="K837" s="629" t="s">
        <v>47</v>
      </c>
      <c r="L837" s="746"/>
    </row>
    <row r="838" spans="1:12" s="747" customFormat="1" ht="11.25">
      <c r="A838" s="1164" t="s">
        <v>5657</v>
      </c>
      <c r="B838" s="676">
        <v>46140</v>
      </c>
      <c r="C838" s="732" t="s">
        <v>21</v>
      </c>
      <c r="D838" s="732" t="s">
        <v>14</v>
      </c>
      <c r="E838" s="734" t="s">
        <v>1787</v>
      </c>
      <c r="F838" s="736" t="s">
        <v>5409</v>
      </c>
      <c r="G838" s="660" t="s">
        <v>23</v>
      </c>
      <c r="H838" s="736" t="s">
        <v>5584</v>
      </c>
      <c r="I838" s="734" t="s">
        <v>120</v>
      </c>
      <c r="J838" s="670">
        <v>1</v>
      </c>
      <c r="K838" s="631" t="s">
        <v>50</v>
      </c>
      <c r="L838" s="746"/>
    </row>
    <row r="839" spans="1:12" s="747" customFormat="1" ht="11.25">
      <c r="A839" s="1165"/>
      <c r="B839" s="676">
        <v>46148</v>
      </c>
      <c r="C839" s="631" t="s">
        <v>21</v>
      </c>
      <c r="D839" s="631" t="s">
        <v>14</v>
      </c>
      <c r="E839" s="733" t="s">
        <v>107</v>
      </c>
      <c r="F839" s="670" t="s">
        <v>2959</v>
      </c>
      <c r="G839" s="633" t="s">
        <v>143</v>
      </c>
      <c r="H839" s="733" t="s">
        <v>5570</v>
      </c>
      <c r="I839" s="670" t="s">
        <v>126</v>
      </c>
      <c r="J839" s="670">
        <v>1</v>
      </c>
      <c r="K839" s="631" t="s">
        <v>50</v>
      </c>
      <c r="L839" s="746"/>
    </row>
    <row r="840" spans="1:12" s="747" customFormat="1" ht="11.25">
      <c r="A840" s="1166"/>
      <c r="B840" s="676">
        <v>46149</v>
      </c>
      <c r="C840" s="631" t="s">
        <v>21</v>
      </c>
      <c r="D840" s="631" t="s">
        <v>14</v>
      </c>
      <c r="E840" s="733" t="s">
        <v>107</v>
      </c>
      <c r="F840" s="670" t="s">
        <v>2959</v>
      </c>
      <c r="G840" s="633" t="s">
        <v>143</v>
      </c>
      <c r="H840" s="733" t="s">
        <v>5570</v>
      </c>
      <c r="I840" s="670" t="s">
        <v>126</v>
      </c>
      <c r="J840" s="670">
        <v>1</v>
      </c>
      <c r="K840" s="631" t="s">
        <v>50</v>
      </c>
      <c r="L840" s="746"/>
    </row>
    <row r="841" spans="1:12" s="747" customFormat="1" ht="11.25">
      <c r="A841" s="1155" t="s">
        <v>1646</v>
      </c>
      <c r="B841" s="1155"/>
      <c r="C841" s="1155"/>
      <c r="D841" s="1155"/>
      <c r="E841" s="1155"/>
      <c r="F841" s="1155"/>
      <c r="G841" s="1155"/>
      <c r="H841" s="1155"/>
      <c r="I841" s="1155"/>
      <c r="J841" s="631">
        <f>SUM(J838:J840)</f>
        <v>3</v>
      </c>
      <c r="K841" s="672"/>
      <c r="L841" s="746"/>
    </row>
    <row r="844" spans="1:12" ht="22.5">
      <c r="A844" s="625" t="s">
        <v>43</v>
      </c>
      <c r="B844" s="625" t="s">
        <v>1620</v>
      </c>
      <c r="C844" s="626" t="s">
        <v>2</v>
      </c>
      <c r="D844" s="626" t="s">
        <v>3</v>
      </c>
      <c r="E844" s="626" t="s">
        <v>4</v>
      </c>
      <c r="F844" s="626" t="s">
        <v>5</v>
      </c>
      <c r="G844" s="626" t="s">
        <v>6</v>
      </c>
      <c r="H844" s="627" t="s">
        <v>45</v>
      </c>
      <c r="I844" s="626" t="s">
        <v>8</v>
      </c>
      <c r="J844" s="628" t="s">
        <v>46</v>
      </c>
      <c r="K844" s="629" t="s">
        <v>47</v>
      </c>
    </row>
    <row r="845" spans="1:12">
      <c r="A845" s="1161" t="s">
        <v>5678</v>
      </c>
      <c r="B845" s="832" t="s">
        <v>5950</v>
      </c>
      <c r="C845" s="631" t="s">
        <v>19</v>
      </c>
      <c r="D845" s="631" t="s">
        <v>25</v>
      </c>
      <c r="E845" s="670" t="s">
        <v>5838</v>
      </c>
      <c r="F845" s="833" t="s">
        <v>5754</v>
      </c>
      <c r="G845" s="833" t="s">
        <v>18</v>
      </c>
      <c r="H845" s="834" t="s">
        <v>5953</v>
      </c>
      <c r="I845" s="744" t="s">
        <v>4168</v>
      </c>
      <c r="J845" s="835">
        <v>4</v>
      </c>
      <c r="K845" s="631" t="s">
        <v>50</v>
      </c>
    </row>
    <row r="846" spans="1:12">
      <c r="A846" s="1162"/>
      <c r="B846" s="676" t="s">
        <v>6069</v>
      </c>
      <c r="C846" s="631" t="s">
        <v>19</v>
      </c>
      <c r="D846" s="631" t="s">
        <v>25</v>
      </c>
      <c r="E846" s="670" t="s">
        <v>5838</v>
      </c>
      <c r="F846" s="661" t="s">
        <v>6075</v>
      </c>
      <c r="G846" s="661" t="s">
        <v>6071</v>
      </c>
      <c r="H846" s="677" t="s">
        <v>3425</v>
      </c>
      <c r="I846" s="810"/>
      <c r="J846" s="810">
        <v>2</v>
      </c>
      <c r="K846" s="631" t="s">
        <v>50</v>
      </c>
    </row>
    <row r="847" spans="1:12">
      <c r="A847" s="1162"/>
      <c r="B847" s="676" t="s">
        <v>6072</v>
      </c>
      <c r="C847" s="631" t="s">
        <v>19</v>
      </c>
      <c r="D847" s="631" t="s">
        <v>25</v>
      </c>
      <c r="E847" s="670" t="s">
        <v>5838</v>
      </c>
      <c r="F847" s="661">
        <v>7062</v>
      </c>
      <c r="G847" s="661" t="s">
        <v>1497</v>
      </c>
      <c r="H847" s="677" t="s">
        <v>3425</v>
      </c>
      <c r="I847" s="810"/>
      <c r="J847" s="810">
        <v>3</v>
      </c>
      <c r="K847" s="631" t="s">
        <v>50</v>
      </c>
    </row>
    <row r="848" spans="1:12">
      <c r="A848" s="1162"/>
      <c r="B848" s="676">
        <v>46188</v>
      </c>
      <c r="C848" s="631" t="s">
        <v>19</v>
      </c>
      <c r="D848" s="631" t="s">
        <v>151</v>
      </c>
      <c r="E848" s="670" t="s">
        <v>5254</v>
      </c>
      <c r="F848" s="670" t="s">
        <v>5847</v>
      </c>
      <c r="G848" s="633" t="s">
        <v>6133</v>
      </c>
      <c r="H848" s="812" t="s">
        <v>3826</v>
      </c>
      <c r="I848" s="670" t="s">
        <v>168</v>
      </c>
      <c r="J848" s="812">
        <v>2</v>
      </c>
      <c r="K848" s="631" t="s">
        <v>50</v>
      </c>
    </row>
    <row r="849" spans="1:11">
      <c r="A849" s="1162"/>
      <c r="B849" s="676" t="s">
        <v>6137</v>
      </c>
      <c r="C849" s="631" t="s">
        <v>19</v>
      </c>
      <c r="D849" s="631" t="s">
        <v>151</v>
      </c>
      <c r="E849" s="670" t="s">
        <v>5254</v>
      </c>
      <c r="F849" s="661">
        <v>7062</v>
      </c>
      <c r="G849" s="661" t="s">
        <v>143</v>
      </c>
      <c r="H849" s="677" t="s">
        <v>2962</v>
      </c>
      <c r="I849" s="670" t="s">
        <v>168</v>
      </c>
      <c r="J849" s="812">
        <v>2</v>
      </c>
      <c r="K849" s="631" t="s">
        <v>50</v>
      </c>
    </row>
    <row r="850" spans="1:11">
      <c r="A850" s="1162"/>
      <c r="B850" s="676" t="s">
        <v>6138</v>
      </c>
      <c r="C850" s="631" t="s">
        <v>19</v>
      </c>
      <c r="D850" s="631" t="s">
        <v>151</v>
      </c>
      <c r="E850" s="670" t="s">
        <v>5254</v>
      </c>
      <c r="F850" s="661" t="s">
        <v>6075</v>
      </c>
      <c r="G850" s="661" t="s">
        <v>145</v>
      </c>
      <c r="H850" s="677" t="s">
        <v>378</v>
      </c>
      <c r="I850" s="810" t="s">
        <v>126</v>
      </c>
      <c r="J850" s="810">
        <v>1</v>
      </c>
      <c r="K850" s="631" t="s">
        <v>50</v>
      </c>
    </row>
    <row r="851" spans="1:11">
      <c r="A851" s="1162"/>
      <c r="B851" s="832" t="s">
        <v>6249</v>
      </c>
      <c r="C851" s="836" t="s">
        <v>19</v>
      </c>
      <c r="D851" s="631" t="s">
        <v>25</v>
      </c>
      <c r="E851" s="670" t="s">
        <v>5254</v>
      </c>
      <c r="F851" s="837" t="s">
        <v>6250</v>
      </c>
      <c r="G851" s="838" t="s">
        <v>34</v>
      </c>
      <c r="H851" s="839" t="s">
        <v>6251</v>
      </c>
      <c r="I851" s="670" t="s">
        <v>3661</v>
      </c>
      <c r="J851" s="812">
        <v>5</v>
      </c>
      <c r="K851" s="631" t="s">
        <v>50</v>
      </c>
    </row>
    <row r="852" spans="1:11">
      <c r="A852" s="1162"/>
      <c r="B852" s="676">
        <v>46203</v>
      </c>
      <c r="C852" s="836" t="s">
        <v>19</v>
      </c>
      <c r="D852" s="631" t="s">
        <v>25</v>
      </c>
      <c r="E852" s="670" t="s">
        <v>5838</v>
      </c>
      <c r="F852" s="670" t="s">
        <v>6250</v>
      </c>
      <c r="G852" s="633" t="s">
        <v>34</v>
      </c>
      <c r="H852" s="812" t="s">
        <v>6321</v>
      </c>
      <c r="I852" s="670" t="s">
        <v>3429</v>
      </c>
      <c r="J852" s="812">
        <v>1</v>
      </c>
      <c r="K852" s="631" t="s">
        <v>50</v>
      </c>
    </row>
    <row r="853" spans="1:11">
      <c r="A853" s="1155" t="s">
        <v>1646</v>
      </c>
      <c r="B853" s="1155"/>
      <c r="C853" s="1155"/>
      <c r="D853" s="1155"/>
      <c r="E853" s="1155"/>
      <c r="F853" s="1155"/>
      <c r="G853" s="1155"/>
      <c r="H853" s="1155"/>
      <c r="I853" s="1155"/>
      <c r="J853" s="631">
        <f>SUM(J845:J852)</f>
        <v>20</v>
      </c>
      <c r="K853" s="672"/>
    </row>
    <row r="855" spans="1:11" ht="22.5">
      <c r="A855" s="625" t="s">
        <v>43</v>
      </c>
      <c r="B855" s="625" t="s">
        <v>1620</v>
      </c>
      <c r="C855" s="626" t="s">
        <v>2</v>
      </c>
      <c r="D855" s="626" t="s">
        <v>3</v>
      </c>
      <c r="E855" s="626" t="s">
        <v>4</v>
      </c>
      <c r="F855" s="626" t="s">
        <v>5</v>
      </c>
      <c r="G855" s="626" t="s">
        <v>6</v>
      </c>
      <c r="H855" s="627" t="s">
        <v>45</v>
      </c>
      <c r="I855" s="626" t="s">
        <v>8</v>
      </c>
      <c r="J855" s="628" t="s">
        <v>46</v>
      </c>
      <c r="K855" s="629" t="s">
        <v>47</v>
      </c>
    </row>
    <row r="856" spans="1:11" ht="16.5" customHeight="1">
      <c r="A856" s="1164" t="s">
        <v>6384</v>
      </c>
      <c r="B856" s="657" t="s">
        <v>5846</v>
      </c>
      <c r="C856" s="645" t="s">
        <v>19</v>
      </c>
      <c r="D856" s="645" t="s">
        <v>25</v>
      </c>
      <c r="E856" s="807" t="s">
        <v>5838</v>
      </c>
      <c r="F856" s="807" t="s">
        <v>3589</v>
      </c>
      <c r="G856" s="807" t="s">
        <v>4912</v>
      </c>
      <c r="H856" s="808" t="s">
        <v>5845</v>
      </c>
      <c r="I856" s="663"/>
      <c r="J856" s="663">
        <v>3</v>
      </c>
      <c r="K856" s="631" t="s">
        <v>50</v>
      </c>
    </row>
    <row r="857" spans="1:11">
      <c r="A857" s="1165"/>
      <c r="B857" s="657" t="s">
        <v>5846</v>
      </c>
      <c r="C857" s="645" t="s">
        <v>19</v>
      </c>
      <c r="D857" s="645" t="s">
        <v>25</v>
      </c>
      <c r="E857" s="807" t="s">
        <v>5838</v>
      </c>
      <c r="F857" s="807" t="s">
        <v>5847</v>
      </c>
      <c r="G857" s="807" t="s">
        <v>569</v>
      </c>
      <c r="H857" s="808" t="s">
        <v>5856</v>
      </c>
      <c r="I857" s="663"/>
      <c r="J857" s="663">
        <v>2</v>
      </c>
      <c r="K857" s="631" t="s">
        <v>50</v>
      </c>
    </row>
    <row r="858" spans="1:11">
      <c r="A858" s="1165"/>
      <c r="B858" s="674">
        <v>46172</v>
      </c>
      <c r="C858" s="645" t="s">
        <v>19</v>
      </c>
      <c r="D858" s="645" t="s">
        <v>25</v>
      </c>
      <c r="E858" s="646" t="s">
        <v>5838</v>
      </c>
      <c r="F858" s="646" t="s">
        <v>3589</v>
      </c>
      <c r="G858" s="649" t="s">
        <v>4912</v>
      </c>
      <c r="H858" s="814" t="s">
        <v>5939</v>
      </c>
      <c r="I858" s="646" t="s">
        <v>3429</v>
      </c>
      <c r="J858" s="814">
        <v>1</v>
      </c>
      <c r="K858" s="631" t="s">
        <v>50</v>
      </c>
    </row>
    <row r="859" spans="1:11">
      <c r="A859" s="1165"/>
      <c r="B859" s="674">
        <v>46172</v>
      </c>
      <c r="C859" s="645" t="s">
        <v>19</v>
      </c>
      <c r="D859" s="645" t="s">
        <v>25</v>
      </c>
      <c r="E859" s="646" t="s">
        <v>5838</v>
      </c>
      <c r="F859" s="699">
        <v>1615</v>
      </c>
      <c r="G859" s="699" t="s">
        <v>4912</v>
      </c>
      <c r="H859" s="700" t="s">
        <v>4088</v>
      </c>
      <c r="I859" s="721" t="s">
        <v>5944</v>
      </c>
      <c r="J859" s="814">
        <v>1</v>
      </c>
      <c r="K859" s="631" t="s">
        <v>50</v>
      </c>
    </row>
    <row r="860" spans="1:11">
      <c r="A860" s="1165"/>
      <c r="B860" s="674" t="s">
        <v>5958</v>
      </c>
      <c r="C860" s="645" t="s">
        <v>19</v>
      </c>
      <c r="D860" s="645" t="s">
        <v>25</v>
      </c>
      <c r="E860" s="646" t="s">
        <v>5838</v>
      </c>
      <c r="F860" s="699">
        <v>1615</v>
      </c>
      <c r="G860" s="699" t="s">
        <v>4912</v>
      </c>
      <c r="H860" s="700" t="s">
        <v>3876</v>
      </c>
      <c r="I860" s="721" t="s">
        <v>4168</v>
      </c>
      <c r="J860" s="701">
        <v>2</v>
      </c>
      <c r="K860" s="631" t="s">
        <v>50</v>
      </c>
    </row>
    <row r="861" spans="1:11">
      <c r="A861" s="1165"/>
      <c r="B861" s="674" t="s">
        <v>5949</v>
      </c>
      <c r="C861" s="645" t="s">
        <v>19</v>
      </c>
      <c r="D861" s="645" t="s">
        <v>25</v>
      </c>
      <c r="E861" s="646" t="s">
        <v>5838</v>
      </c>
      <c r="F861" s="699">
        <v>7062</v>
      </c>
      <c r="G861" s="699" t="s">
        <v>1497</v>
      </c>
      <c r="H861" s="700" t="s">
        <v>5946</v>
      </c>
      <c r="I861" s="721" t="s">
        <v>4168</v>
      </c>
      <c r="J861" s="701">
        <v>2</v>
      </c>
      <c r="K861" s="631" t="s">
        <v>50</v>
      </c>
    </row>
    <row r="862" spans="1:11">
      <c r="A862" s="1165"/>
      <c r="B862" s="674" t="s">
        <v>5949</v>
      </c>
      <c r="C862" s="645" t="s">
        <v>19</v>
      </c>
      <c r="D862" s="645" t="s">
        <v>25</v>
      </c>
      <c r="E862" s="646" t="s">
        <v>5838</v>
      </c>
      <c r="F862" s="646" t="s">
        <v>5847</v>
      </c>
      <c r="G862" s="699" t="s">
        <v>5960</v>
      </c>
      <c r="H862" s="700" t="s">
        <v>5962</v>
      </c>
      <c r="I862" s="721" t="s">
        <v>3429</v>
      </c>
      <c r="J862" s="701">
        <v>2</v>
      </c>
      <c r="K862" s="631" t="s">
        <v>50</v>
      </c>
    </row>
    <row r="863" spans="1:11">
      <c r="A863" s="1165"/>
      <c r="B863" s="657">
        <v>46179</v>
      </c>
      <c r="C863" s="645" t="s">
        <v>19</v>
      </c>
      <c r="D863" s="645" t="s">
        <v>25</v>
      </c>
      <c r="E863" s="646" t="s">
        <v>5838</v>
      </c>
      <c r="F863" s="646">
        <v>1615</v>
      </c>
      <c r="G863" s="649" t="s">
        <v>4912</v>
      </c>
      <c r="H863" s="814" t="s">
        <v>6060</v>
      </c>
      <c r="I863" s="646" t="s">
        <v>5944</v>
      </c>
      <c r="J863" s="814">
        <v>1</v>
      </c>
      <c r="K863" s="631" t="s">
        <v>50</v>
      </c>
    </row>
    <row r="864" spans="1:11">
      <c r="A864" s="1165"/>
      <c r="B864" s="657" t="s">
        <v>6056</v>
      </c>
      <c r="C864" s="645" t="s">
        <v>19</v>
      </c>
      <c r="D864" s="645" t="s">
        <v>25</v>
      </c>
      <c r="E864" s="646" t="s">
        <v>5838</v>
      </c>
      <c r="F864" s="646">
        <v>1615</v>
      </c>
      <c r="G864" s="649" t="s">
        <v>4912</v>
      </c>
      <c r="H864" s="814" t="s">
        <v>6060</v>
      </c>
      <c r="I864" s="646" t="s">
        <v>5944</v>
      </c>
      <c r="J864" s="814">
        <v>5</v>
      </c>
      <c r="K864" s="631" t="s">
        <v>50</v>
      </c>
    </row>
    <row r="865" spans="1:11">
      <c r="A865" s="1165"/>
      <c r="B865" s="657" t="s">
        <v>6064</v>
      </c>
      <c r="C865" s="645" t="s">
        <v>19</v>
      </c>
      <c r="D865" s="645" t="s">
        <v>25</v>
      </c>
      <c r="E865" s="646" t="s">
        <v>5838</v>
      </c>
      <c r="F865" s="807" t="s">
        <v>5847</v>
      </c>
      <c r="G865" s="807" t="s">
        <v>6066</v>
      </c>
      <c r="H865" s="808" t="s">
        <v>5962</v>
      </c>
      <c r="I865" s="663"/>
      <c r="J865" s="663">
        <v>2</v>
      </c>
      <c r="K865" s="631" t="s">
        <v>50</v>
      </c>
    </row>
    <row r="866" spans="1:11">
      <c r="A866" s="1165"/>
      <c r="B866" s="657" t="s">
        <v>6069</v>
      </c>
      <c r="C866" s="645" t="s">
        <v>19</v>
      </c>
      <c r="D866" s="645" t="s">
        <v>25</v>
      </c>
      <c r="E866" s="646" t="s">
        <v>5838</v>
      </c>
      <c r="F866" s="807" t="s">
        <v>6075</v>
      </c>
      <c r="G866" s="807" t="s">
        <v>6071</v>
      </c>
      <c r="H866" s="808" t="s">
        <v>3425</v>
      </c>
      <c r="I866" s="663"/>
      <c r="J866" s="663">
        <v>2</v>
      </c>
      <c r="K866" s="631" t="s">
        <v>50</v>
      </c>
    </row>
    <row r="867" spans="1:11">
      <c r="A867" s="1165"/>
      <c r="B867" s="369">
        <v>46186</v>
      </c>
      <c r="C867" s="645" t="s">
        <v>19</v>
      </c>
      <c r="D867" s="645" t="s">
        <v>151</v>
      </c>
      <c r="E867" s="646" t="s">
        <v>5254</v>
      </c>
      <c r="F867" s="646">
        <v>7063</v>
      </c>
      <c r="G867" s="649" t="s">
        <v>1391</v>
      </c>
      <c r="H867" s="814" t="s">
        <v>1105</v>
      </c>
      <c r="I867" s="646" t="s">
        <v>1259</v>
      </c>
      <c r="J867" s="814">
        <v>1</v>
      </c>
      <c r="K867" s="631" t="s">
        <v>50</v>
      </c>
    </row>
    <row r="868" spans="1:11">
      <c r="A868" s="1165"/>
      <c r="B868" s="369" t="s">
        <v>6139</v>
      </c>
      <c r="C868" s="645" t="s">
        <v>19</v>
      </c>
      <c r="D868" s="645" t="s">
        <v>151</v>
      </c>
      <c r="E868" s="646" t="s">
        <v>5254</v>
      </c>
      <c r="F868" s="646">
        <v>7063</v>
      </c>
      <c r="G868" s="649" t="s">
        <v>1391</v>
      </c>
      <c r="H868" s="814" t="s">
        <v>1105</v>
      </c>
      <c r="I868" s="646" t="s">
        <v>1259</v>
      </c>
      <c r="J868" s="814">
        <v>4</v>
      </c>
      <c r="K868" s="631" t="s">
        <v>50</v>
      </c>
    </row>
    <row r="869" spans="1:11">
      <c r="A869" s="1165"/>
      <c r="B869" s="657" t="s">
        <v>6138</v>
      </c>
      <c r="C869" s="645" t="s">
        <v>19</v>
      </c>
      <c r="D869" s="645" t="s">
        <v>151</v>
      </c>
      <c r="E869" s="646" t="s">
        <v>5254</v>
      </c>
      <c r="F869" s="646" t="s">
        <v>6140</v>
      </c>
      <c r="G869" s="649" t="s">
        <v>34</v>
      </c>
      <c r="H869" s="814" t="s">
        <v>1105</v>
      </c>
      <c r="I869" s="646" t="s">
        <v>1259</v>
      </c>
      <c r="J869" s="814">
        <v>3</v>
      </c>
      <c r="K869" s="631" t="s">
        <v>50</v>
      </c>
    </row>
    <row r="870" spans="1:11">
      <c r="A870" s="1165"/>
      <c r="B870" s="657">
        <v>46192</v>
      </c>
      <c r="C870" s="645" t="s">
        <v>19</v>
      </c>
      <c r="D870" s="645" t="s">
        <v>151</v>
      </c>
      <c r="E870" s="646" t="s">
        <v>5254</v>
      </c>
      <c r="F870" s="807" t="s">
        <v>6135</v>
      </c>
      <c r="G870" s="807" t="s">
        <v>143</v>
      </c>
      <c r="H870" s="808" t="s">
        <v>6136</v>
      </c>
      <c r="I870" s="663" t="s">
        <v>168</v>
      </c>
      <c r="J870" s="663">
        <v>1</v>
      </c>
      <c r="K870" s="631" t="s">
        <v>50</v>
      </c>
    </row>
    <row r="871" spans="1:11">
      <c r="A871" s="1165"/>
      <c r="B871" s="657">
        <v>46189</v>
      </c>
      <c r="C871" s="790" t="s">
        <v>421</v>
      </c>
      <c r="D871" s="790" t="s">
        <v>421</v>
      </c>
      <c r="E871" s="646" t="s">
        <v>5254</v>
      </c>
      <c r="F871" s="646" t="s">
        <v>3589</v>
      </c>
      <c r="G871" s="649"/>
      <c r="H871" s="814" t="s">
        <v>6248</v>
      </c>
      <c r="I871" s="646" t="s">
        <v>252</v>
      </c>
      <c r="J871" s="814">
        <v>1</v>
      </c>
      <c r="K871" s="631" t="s">
        <v>50</v>
      </c>
    </row>
    <row r="872" spans="1:11">
      <c r="A872" s="1165"/>
      <c r="B872" s="657">
        <v>46192</v>
      </c>
      <c r="C872" s="790" t="s">
        <v>421</v>
      </c>
      <c r="D872" s="790" t="s">
        <v>421</v>
      </c>
      <c r="E872" s="646" t="s">
        <v>5254</v>
      </c>
      <c r="F872" s="646" t="s">
        <v>3589</v>
      </c>
      <c r="G872" s="649"/>
      <c r="H872" s="814" t="s">
        <v>6248</v>
      </c>
      <c r="I872" s="646" t="s">
        <v>252</v>
      </c>
      <c r="J872" s="814">
        <v>1</v>
      </c>
      <c r="K872" s="631" t="s">
        <v>50</v>
      </c>
    </row>
    <row r="873" spans="1:11">
      <c r="A873" s="1165"/>
      <c r="B873" s="657">
        <v>46193</v>
      </c>
      <c r="C873" s="790" t="s">
        <v>421</v>
      </c>
      <c r="D873" s="790" t="s">
        <v>421</v>
      </c>
      <c r="E873" s="646" t="s">
        <v>5254</v>
      </c>
      <c r="F873" s="646" t="s">
        <v>3589</v>
      </c>
      <c r="G873" s="649"/>
      <c r="H873" s="814" t="s">
        <v>6248</v>
      </c>
      <c r="I873" s="646" t="s">
        <v>252</v>
      </c>
      <c r="J873" s="814">
        <v>1</v>
      </c>
      <c r="K873" s="631" t="s">
        <v>50</v>
      </c>
    </row>
    <row r="874" spans="1:11">
      <c r="A874" s="1165"/>
      <c r="B874" s="674" t="s">
        <v>6249</v>
      </c>
      <c r="C874" s="645" t="s">
        <v>19</v>
      </c>
      <c r="D874" s="645" t="s">
        <v>25</v>
      </c>
      <c r="E874" s="646" t="s">
        <v>5254</v>
      </c>
      <c r="F874" s="699" t="s">
        <v>6135</v>
      </c>
      <c r="G874" s="699" t="s">
        <v>1172</v>
      </c>
      <c r="H874" s="700" t="s">
        <v>1105</v>
      </c>
      <c r="I874" s="646" t="s">
        <v>1259</v>
      </c>
      <c r="J874" s="814">
        <v>3</v>
      </c>
      <c r="K874" s="631" t="s">
        <v>50</v>
      </c>
    </row>
    <row r="875" spans="1:11">
      <c r="A875" s="1166"/>
      <c r="B875" s="674" t="s">
        <v>6249</v>
      </c>
      <c r="C875" s="645" t="s">
        <v>19</v>
      </c>
      <c r="D875" s="645" t="s">
        <v>25</v>
      </c>
      <c r="E875" s="646" t="s">
        <v>5254</v>
      </c>
      <c r="F875" s="699" t="s">
        <v>5754</v>
      </c>
      <c r="G875" s="699" t="s">
        <v>18</v>
      </c>
      <c r="H875" s="700" t="s">
        <v>6252</v>
      </c>
      <c r="I875" s="721" t="s">
        <v>812</v>
      </c>
      <c r="J875" s="701">
        <v>3</v>
      </c>
      <c r="K875" s="631" t="s">
        <v>50</v>
      </c>
    </row>
    <row r="876" spans="1:11">
      <c r="A876" s="1155" t="s">
        <v>1646</v>
      </c>
      <c r="B876" s="1155"/>
      <c r="C876" s="1155"/>
      <c r="D876" s="1155"/>
      <c r="E876" s="1155"/>
      <c r="F876" s="1155"/>
      <c r="G876" s="1155"/>
      <c r="H876" s="1155"/>
      <c r="I876" s="1155"/>
      <c r="J876" s="631">
        <f>SUM(J856:J875)</f>
        <v>41</v>
      </c>
      <c r="K876" s="672"/>
    </row>
    <row r="879" spans="1:11" ht="22.5">
      <c r="A879" s="625" t="s">
        <v>43</v>
      </c>
      <c r="B879" s="625" t="s">
        <v>1620</v>
      </c>
      <c r="C879" s="626" t="s">
        <v>2</v>
      </c>
      <c r="D879" s="626" t="s">
        <v>3</v>
      </c>
      <c r="E879" s="626" t="s">
        <v>4</v>
      </c>
      <c r="F879" s="626" t="s">
        <v>5</v>
      </c>
      <c r="G879" s="626" t="s">
        <v>6</v>
      </c>
      <c r="H879" s="627" t="s">
        <v>45</v>
      </c>
      <c r="I879" s="626" t="s">
        <v>8</v>
      </c>
      <c r="J879" s="628" t="s">
        <v>46</v>
      </c>
      <c r="K879" s="629" t="s">
        <v>47</v>
      </c>
    </row>
    <row r="880" spans="1:11">
      <c r="A880" s="1165" t="s">
        <v>6385</v>
      </c>
      <c r="B880" s="676">
        <v>46169</v>
      </c>
      <c r="C880" s="631" t="s">
        <v>2064</v>
      </c>
      <c r="D880" s="631" t="s">
        <v>3264</v>
      </c>
      <c r="E880" s="812" t="s">
        <v>5963</v>
      </c>
      <c r="F880" s="670" t="s">
        <v>5796</v>
      </c>
      <c r="G880" s="633" t="s">
        <v>4091</v>
      </c>
      <c r="H880" s="812" t="s">
        <v>6386</v>
      </c>
      <c r="I880" s="670" t="s">
        <v>6387</v>
      </c>
      <c r="J880" s="670">
        <v>1</v>
      </c>
      <c r="K880" s="631" t="s">
        <v>50</v>
      </c>
    </row>
    <row r="881" spans="1:15">
      <c r="A881" s="1165"/>
      <c r="B881" s="676">
        <v>46175</v>
      </c>
      <c r="C881" s="631" t="s">
        <v>2064</v>
      </c>
      <c r="D881" s="631" t="s">
        <v>3264</v>
      </c>
      <c r="E881" s="812" t="s">
        <v>5963</v>
      </c>
      <c r="F881" s="670" t="s">
        <v>5796</v>
      </c>
      <c r="G881" s="633" t="s">
        <v>4091</v>
      </c>
      <c r="H881" s="812" t="s">
        <v>5972</v>
      </c>
      <c r="I881" s="670" t="s">
        <v>4168</v>
      </c>
      <c r="J881" s="812">
        <v>1</v>
      </c>
      <c r="K881" s="631" t="s">
        <v>50</v>
      </c>
    </row>
    <row r="882" spans="1:15">
      <c r="A882" s="1165"/>
      <c r="B882" s="676">
        <v>46181</v>
      </c>
      <c r="C882" s="631" t="s">
        <v>21</v>
      </c>
      <c r="D882" s="631" t="s">
        <v>17</v>
      </c>
      <c r="E882" s="670" t="s">
        <v>78</v>
      </c>
      <c r="F882" s="812" t="s">
        <v>6015</v>
      </c>
      <c r="G882" s="633" t="s">
        <v>35</v>
      </c>
      <c r="H882" s="812" t="s">
        <v>6013</v>
      </c>
      <c r="I882" s="813" t="s">
        <v>90</v>
      </c>
      <c r="J882" s="813">
        <v>1</v>
      </c>
      <c r="K882" s="631" t="s">
        <v>50</v>
      </c>
      <c r="O882">
        <f>50*250000+187500+281250+93750+234375+234375</f>
        <v>13531250</v>
      </c>
    </row>
    <row r="883" spans="1:15">
      <c r="A883" s="1165"/>
      <c r="B883" s="676">
        <v>46188</v>
      </c>
      <c r="C883" s="631" t="s">
        <v>138</v>
      </c>
      <c r="D883" s="631" t="s">
        <v>14</v>
      </c>
      <c r="E883" s="670" t="s">
        <v>107</v>
      </c>
      <c r="F883" s="670" t="s">
        <v>3386</v>
      </c>
      <c r="G883" s="633" t="s">
        <v>115</v>
      </c>
      <c r="H883" s="812" t="s">
        <v>6122</v>
      </c>
      <c r="I883" s="812"/>
      <c r="J883" s="631">
        <v>1</v>
      </c>
      <c r="K883" s="631" t="s">
        <v>50</v>
      </c>
    </row>
    <row r="884" spans="1:15">
      <c r="A884" s="1165"/>
      <c r="B884" s="676">
        <v>46191</v>
      </c>
      <c r="C884" s="631" t="s">
        <v>21</v>
      </c>
      <c r="D884" s="631" t="s">
        <v>17</v>
      </c>
      <c r="E884" s="812" t="s">
        <v>78</v>
      </c>
      <c r="F884" s="813">
        <v>7060</v>
      </c>
      <c r="G884" s="660" t="s">
        <v>35</v>
      </c>
      <c r="H884" s="736" t="s">
        <v>6112</v>
      </c>
      <c r="I884" s="813" t="s">
        <v>120</v>
      </c>
      <c r="J884" s="810">
        <v>1</v>
      </c>
      <c r="K884" s="631" t="s">
        <v>50</v>
      </c>
      <c r="L884" s="840"/>
    </row>
    <row r="885" spans="1:15">
      <c r="A885" s="1165"/>
      <c r="B885" s="842">
        <v>46198</v>
      </c>
      <c r="C885" s="631" t="s">
        <v>21</v>
      </c>
      <c r="D885" s="631" t="s">
        <v>14</v>
      </c>
      <c r="E885" s="670">
        <v>4</v>
      </c>
      <c r="F885" s="670" t="s">
        <v>6135</v>
      </c>
      <c r="G885" s="633" t="s">
        <v>1172</v>
      </c>
      <c r="H885" s="812" t="s">
        <v>271</v>
      </c>
      <c r="I885" s="670" t="s">
        <v>812</v>
      </c>
      <c r="J885" s="843">
        <v>2</v>
      </c>
      <c r="K885" s="631" t="s">
        <v>50</v>
      </c>
      <c r="M885" s="841"/>
    </row>
    <row r="886" spans="1:15">
      <c r="A886" s="1165"/>
      <c r="B886" s="842">
        <v>46199</v>
      </c>
      <c r="C886" s="631" t="s">
        <v>21</v>
      </c>
      <c r="D886" s="631" t="s">
        <v>14</v>
      </c>
      <c r="E886" s="670" t="s">
        <v>427</v>
      </c>
      <c r="F886" s="670" t="s">
        <v>6135</v>
      </c>
      <c r="G886" s="633" t="s">
        <v>1172</v>
      </c>
      <c r="H886" s="812" t="s">
        <v>271</v>
      </c>
      <c r="I886" s="670" t="s">
        <v>812</v>
      </c>
      <c r="J886" s="670">
        <v>2</v>
      </c>
      <c r="K886" s="631" t="s">
        <v>50</v>
      </c>
    </row>
    <row r="887" spans="1:15">
      <c r="A887" s="1155" t="s">
        <v>1646</v>
      </c>
      <c r="B887" s="1155"/>
      <c r="C887" s="1155"/>
      <c r="D887" s="1155"/>
      <c r="E887" s="1155"/>
      <c r="F887" s="1155"/>
      <c r="G887" s="1155"/>
      <c r="H887" s="1155"/>
      <c r="I887" s="1155"/>
      <c r="J887" s="631">
        <f>SUM(J880:J886)</f>
        <v>9</v>
      </c>
      <c r="K887" s="672"/>
    </row>
    <row r="892" spans="1:15" ht="22.5">
      <c r="A892" s="625" t="s">
        <v>43</v>
      </c>
      <c r="B892" s="625" t="s">
        <v>1620</v>
      </c>
      <c r="C892" s="626" t="s">
        <v>2</v>
      </c>
      <c r="D892" s="626" t="s">
        <v>3</v>
      </c>
      <c r="E892" s="626" t="s">
        <v>4</v>
      </c>
      <c r="F892" s="626" t="s">
        <v>5</v>
      </c>
      <c r="G892" s="626" t="s">
        <v>6</v>
      </c>
      <c r="H892" s="627" t="s">
        <v>45</v>
      </c>
      <c r="I892" s="626" t="s">
        <v>8</v>
      </c>
      <c r="J892" s="628" t="s">
        <v>46</v>
      </c>
      <c r="K892" s="629" t="s">
        <v>47</v>
      </c>
    </row>
    <row r="893" spans="1:15">
      <c r="A893" s="1169" t="s">
        <v>739</v>
      </c>
      <c r="B893" s="676">
        <v>46168</v>
      </c>
      <c r="C893" s="810" t="s">
        <v>21</v>
      </c>
      <c r="D893" s="810" t="s">
        <v>14</v>
      </c>
      <c r="E893" s="813" t="s">
        <v>107</v>
      </c>
      <c r="F893" s="813" t="s">
        <v>2959</v>
      </c>
      <c r="G893" s="660" t="s">
        <v>3421</v>
      </c>
      <c r="H893" s="736" t="s">
        <v>5825</v>
      </c>
      <c r="I893" s="736"/>
      <c r="J893" s="810">
        <v>2</v>
      </c>
      <c r="K893" s="631" t="s">
        <v>50</v>
      </c>
    </row>
    <row r="894" spans="1:15">
      <c r="A894" s="1170"/>
      <c r="B894" s="676">
        <v>46169</v>
      </c>
      <c r="C894" s="810" t="s">
        <v>21</v>
      </c>
      <c r="D894" s="810" t="s">
        <v>14</v>
      </c>
      <c r="E894" s="813" t="s">
        <v>107</v>
      </c>
      <c r="F894" s="813" t="s">
        <v>2959</v>
      </c>
      <c r="G894" s="660" t="s">
        <v>3421</v>
      </c>
      <c r="H894" s="736" t="s">
        <v>5825</v>
      </c>
      <c r="I894" s="736"/>
      <c r="J894" s="810">
        <v>2</v>
      </c>
      <c r="K894" s="631" t="s">
        <v>50</v>
      </c>
    </row>
    <row r="895" spans="1:15" ht="22.5">
      <c r="A895" s="1170"/>
      <c r="B895" s="676">
        <v>46175</v>
      </c>
      <c r="C895" s="631" t="s">
        <v>21</v>
      </c>
      <c r="D895" s="631" t="s">
        <v>17</v>
      </c>
      <c r="E895" s="812" t="s">
        <v>1893</v>
      </c>
      <c r="F895" s="812" t="s">
        <v>1323</v>
      </c>
      <c r="G895" s="633" t="s">
        <v>1391</v>
      </c>
      <c r="H895" s="812" t="s">
        <v>5790</v>
      </c>
      <c r="I895" s="670" t="s">
        <v>3274</v>
      </c>
      <c r="J895" s="631">
        <v>1</v>
      </c>
      <c r="K895" s="631" t="s">
        <v>50</v>
      </c>
    </row>
    <row r="896" spans="1:15">
      <c r="A896" s="1170"/>
      <c r="B896" s="676">
        <v>46177</v>
      </c>
      <c r="C896" s="631" t="s">
        <v>21</v>
      </c>
      <c r="D896" s="631" t="s">
        <v>14</v>
      </c>
      <c r="E896" s="670" t="s">
        <v>107</v>
      </c>
      <c r="F896" s="670" t="s">
        <v>3386</v>
      </c>
      <c r="G896" s="633" t="s">
        <v>5903</v>
      </c>
      <c r="H896" s="812" t="s">
        <v>5904</v>
      </c>
      <c r="I896" s="670" t="s">
        <v>90</v>
      </c>
      <c r="J896" s="843">
        <v>1</v>
      </c>
      <c r="K896" s="631" t="s">
        <v>50</v>
      </c>
    </row>
    <row r="897" spans="1:11">
      <c r="A897" s="1170"/>
      <c r="B897" s="676">
        <v>46178</v>
      </c>
      <c r="C897" s="631" t="s">
        <v>21</v>
      </c>
      <c r="D897" s="631" t="s">
        <v>14</v>
      </c>
      <c r="E897" s="670" t="s">
        <v>107</v>
      </c>
      <c r="F897" s="670" t="s">
        <v>3386</v>
      </c>
      <c r="G897" s="633" t="s">
        <v>5903</v>
      </c>
      <c r="H897" s="812" t="s">
        <v>5904</v>
      </c>
      <c r="I897" s="670" t="s">
        <v>90</v>
      </c>
      <c r="J897" s="843">
        <v>1</v>
      </c>
      <c r="K897" s="631" t="s">
        <v>50</v>
      </c>
    </row>
    <row r="898" spans="1:11">
      <c r="A898" s="1170"/>
      <c r="B898" s="676">
        <v>46184</v>
      </c>
      <c r="C898" s="810" t="s">
        <v>21</v>
      </c>
      <c r="D898" s="810" t="s">
        <v>14</v>
      </c>
      <c r="E898" s="813" t="s">
        <v>107</v>
      </c>
      <c r="F898" s="813" t="s">
        <v>2959</v>
      </c>
      <c r="G898" s="660" t="s">
        <v>376</v>
      </c>
      <c r="H898" s="736" t="s">
        <v>5919</v>
      </c>
      <c r="I898" s="813" t="s">
        <v>90</v>
      </c>
      <c r="J898" s="810">
        <v>1</v>
      </c>
      <c r="K898" s="631" t="s">
        <v>50</v>
      </c>
    </row>
    <row r="899" spans="1:11">
      <c r="A899" s="1170"/>
      <c r="B899" s="676">
        <v>46185</v>
      </c>
      <c r="C899" s="810" t="s">
        <v>138</v>
      </c>
      <c r="D899" s="810" t="s">
        <v>14</v>
      </c>
      <c r="E899" s="813" t="s">
        <v>1893</v>
      </c>
      <c r="F899" s="813" t="s">
        <v>6089</v>
      </c>
      <c r="G899" s="660" t="s">
        <v>34</v>
      </c>
      <c r="H899" s="736" t="s">
        <v>6091</v>
      </c>
      <c r="I899" s="670" t="s">
        <v>120</v>
      </c>
      <c r="J899" s="836">
        <v>1</v>
      </c>
      <c r="K899" s="631" t="s">
        <v>50</v>
      </c>
    </row>
    <row r="900" spans="1:11">
      <c r="A900" s="1170"/>
      <c r="B900" s="676">
        <v>46188</v>
      </c>
      <c r="C900" s="631" t="s">
        <v>138</v>
      </c>
      <c r="D900" s="631" t="s">
        <v>14</v>
      </c>
      <c r="E900" s="670" t="s">
        <v>107</v>
      </c>
      <c r="F900" s="670" t="s">
        <v>3386</v>
      </c>
      <c r="G900" s="633" t="s">
        <v>115</v>
      </c>
      <c r="H900" s="812" t="s">
        <v>6122</v>
      </c>
      <c r="I900" s="812"/>
      <c r="J900" s="631">
        <v>1</v>
      </c>
      <c r="K900" s="631" t="s">
        <v>50</v>
      </c>
    </row>
    <row r="901" spans="1:11" ht="22.5">
      <c r="A901" s="1170"/>
      <c r="B901" s="832">
        <v>46195</v>
      </c>
      <c r="C901" s="810" t="s">
        <v>21</v>
      </c>
      <c r="D901" s="810" t="s">
        <v>17</v>
      </c>
      <c r="E901" s="736" t="s">
        <v>4745</v>
      </c>
      <c r="F901" s="813" t="s">
        <v>2654</v>
      </c>
      <c r="G901" s="660" t="s">
        <v>23</v>
      </c>
      <c r="H901" s="736" t="s">
        <v>6211</v>
      </c>
      <c r="I901" s="670"/>
      <c r="J901" s="631">
        <v>2</v>
      </c>
      <c r="K901" s="631" t="s">
        <v>50</v>
      </c>
    </row>
    <row r="902" spans="1:11" ht="22.5">
      <c r="A902" s="1170"/>
      <c r="B902" s="832">
        <v>46196</v>
      </c>
      <c r="C902" s="810" t="s">
        <v>21</v>
      </c>
      <c r="D902" s="810" t="s">
        <v>17</v>
      </c>
      <c r="E902" s="736" t="s">
        <v>4745</v>
      </c>
      <c r="F902" s="813" t="s">
        <v>2654</v>
      </c>
      <c r="G902" s="660" t="s">
        <v>23</v>
      </c>
      <c r="H902" s="736" t="s">
        <v>6211</v>
      </c>
      <c r="I902" s="670"/>
      <c r="J902" s="631">
        <v>2</v>
      </c>
      <c r="K902" s="631" t="s">
        <v>50</v>
      </c>
    </row>
    <row r="903" spans="1:11" ht="22.5">
      <c r="A903" s="1170"/>
      <c r="B903" s="832">
        <v>46197</v>
      </c>
      <c r="C903" s="631" t="s">
        <v>2064</v>
      </c>
      <c r="D903" s="631" t="s">
        <v>3264</v>
      </c>
      <c r="E903" s="812" t="s">
        <v>5963</v>
      </c>
      <c r="F903" s="670" t="s">
        <v>5796</v>
      </c>
      <c r="G903" s="633" t="s">
        <v>4091</v>
      </c>
      <c r="H903" s="812" t="s">
        <v>6392</v>
      </c>
      <c r="I903" s="670" t="s">
        <v>3429</v>
      </c>
      <c r="J903" s="843">
        <v>1</v>
      </c>
      <c r="K903" s="631" t="s">
        <v>6393</v>
      </c>
    </row>
    <row r="904" spans="1:11">
      <c r="A904" s="1155" t="s">
        <v>1646</v>
      </c>
      <c r="B904" s="1155"/>
      <c r="C904" s="1155"/>
      <c r="D904" s="1155"/>
      <c r="E904" s="1155"/>
      <c r="F904" s="1155"/>
      <c r="G904" s="1155"/>
      <c r="H904" s="1155"/>
      <c r="I904" s="1155"/>
      <c r="J904" s="631">
        <f>SUM(J893:J903)</f>
        <v>15</v>
      </c>
      <c r="K904" s="672"/>
    </row>
    <row r="907" spans="1:11" ht="22.5">
      <c r="A907" s="625" t="s">
        <v>43</v>
      </c>
      <c r="B907" s="625" t="s">
        <v>1620</v>
      </c>
      <c r="C907" s="626" t="s">
        <v>2</v>
      </c>
      <c r="D907" s="626" t="s">
        <v>3</v>
      </c>
      <c r="E907" s="626" t="s">
        <v>4</v>
      </c>
      <c r="F907" s="626" t="s">
        <v>5</v>
      </c>
      <c r="G907" s="626" t="s">
        <v>6</v>
      </c>
      <c r="H907" s="627" t="s">
        <v>45</v>
      </c>
      <c r="I907" s="626" t="s">
        <v>8</v>
      </c>
      <c r="J907" s="628" t="s">
        <v>46</v>
      </c>
      <c r="K907" s="629" t="s">
        <v>47</v>
      </c>
    </row>
    <row r="908" spans="1:11">
      <c r="A908" s="1169" t="s">
        <v>6394</v>
      </c>
      <c r="B908" s="676">
        <v>46178</v>
      </c>
      <c r="C908" s="810" t="s">
        <v>21</v>
      </c>
      <c r="D908" s="810" t="s">
        <v>14</v>
      </c>
      <c r="E908" s="813" t="s">
        <v>5915</v>
      </c>
      <c r="F908" s="813" t="s">
        <v>3420</v>
      </c>
      <c r="G908" s="660" t="s">
        <v>553</v>
      </c>
      <c r="H908" s="736" t="s">
        <v>5918</v>
      </c>
      <c r="I908" s="813"/>
      <c r="J908" s="845">
        <v>2</v>
      </c>
      <c r="K908" s="631" t="s">
        <v>50</v>
      </c>
    </row>
    <row r="909" spans="1:11">
      <c r="A909" s="1170"/>
      <c r="B909" s="676">
        <v>46181</v>
      </c>
      <c r="C909" s="631" t="s">
        <v>21</v>
      </c>
      <c r="D909" s="631" t="s">
        <v>14</v>
      </c>
      <c r="E909" s="812" t="s">
        <v>149</v>
      </c>
      <c r="F909" s="670" t="s">
        <v>4090</v>
      </c>
      <c r="G909" s="633" t="s">
        <v>4091</v>
      </c>
      <c r="H909" s="812" t="s">
        <v>5992</v>
      </c>
      <c r="I909" s="670" t="s">
        <v>3429</v>
      </c>
      <c r="J909" s="843">
        <v>1</v>
      </c>
      <c r="K909" s="631" t="s">
        <v>50</v>
      </c>
    </row>
    <row r="910" spans="1:11">
      <c r="A910" s="1170"/>
      <c r="B910" s="676">
        <v>46182</v>
      </c>
      <c r="C910" s="631" t="s">
        <v>21</v>
      </c>
      <c r="D910" s="631" t="s">
        <v>14</v>
      </c>
      <c r="E910" s="812" t="s">
        <v>149</v>
      </c>
      <c r="F910" s="670" t="s">
        <v>4090</v>
      </c>
      <c r="G910" s="633" t="s">
        <v>4091</v>
      </c>
      <c r="H910" s="812" t="s">
        <v>1276</v>
      </c>
      <c r="I910" s="670" t="s">
        <v>3429</v>
      </c>
      <c r="J910" s="843">
        <v>1</v>
      </c>
      <c r="K910" s="631" t="s">
        <v>50</v>
      </c>
    </row>
    <row r="911" spans="1:11">
      <c r="A911" s="1170"/>
      <c r="B911" s="676">
        <v>46183</v>
      </c>
      <c r="C911" s="631" t="s">
        <v>21</v>
      </c>
      <c r="D911" s="631" t="s">
        <v>14</v>
      </c>
      <c r="E911" s="670" t="s">
        <v>1893</v>
      </c>
      <c r="F911" s="670" t="s">
        <v>4939</v>
      </c>
      <c r="G911" s="633" t="s">
        <v>482</v>
      </c>
      <c r="H911" s="812" t="s">
        <v>3607</v>
      </c>
      <c r="I911" s="670" t="s">
        <v>3787</v>
      </c>
      <c r="J911" s="631">
        <v>2</v>
      </c>
      <c r="K911" s="631" t="s">
        <v>50</v>
      </c>
    </row>
    <row r="912" spans="1:11">
      <c r="A912" s="1170"/>
      <c r="B912" s="676">
        <v>46184</v>
      </c>
      <c r="C912" s="631" t="s">
        <v>21</v>
      </c>
      <c r="D912" s="631" t="s">
        <v>14</v>
      </c>
      <c r="E912" s="670" t="s">
        <v>1893</v>
      </c>
      <c r="F912" s="670" t="s">
        <v>4939</v>
      </c>
      <c r="G912" s="633" t="s">
        <v>482</v>
      </c>
      <c r="H912" s="812" t="s">
        <v>3607</v>
      </c>
      <c r="I912" s="670" t="s">
        <v>3787</v>
      </c>
      <c r="J912" s="631">
        <v>2</v>
      </c>
      <c r="K912" s="631" t="s">
        <v>50</v>
      </c>
    </row>
    <row r="913" spans="1:11">
      <c r="A913" s="1170"/>
      <c r="B913" s="676">
        <v>46185</v>
      </c>
      <c r="C913" s="631" t="s">
        <v>21</v>
      </c>
      <c r="D913" s="631" t="s">
        <v>14</v>
      </c>
      <c r="E913" s="670" t="s">
        <v>1893</v>
      </c>
      <c r="F913" s="670" t="s">
        <v>4939</v>
      </c>
      <c r="G913" s="633" t="s">
        <v>482</v>
      </c>
      <c r="H913" s="812" t="s">
        <v>3607</v>
      </c>
      <c r="I913" s="670" t="s">
        <v>3787</v>
      </c>
      <c r="J913" s="631">
        <v>2</v>
      </c>
      <c r="K913" s="631" t="s">
        <v>50</v>
      </c>
    </row>
    <row r="914" spans="1:11" ht="22.5">
      <c r="A914" s="1170"/>
      <c r="B914" s="676">
        <v>46189</v>
      </c>
      <c r="C914" s="631" t="s">
        <v>21</v>
      </c>
      <c r="D914" s="631" t="s">
        <v>17</v>
      </c>
      <c r="E914" s="812" t="s">
        <v>6095</v>
      </c>
      <c r="F914" s="813" t="s">
        <v>2713</v>
      </c>
      <c r="G914" s="660" t="s">
        <v>115</v>
      </c>
      <c r="H914" s="736" t="s">
        <v>6100</v>
      </c>
      <c r="I914" s="813"/>
      <c r="J914" s="631">
        <v>2</v>
      </c>
      <c r="K914" s="631" t="s">
        <v>50</v>
      </c>
    </row>
    <row r="915" spans="1:11" ht="22.5">
      <c r="A915" s="1170"/>
      <c r="B915" s="676">
        <v>46190</v>
      </c>
      <c r="C915" s="631" t="s">
        <v>21</v>
      </c>
      <c r="D915" s="631" t="s">
        <v>17</v>
      </c>
      <c r="E915" s="812" t="s">
        <v>6095</v>
      </c>
      <c r="F915" s="813" t="s">
        <v>2713</v>
      </c>
      <c r="G915" s="660" t="s">
        <v>23</v>
      </c>
      <c r="H915" s="736" t="s">
        <v>6099</v>
      </c>
      <c r="I915" s="813"/>
      <c r="J915" s="631">
        <v>2</v>
      </c>
      <c r="K915" s="631" t="s">
        <v>50</v>
      </c>
    </row>
    <row r="916" spans="1:11" ht="45">
      <c r="A916" s="1170"/>
      <c r="B916" s="676">
        <v>46191</v>
      </c>
      <c r="C916" s="810" t="s">
        <v>21</v>
      </c>
      <c r="D916" s="810" t="s">
        <v>14</v>
      </c>
      <c r="E916" s="736" t="s">
        <v>149</v>
      </c>
      <c r="F916" s="813" t="s">
        <v>4090</v>
      </c>
      <c r="G916" s="660" t="s">
        <v>4091</v>
      </c>
      <c r="H916" s="736" t="s">
        <v>6115</v>
      </c>
      <c r="I916" s="813"/>
      <c r="J916" s="631">
        <v>1</v>
      </c>
      <c r="K916" s="631" t="s">
        <v>6393</v>
      </c>
    </row>
    <row r="917" spans="1:11" ht="22.5">
      <c r="A917" s="1170"/>
      <c r="B917" s="842">
        <v>46197</v>
      </c>
      <c r="C917" s="631" t="s">
        <v>21</v>
      </c>
      <c r="D917" s="631" t="s">
        <v>14</v>
      </c>
      <c r="E917" s="812" t="s">
        <v>149</v>
      </c>
      <c r="F917" s="670" t="s">
        <v>4090</v>
      </c>
      <c r="G917" s="633" t="s">
        <v>4091</v>
      </c>
      <c r="H917" s="812" t="s">
        <v>6254</v>
      </c>
      <c r="I917" s="670" t="s">
        <v>252</v>
      </c>
      <c r="J917" s="631">
        <v>1</v>
      </c>
      <c r="K917" s="631" t="s">
        <v>6393</v>
      </c>
    </row>
    <row r="918" spans="1:11" ht="22.5">
      <c r="A918" s="1170"/>
      <c r="B918" s="842">
        <v>46198</v>
      </c>
      <c r="C918" s="631" t="s">
        <v>21</v>
      </c>
      <c r="D918" s="631" t="s">
        <v>17</v>
      </c>
      <c r="E918" s="812" t="s">
        <v>6095</v>
      </c>
      <c r="F918" s="670" t="s">
        <v>2713</v>
      </c>
      <c r="G918" s="633" t="s">
        <v>115</v>
      </c>
      <c r="H918" s="812" t="s">
        <v>6253</v>
      </c>
      <c r="I918" s="670"/>
      <c r="J918" s="812">
        <v>1</v>
      </c>
      <c r="K918" s="631" t="s">
        <v>50</v>
      </c>
    </row>
    <row r="919" spans="1:11">
      <c r="A919" s="1155" t="s">
        <v>1646</v>
      </c>
      <c r="B919" s="1155"/>
      <c r="C919" s="1155"/>
      <c r="D919" s="1155"/>
      <c r="E919" s="1155"/>
      <c r="F919" s="1155"/>
      <c r="G919" s="1155"/>
      <c r="H919" s="1155"/>
      <c r="I919" s="1155"/>
      <c r="J919" s="631">
        <f>SUM(J908:J918)</f>
        <v>17</v>
      </c>
      <c r="K919" s="672"/>
    </row>
    <row r="924" spans="1:11" ht="22.5">
      <c r="A924" s="625" t="s">
        <v>43</v>
      </c>
      <c r="B924" s="625" t="s">
        <v>1620</v>
      </c>
      <c r="C924" s="626" t="s">
        <v>2</v>
      </c>
      <c r="D924" s="626" t="s">
        <v>3</v>
      </c>
      <c r="E924" s="626" t="s">
        <v>4</v>
      </c>
      <c r="F924" s="626" t="s">
        <v>5</v>
      </c>
      <c r="G924" s="626" t="s">
        <v>6</v>
      </c>
      <c r="H924" s="627" t="s">
        <v>45</v>
      </c>
      <c r="I924" s="626" t="s">
        <v>8</v>
      </c>
      <c r="J924" s="628" t="s">
        <v>46</v>
      </c>
      <c r="K924" s="629" t="s">
        <v>47</v>
      </c>
    </row>
    <row r="925" spans="1:11">
      <c r="A925" s="1164" t="s">
        <v>6395</v>
      </c>
      <c r="B925" s="669">
        <v>46181</v>
      </c>
      <c r="C925" s="631" t="s">
        <v>21</v>
      </c>
      <c r="D925" s="631" t="s">
        <v>14</v>
      </c>
      <c r="E925" s="812" t="s">
        <v>149</v>
      </c>
      <c r="F925" s="670" t="s">
        <v>4090</v>
      </c>
      <c r="G925" s="633" t="s">
        <v>4091</v>
      </c>
      <c r="H925" s="812" t="s">
        <v>6105</v>
      </c>
      <c r="I925" s="670" t="s">
        <v>168</v>
      </c>
      <c r="J925" s="670">
        <v>1</v>
      </c>
      <c r="K925" s="631" t="s">
        <v>50</v>
      </c>
    </row>
    <row r="926" spans="1:11">
      <c r="A926" s="1165"/>
      <c r="B926" s="669">
        <v>46182</v>
      </c>
      <c r="C926" s="631" t="s">
        <v>21</v>
      </c>
      <c r="D926" s="631" t="s">
        <v>14</v>
      </c>
      <c r="E926" s="812" t="s">
        <v>149</v>
      </c>
      <c r="F926" s="670" t="s">
        <v>4090</v>
      </c>
      <c r="G926" s="633" t="s">
        <v>4091</v>
      </c>
      <c r="H926" s="812" t="s">
        <v>6105</v>
      </c>
      <c r="I926" s="670" t="s">
        <v>168</v>
      </c>
      <c r="J926" s="670">
        <v>1</v>
      </c>
      <c r="K926" s="631" t="s">
        <v>50</v>
      </c>
    </row>
    <row r="927" spans="1:11">
      <c r="A927" s="1165"/>
      <c r="B927" s="669">
        <v>46183</v>
      </c>
      <c r="C927" s="631" t="s">
        <v>21</v>
      </c>
      <c r="D927" s="631" t="s">
        <v>14</v>
      </c>
      <c r="E927" s="812" t="s">
        <v>149</v>
      </c>
      <c r="F927" s="670" t="s">
        <v>4090</v>
      </c>
      <c r="G927" s="633" t="s">
        <v>4091</v>
      </c>
      <c r="H927" s="812" t="s">
        <v>6117</v>
      </c>
      <c r="I927" s="670" t="s">
        <v>168</v>
      </c>
      <c r="J927" s="670">
        <v>1</v>
      </c>
      <c r="K927" s="631" t="s">
        <v>50</v>
      </c>
    </row>
    <row r="928" spans="1:11">
      <c r="A928" s="1165"/>
      <c r="B928" s="669">
        <v>46184</v>
      </c>
      <c r="C928" s="631" t="s">
        <v>21</v>
      </c>
      <c r="D928" s="631" t="s">
        <v>14</v>
      </c>
      <c r="E928" s="812" t="s">
        <v>149</v>
      </c>
      <c r="F928" s="670" t="s">
        <v>4090</v>
      </c>
      <c r="G928" s="633" t="s">
        <v>4091</v>
      </c>
      <c r="H928" s="812" t="s">
        <v>303</v>
      </c>
      <c r="I928" s="670" t="s">
        <v>168</v>
      </c>
      <c r="J928" s="670">
        <v>1</v>
      </c>
      <c r="K928" s="631" t="s">
        <v>50</v>
      </c>
    </row>
    <row r="929" spans="1:11" ht="17.25" customHeight="1">
      <c r="A929" s="1166"/>
      <c r="B929" s="832">
        <v>46196</v>
      </c>
      <c r="C929" s="631" t="s">
        <v>21</v>
      </c>
      <c r="D929" s="631" t="s">
        <v>14</v>
      </c>
      <c r="E929" s="670" t="s">
        <v>107</v>
      </c>
      <c r="F929" s="670" t="s">
        <v>3386</v>
      </c>
      <c r="G929" s="633" t="s">
        <v>115</v>
      </c>
      <c r="H929" s="812" t="s">
        <v>303</v>
      </c>
      <c r="I929" s="813" t="s">
        <v>120</v>
      </c>
      <c r="J929" s="813">
        <v>1</v>
      </c>
      <c r="K929" s="631" t="s">
        <v>50</v>
      </c>
    </row>
    <row r="930" spans="1:11">
      <c r="A930" s="1155" t="s">
        <v>1646</v>
      </c>
      <c r="B930" s="1155"/>
      <c r="C930" s="1155"/>
      <c r="D930" s="1155"/>
      <c r="E930" s="1155"/>
      <c r="F930" s="1155"/>
      <c r="G930" s="1155"/>
      <c r="H930" s="1155"/>
      <c r="I930" s="1155"/>
      <c r="J930" s="631">
        <f>SUM(J925:J929)</f>
        <v>5</v>
      </c>
      <c r="K930" s="672"/>
    </row>
    <row r="932" spans="1:11" ht="22.5">
      <c r="A932" s="625" t="s">
        <v>43</v>
      </c>
      <c r="B932" s="625" t="s">
        <v>1620</v>
      </c>
      <c r="C932" s="626" t="s">
        <v>2</v>
      </c>
      <c r="D932" s="626" t="s">
        <v>3</v>
      </c>
      <c r="E932" s="626" t="s">
        <v>4</v>
      </c>
      <c r="F932" s="626" t="s">
        <v>5</v>
      </c>
      <c r="G932" s="626" t="s">
        <v>6</v>
      </c>
      <c r="H932" s="627" t="s">
        <v>45</v>
      </c>
      <c r="I932" s="626" t="s">
        <v>8</v>
      </c>
      <c r="J932" s="628" t="s">
        <v>46</v>
      </c>
      <c r="K932" s="629" t="s">
        <v>47</v>
      </c>
    </row>
    <row r="933" spans="1:11" ht="16.5" customHeight="1">
      <c r="A933" s="1171" t="s">
        <v>6395</v>
      </c>
      <c r="B933" s="676">
        <v>46181</v>
      </c>
      <c r="C933" s="631" t="s">
        <v>21</v>
      </c>
      <c r="D933" s="631" t="s">
        <v>14</v>
      </c>
      <c r="E933" s="670" t="s">
        <v>1893</v>
      </c>
      <c r="F933" s="670" t="s">
        <v>4939</v>
      </c>
      <c r="G933" s="633" t="s">
        <v>482</v>
      </c>
      <c r="H933" s="812" t="s">
        <v>3607</v>
      </c>
      <c r="I933" s="670" t="s">
        <v>3787</v>
      </c>
      <c r="J933" s="812">
        <v>1</v>
      </c>
      <c r="K933" s="631" t="s">
        <v>50</v>
      </c>
    </row>
    <row r="934" spans="1:11">
      <c r="A934" s="1171"/>
      <c r="B934" s="676">
        <v>46183</v>
      </c>
      <c r="C934" s="631" t="s">
        <v>21</v>
      </c>
      <c r="D934" s="631" t="s">
        <v>14</v>
      </c>
      <c r="E934" s="670" t="s">
        <v>1893</v>
      </c>
      <c r="F934" s="670" t="s">
        <v>4939</v>
      </c>
      <c r="G934" s="633" t="s">
        <v>482</v>
      </c>
      <c r="H934" s="812" t="s">
        <v>3607</v>
      </c>
      <c r="I934" s="670" t="s">
        <v>3787</v>
      </c>
      <c r="J934" s="812">
        <v>1</v>
      </c>
      <c r="K934" s="631" t="s">
        <v>50</v>
      </c>
    </row>
    <row r="935" spans="1:11">
      <c r="A935" s="1171"/>
      <c r="B935" s="676">
        <v>46184</v>
      </c>
      <c r="C935" s="631" t="s">
        <v>21</v>
      </c>
      <c r="D935" s="631" t="s">
        <v>14</v>
      </c>
      <c r="E935" s="670" t="s">
        <v>1893</v>
      </c>
      <c r="F935" s="670" t="s">
        <v>4939</v>
      </c>
      <c r="G935" s="633" t="s">
        <v>482</v>
      </c>
      <c r="H935" s="812" t="s">
        <v>3607</v>
      </c>
      <c r="I935" s="670" t="s">
        <v>3787</v>
      </c>
      <c r="J935" s="812">
        <v>1</v>
      </c>
      <c r="K935" s="631" t="s">
        <v>50</v>
      </c>
    </row>
    <row r="936" spans="1:11">
      <c r="A936" s="1171"/>
      <c r="B936" s="676">
        <v>46185</v>
      </c>
      <c r="C936" s="631" t="s">
        <v>21</v>
      </c>
      <c r="D936" s="631" t="s">
        <v>14</v>
      </c>
      <c r="E936" s="670" t="s">
        <v>1893</v>
      </c>
      <c r="F936" s="670" t="s">
        <v>4939</v>
      </c>
      <c r="G936" s="633" t="s">
        <v>482</v>
      </c>
      <c r="H936" s="812" t="s">
        <v>3607</v>
      </c>
      <c r="I936" s="670" t="s">
        <v>3787</v>
      </c>
      <c r="J936" s="812">
        <v>1</v>
      </c>
      <c r="K936" s="631" t="s">
        <v>50</v>
      </c>
    </row>
    <row r="937" spans="1:11">
      <c r="A937" s="1171"/>
      <c r="B937" s="676">
        <v>46189</v>
      </c>
      <c r="C937" s="631" t="s">
        <v>21</v>
      </c>
      <c r="D937" s="631" t="s">
        <v>14</v>
      </c>
      <c r="E937" s="670" t="s">
        <v>1893</v>
      </c>
      <c r="F937" s="670" t="s">
        <v>4939</v>
      </c>
      <c r="G937" s="633" t="s">
        <v>482</v>
      </c>
      <c r="H937" s="812" t="s">
        <v>271</v>
      </c>
      <c r="I937" s="812" t="s">
        <v>493</v>
      </c>
      <c r="J937" s="812">
        <v>1</v>
      </c>
      <c r="K937" s="631" t="s">
        <v>50</v>
      </c>
    </row>
    <row r="938" spans="1:11">
      <c r="A938" s="1171"/>
      <c r="B938" s="676">
        <v>46190</v>
      </c>
      <c r="C938" s="631" t="s">
        <v>21</v>
      </c>
      <c r="D938" s="631" t="s">
        <v>14</v>
      </c>
      <c r="E938" s="670" t="s">
        <v>1893</v>
      </c>
      <c r="F938" s="670" t="s">
        <v>4939</v>
      </c>
      <c r="G938" s="633" t="s">
        <v>482</v>
      </c>
      <c r="H938" s="812" t="s">
        <v>271</v>
      </c>
      <c r="I938" s="812" t="s">
        <v>493</v>
      </c>
      <c r="J938" s="812">
        <v>1</v>
      </c>
      <c r="K938" s="631" t="s">
        <v>50</v>
      </c>
    </row>
    <row r="939" spans="1:11">
      <c r="A939" s="1171"/>
      <c r="B939" s="676">
        <v>46191</v>
      </c>
      <c r="C939" s="631" t="s">
        <v>21</v>
      </c>
      <c r="D939" s="631" t="s">
        <v>14</v>
      </c>
      <c r="E939" s="670" t="s">
        <v>1893</v>
      </c>
      <c r="F939" s="670" t="s">
        <v>4939</v>
      </c>
      <c r="G939" s="633" t="s">
        <v>482</v>
      </c>
      <c r="H939" s="812" t="s">
        <v>271</v>
      </c>
      <c r="I939" s="812" t="s">
        <v>493</v>
      </c>
      <c r="J939" s="812">
        <v>1</v>
      </c>
      <c r="K939" s="631" t="s">
        <v>50</v>
      </c>
    </row>
    <row r="940" spans="1:11">
      <c r="A940" s="1171"/>
      <c r="B940" s="676">
        <v>46192</v>
      </c>
      <c r="C940" s="631" t="s">
        <v>21</v>
      </c>
      <c r="D940" s="631" t="s">
        <v>14</v>
      </c>
      <c r="E940" s="670" t="s">
        <v>1893</v>
      </c>
      <c r="F940" s="670" t="s">
        <v>4939</v>
      </c>
      <c r="G940" s="633" t="s">
        <v>482</v>
      </c>
      <c r="H940" s="812" t="s">
        <v>271</v>
      </c>
      <c r="I940" s="812" t="s">
        <v>493</v>
      </c>
      <c r="J940" s="812">
        <v>1</v>
      </c>
      <c r="K940" s="631" t="s">
        <v>50</v>
      </c>
    </row>
    <row r="941" spans="1:11">
      <c r="A941" s="1171"/>
      <c r="B941" s="676">
        <v>46195</v>
      </c>
      <c r="C941" s="631" t="s">
        <v>21</v>
      </c>
      <c r="D941" s="631" t="s">
        <v>14</v>
      </c>
      <c r="E941" s="670" t="s">
        <v>1893</v>
      </c>
      <c r="F941" s="670" t="s">
        <v>4939</v>
      </c>
      <c r="G941" s="633" t="s">
        <v>482</v>
      </c>
      <c r="H941" s="812" t="s">
        <v>271</v>
      </c>
      <c r="I941" s="812" t="s">
        <v>493</v>
      </c>
      <c r="J941" s="812">
        <v>1</v>
      </c>
      <c r="K941" s="631" t="s">
        <v>50</v>
      </c>
    </row>
    <row r="942" spans="1:11">
      <c r="A942" s="1171"/>
      <c r="B942" s="669">
        <v>46198</v>
      </c>
      <c r="C942" s="631" t="s">
        <v>21</v>
      </c>
      <c r="D942" s="631" t="s">
        <v>14</v>
      </c>
      <c r="E942" s="670" t="s">
        <v>1893</v>
      </c>
      <c r="F942" s="670" t="s">
        <v>4939</v>
      </c>
      <c r="G942" s="633" t="s">
        <v>482</v>
      </c>
      <c r="H942" s="812" t="s">
        <v>271</v>
      </c>
      <c r="I942" s="812" t="s">
        <v>493</v>
      </c>
      <c r="J942" s="812">
        <v>1</v>
      </c>
      <c r="K942" s="631" t="s">
        <v>50</v>
      </c>
    </row>
    <row r="943" spans="1:11">
      <c r="A943" s="1171"/>
      <c r="B943" s="669">
        <v>46199</v>
      </c>
      <c r="C943" s="631" t="s">
        <v>21</v>
      </c>
      <c r="D943" s="631" t="s">
        <v>14</v>
      </c>
      <c r="E943" s="670" t="s">
        <v>1893</v>
      </c>
      <c r="F943" s="670" t="s">
        <v>4939</v>
      </c>
      <c r="G943" s="633" t="s">
        <v>482</v>
      </c>
      <c r="H943" s="812" t="s">
        <v>271</v>
      </c>
      <c r="I943" s="812" t="s">
        <v>493</v>
      </c>
      <c r="J943" s="812">
        <v>1</v>
      </c>
      <c r="K943" s="631" t="s">
        <v>50</v>
      </c>
    </row>
    <row r="944" spans="1:11">
      <c r="A944" s="1155" t="s">
        <v>1646</v>
      </c>
      <c r="B944" s="1155"/>
      <c r="C944" s="1155"/>
      <c r="D944" s="1155"/>
      <c r="E944" s="1155"/>
      <c r="F944" s="1155"/>
      <c r="G944" s="1155"/>
      <c r="H944" s="1155"/>
      <c r="I944" s="1155"/>
      <c r="J944" s="631">
        <f>SUM(J933:J943)</f>
        <v>11</v>
      </c>
      <c r="K944" s="672"/>
    </row>
  </sheetData>
  <autoFilter ref="A349:L357"/>
  <mergeCells count="345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903" t="s">
        <v>5385</v>
      </c>
      <c r="I12" s="903"/>
      <c r="J12" s="903"/>
      <c r="K12" s="903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903" t="s">
        <v>5386</v>
      </c>
      <c r="I20" s="903"/>
      <c r="J20" s="903"/>
      <c r="K20" s="903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67" t="s">
        <v>2</v>
      </c>
      <c r="B23" s="767" t="s">
        <v>6124</v>
      </c>
      <c r="C23" s="767" t="s">
        <v>6125</v>
      </c>
    </row>
    <row r="24" spans="1:13">
      <c r="A24" s="767" t="s">
        <v>6126</v>
      </c>
      <c r="B24" s="766">
        <v>10500000</v>
      </c>
      <c r="C24" s="767" t="s">
        <v>6127</v>
      </c>
    </row>
    <row r="25" spans="1:13">
      <c r="A25" s="767" t="s">
        <v>6128</v>
      </c>
      <c r="B25" s="766">
        <v>4500000</v>
      </c>
      <c r="C25" s="767" t="s">
        <v>6129</v>
      </c>
    </row>
    <row r="26" spans="1:13">
      <c r="A26" s="767" t="s">
        <v>6130</v>
      </c>
      <c r="B26" s="766">
        <v>15000000</v>
      </c>
      <c r="C26" s="767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75" t="s">
        <v>6146</v>
      </c>
      <c r="E4" s="771" t="s">
        <v>6147</v>
      </c>
      <c r="F4" s="771" t="s">
        <v>6</v>
      </c>
      <c r="G4" s="771" t="s">
        <v>6148</v>
      </c>
      <c r="H4" s="771" t="s">
        <v>6149</v>
      </c>
      <c r="I4" s="771" t="s">
        <v>6150</v>
      </c>
    </row>
    <row r="5" spans="4:9" ht="66">
      <c r="D5" s="776">
        <v>5</v>
      </c>
      <c r="E5" s="773">
        <v>45701</v>
      </c>
      <c r="F5" s="774" t="s">
        <v>6151</v>
      </c>
      <c r="G5" s="774" t="s">
        <v>6152</v>
      </c>
      <c r="H5" s="774" t="s">
        <v>6153</v>
      </c>
      <c r="I5" s="774" t="s">
        <v>6154</v>
      </c>
    </row>
    <row r="6" spans="4:9" ht="82.5">
      <c r="D6" s="776">
        <v>51</v>
      </c>
      <c r="E6" s="773">
        <v>45746</v>
      </c>
      <c r="F6" s="774" t="s">
        <v>6155</v>
      </c>
      <c r="G6" s="774" t="s">
        <v>6156</v>
      </c>
      <c r="H6" s="774" t="s">
        <v>6157</v>
      </c>
      <c r="I6" s="774" t="s">
        <v>6158</v>
      </c>
    </row>
    <row r="7" spans="4:9" ht="49.5">
      <c r="D7" s="776">
        <v>61</v>
      </c>
      <c r="E7" s="773">
        <v>45783</v>
      </c>
      <c r="F7" s="774" t="s">
        <v>6159</v>
      </c>
      <c r="G7" s="774" t="s">
        <v>6160</v>
      </c>
      <c r="H7" s="774" t="s">
        <v>6161</v>
      </c>
      <c r="I7" s="774" t="s">
        <v>6162</v>
      </c>
    </row>
    <row r="8" spans="4:9" ht="66">
      <c r="D8" s="776">
        <v>87</v>
      </c>
      <c r="E8" s="773">
        <v>45859</v>
      </c>
      <c r="F8" s="774" t="s">
        <v>6163</v>
      </c>
      <c r="G8" s="774" t="s">
        <v>6164</v>
      </c>
      <c r="H8" s="774" t="s">
        <v>6165</v>
      </c>
      <c r="I8" s="774" t="s">
        <v>6166</v>
      </c>
    </row>
    <row r="9" spans="4:9" ht="49.5">
      <c r="D9" s="776">
        <v>88</v>
      </c>
      <c r="E9" s="773">
        <v>45859</v>
      </c>
      <c r="F9" s="774" t="s">
        <v>6167</v>
      </c>
      <c r="G9" s="774" t="s">
        <v>6168</v>
      </c>
      <c r="H9" s="774" t="s">
        <v>6169</v>
      </c>
      <c r="I9" s="774" t="s">
        <v>6170</v>
      </c>
    </row>
    <row r="10" spans="4:9" ht="33">
      <c r="D10" s="776">
        <v>96</v>
      </c>
      <c r="E10" s="773">
        <v>45872</v>
      </c>
      <c r="F10" s="774" t="s">
        <v>6171</v>
      </c>
      <c r="G10" s="774" t="s">
        <v>6172</v>
      </c>
      <c r="H10" s="774" t="s">
        <v>6173</v>
      </c>
      <c r="I10" s="774" t="s">
        <v>6174</v>
      </c>
    </row>
    <row r="11" spans="4:9" ht="49.5">
      <c r="D11" s="776">
        <v>114</v>
      </c>
      <c r="E11" s="773">
        <v>45899</v>
      </c>
      <c r="F11" s="774" t="s">
        <v>6171</v>
      </c>
      <c r="G11" s="774" t="s">
        <v>6175</v>
      </c>
      <c r="H11" s="774" t="s">
        <v>6176</v>
      </c>
      <c r="I11" s="774" t="s">
        <v>6177</v>
      </c>
    </row>
    <row r="12" spans="4:9" ht="49.5">
      <c r="D12" s="776">
        <v>130</v>
      </c>
      <c r="E12" s="772" t="s">
        <v>6178</v>
      </c>
      <c r="F12" s="774" t="s">
        <v>6179</v>
      </c>
      <c r="G12" s="774" t="s">
        <v>6180</v>
      </c>
      <c r="H12" s="774" t="s">
        <v>6181</v>
      </c>
      <c r="I12" s="774" t="s">
        <v>6182</v>
      </c>
    </row>
    <row r="13" spans="4:9" ht="33">
      <c r="D13" s="776">
        <v>150</v>
      </c>
      <c r="E13" s="772" t="s">
        <v>6178</v>
      </c>
      <c r="F13" s="774" t="s">
        <v>6183</v>
      </c>
      <c r="G13" s="774" t="s">
        <v>6184</v>
      </c>
      <c r="H13" s="774" t="s">
        <v>6185</v>
      </c>
      <c r="I13" s="774" t="s">
        <v>6186</v>
      </c>
    </row>
    <row r="14" spans="4:9" ht="33">
      <c r="D14" s="776">
        <v>158</v>
      </c>
      <c r="E14" s="772" t="s">
        <v>6178</v>
      </c>
      <c r="F14" s="774" t="s">
        <v>6187</v>
      </c>
      <c r="G14" s="774" t="s">
        <v>6188</v>
      </c>
      <c r="H14" s="774" t="s">
        <v>6189</v>
      </c>
      <c r="I14" s="774" t="s">
        <v>6190</v>
      </c>
    </row>
    <row r="15" spans="4:9" ht="66">
      <c r="D15" s="776">
        <v>166</v>
      </c>
      <c r="E15" s="773">
        <v>46051</v>
      </c>
      <c r="F15" s="774" t="s">
        <v>6191</v>
      </c>
      <c r="G15" s="774" t="s">
        <v>6192</v>
      </c>
      <c r="H15" s="774" t="s">
        <v>6193</v>
      </c>
      <c r="I15" s="774" t="s">
        <v>6194</v>
      </c>
    </row>
    <row r="16" spans="4:9" ht="49.5">
      <c r="D16" s="776">
        <v>168</v>
      </c>
      <c r="E16" s="772" t="s">
        <v>6178</v>
      </c>
      <c r="F16" s="774" t="s">
        <v>6195</v>
      </c>
      <c r="G16" s="774" t="s">
        <v>6196</v>
      </c>
      <c r="H16" s="774" t="s">
        <v>6197</v>
      </c>
      <c r="I16" s="774" t="s">
        <v>6198</v>
      </c>
    </row>
    <row r="17" spans="4:9" ht="33">
      <c r="D17" s="776">
        <v>176</v>
      </c>
      <c r="E17" s="772" t="s">
        <v>6178</v>
      </c>
      <c r="F17" s="774" t="s">
        <v>6199</v>
      </c>
      <c r="G17" s="774" t="s">
        <v>6200</v>
      </c>
      <c r="H17" s="774" t="s">
        <v>6201</v>
      </c>
      <c r="I17" s="774" t="s">
        <v>6202</v>
      </c>
    </row>
    <row r="18" spans="4:9" ht="49.5">
      <c r="D18" s="776">
        <v>177</v>
      </c>
      <c r="E18" s="772" t="s">
        <v>6178</v>
      </c>
      <c r="F18" s="774" t="s">
        <v>6203</v>
      </c>
      <c r="G18" s="774" t="s">
        <v>6204</v>
      </c>
      <c r="H18" s="774" t="s">
        <v>6205</v>
      </c>
      <c r="I18" s="774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2026-07-10T06:03:14Z</cp:lastPrinted>
  <dcterms:created xsi:type="dcterms:W3CDTF">2022-12-21T07:00:17Z</dcterms:created>
  <dcterms:modified xsi:type="dcterms:W3CDTF">2026-07-20T07:00:53Z</dcterms:modified>
</cp:coreProperties>
</file>