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<sst xmlns="http://schemas.openxmlformats.org/spreadsheetml/2006/main" count="29182" uniqueCount="7153">
  <si>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</si>
  <si>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</si>
  <si>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</si>
  <si>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</si>
  <si>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</si>
  <si>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</si>
  <si>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</si>
  <si>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</si>
  <si>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</si>
  <si>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</si>
  <si>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</si>
  <si>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</si>
  <si>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</si>
  <si>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</si>
  <si>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</si>
  <si>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</si>
  <si>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</si>
  <si>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</si>
  <si>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</si>
  <si>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</si>
  <si>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</si>
  <si>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</si>
  <si>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</si>
  <si>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</si>
  <si>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</si>
  <si>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</si>
  <si>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</si>
  <si>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</si>
  <si>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</si>
  <si>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</si>
  <si>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</si>
  <si>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</si>
  <si>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</si>
  <si>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</si>
  <si>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</si>
  <si>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</si>
  <si>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</si>
  <si>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</si>
  <si>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</si>
  <si>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</si>
  <si>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</si>
  <si>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</si>
  <si>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</si>
  <si>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</si>
  <si>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</si>
  <si>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</si>
  <si>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</si>
  <si>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</si>
  <si>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</si>
  <si>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</si>
  <si>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</si>
  <si>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</si>
  <si>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</si>
  <si>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</si>
  <si>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</si>
  <si>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</si>
  <si>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</si>
  <si>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</si>
  <si>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</si>
  <si>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</si>
  <si>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</si>
  <si>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</si>
  <si>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</si>
  <si>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</si>
  <si>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</si>
  <si>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</si>
  <si>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</si>
  <si>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</si>
  <si>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</si>
  <si>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</si>
  <si>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</si>
  <si>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</si>
  <si>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</si>
  <si>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</si>
  <si>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</si>
  <si>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</si>
  <si>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</si>
  <si>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</si>
  <si>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</si>
  <si>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</si>
  <si>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</si>
  <si>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</si>
  <si>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</si>
  <si>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</si>
  <si>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</si>
  <si>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</si>
  <si>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</si>
  <si>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</si>
  <si>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</si>
  <si>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</si>
  <si>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</si>
  <si>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</si>
  <si>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</si>
  <si>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</si>
  <si>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</si>
  <si>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</si>
  <si>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</si>
  <si>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</si>
  <si>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</si>
  <si>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</si>
  <si>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</si>
  <si>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</si>
  <si>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</si>
  <si>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</si>
  <si>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</si>
  <si>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</si>
  <si>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</si>
  <si>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</si>
  <si>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</si>
  <si>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</si>
  <si>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</si>
  <si>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</si>
  <si>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</si>
  <si>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</si>
  <si>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</si>
  <si>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</si>
  <si>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</si>
  <si>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</si>
  <si>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</si>
  <si>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</si>
  <si>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</si>
  <si>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</si>
  <si>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</si>
  <si>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</si>
  <si>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</si>
  <si>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</si>
  <si>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</si>
  <si>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</si>
  <si>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</si>
  <si>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</si>
  <si>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</si>
  <si>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</si>
  <si>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</si>
  <si>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</si>
  <si>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</si>
  <si>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</si>
  <si>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</si>
  <si>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</si>
  <si>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</si>
  <si>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</si>
  <si>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</si>
  <si>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</si>
  <si>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</si>
  <si>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</si>
  <si>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</si>
  <si>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</si>
  <si>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</si>
  <si>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</si>
  <si>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</si>
  <si>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</si>
  <si>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</si>
  <si>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</si>
  <si>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</si>
  <si>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</si>
  <si>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</si>
  <si>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</si>
  <si>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</si>
  <si>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</si>
  <si>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</si>
  <si>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</si>
  <si>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</si>
  <si>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</si>
  <si>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</si>
  <si>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</si>
  <si>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</si>
  <si>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</si>
  <si>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</si>
  <si>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</si>
  <si>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</si>
  <si>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</si>
  <si>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</si>
  <si>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</si>
  <si>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</si>
  <si>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</si>
  <si>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</si>
  <si>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</si>
  <si>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</si>
  <si>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</si>
  <si>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</si>
  <si>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</si>
  <si>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</si>
  <si>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</si>
  <si>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</si>
  <si>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</si>
  <si>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</si>
  <si>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</si>
  <si>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</si>
  <si>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</si>
  <si>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</si>
  <si>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</si>
  <si>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</si>
  <si>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</si>
  <si>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</si>
  <si>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</si>
  <si>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</si>
  <si>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</si>
  <si>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</si>
  <si>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</si>
  <si>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</si>
  <si>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</si>
  <si>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</si>
  <si>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</si>
  <si>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</si>
  <si>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</si>
  <si>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</si>
  <si>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</si>
  <si>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</si>
  <si>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</si>
  <si>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</si>
  <si>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</si>
  <si>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</si>
  <si>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</si>
  <si>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</si>
  <si>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</si>
  <si>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</si>
  <si>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</si>
  <si>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</si>
  <si>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</si>
  <si>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</si>
  <si>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</si>
  <si>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</si>
  <si>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</si>
  <si>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</si>
  <si>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</si>
  <si>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</si>
  <si>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</si>
  <si>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</si>
  <si>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</si>
  <si>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</si>
  <si>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</si>
  <si>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</si>
  <si>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</si>
  <si>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</si>
  <si>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</si>
  <si>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</si>
  <si>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</si>
  <si>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</si>
  <si>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</si>
  <si>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</si>
  <si>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</si>
  <si>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</si>
  <si>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</si>
  <si>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</si>
  <si>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</si>
  <si>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</si>
  <si>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</si>
  <si>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</si>
  <si>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</si>
  <si>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</si>
  <si>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</si>
  <si>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</si>
  <si>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</si>
  <si>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</si>
  <si>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</si>
  <si>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</si>
  <si>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</si>
  <si>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</si>
  <si>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</si>
  <si>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</si>
  <si>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</si>
  <si>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</si>
  <si>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</si>
  <si>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</si>
  <si>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</si>
  <si>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</si>
  <si>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</si>
  <si>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</si>
  <si>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</si>
  <si>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</si>
  <si>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</si>
  <si>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</si>
  <si>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</si>
  <si>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</si>
  <si>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</si>
  <si>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</si>
  <si>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</si>
  <si>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</si>
  <si>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</si>
  <si>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</si>
  <si>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</si>
  <si>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</si>
  <si>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</si>
  <si>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</si>
  <si>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</si>
  <si>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</si>
  <si>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</si>
  <si>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</si>
  <si>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</si>
  <si>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</si>
  <si>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</si>
  <si>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</si>
  <si>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</si>
  <si>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</si>
  <si>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</si>
  <si>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</si>
  <si>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</si>
  <si>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</si>
  <si>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</si>
  <si>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</si>
  <si>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</si>
  <si>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</si>
  <si>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</si>
  <si>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</si>
  <si>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</si>
  <si>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</si>
  <si>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</si>
  <si>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</si>
  <si>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</si>
  <si>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</si>
  <si>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</si>
  <si>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</si>
  <si>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</si>
  <si>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</si>
  <si>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</si>
  <si>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</si>
  <si>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</si>
  <si>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</si>
  <si>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</si>
  <si>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</si>
  <si>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</si>
  <si>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</si>
  <si>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</si>
  <si>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</si>
  <si>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</si>
  <si>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</si>
  <si>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</si>
  <si>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</si>
  <si>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</si>
  <si>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</si>
  <si>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</si>
  <si>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</si>
  <si>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</si>
  <si>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</si>
  <si>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</si>
  <si>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</si>
  <si>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</si>
  <si>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</si>
  <si>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</si>
  <si>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</si>
  <si>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</si>
  <si>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</si>
  <si>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</si>
  <si>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</si>
  <si>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</si>
  <si>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</si>
  <si>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</si>
  <si>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</si>
  <si>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</si>
  <si>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</si>
  <si>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</si>
  <si>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</si>
  <si>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</si>
  <si>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</si>
  <si>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</si>
  <si>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</si>
  <si>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</si>
  <si>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</si>
  <si>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</si>
  <si>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</si>
  <si>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</si>
  <si>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</si>
  <si>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</si>
  <si>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</si>
  <si>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</si>
  <si>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</si>
  <si>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</si>
  <si>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</si>
  <si>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</si>
  <si>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</si>
  <si>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</si>
  <si>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</si>
  <si>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</si>
  <si>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</si>
  <si>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</si>
  <si>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</si>
  <si>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</si>
  <si>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</si>
  <si>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</si>
  <si>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</si>
  <si>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</si>
  <si>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</si>
  <si>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</si>
  <si>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</si>
  <si>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</si>
  <si>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</si>
  <si>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</si>
  <si>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</si>
  <si>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</si>
  <si>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</si>
  <si>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</si>
  <si>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</si>
  <si>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</si>
  <si>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</si>
  <si>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</si>
  <si>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</si>
  <si>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</si>
  <si>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</si>
  <si>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</si>
  <si>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</si>
  <si>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</si>
  <si>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</si>
  <si>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</si>
  <si>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</si>
  <si>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</si>
  <si>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</si>
  <si>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</si>
  <si>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</si>
  <si>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</si>
  <si>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</si>
  <si>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</si>
  <si>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</si>
  <si>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</si>
  <si>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</si>
  <si>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</si>
  <si>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</si>
  <si>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</si>
  <si>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</si>
  <si>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</si>
  <si>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</si>
  <si>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</si>
  <si>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</si>
  <si>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</si>
  <si>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</si>
  <si>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</si>
  <si>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</si>
  <si>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</si>
  <si>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</si>
  <si>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</si>
  <si>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</si>
  <si>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</si>
  <si>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</si>
  <si>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</si>
  <si>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</si>
  <si>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</si>
  <si>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</si>
  <si>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</si>
  <si>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</si>
  <si>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</si>
  <si>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</si>
  <si>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</si>
  <si>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</si>
  <si>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</si>
  <si>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</si>
  <si>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</si>
  <si>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</si>
  <si>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</si>
  <si>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</si>
  <si>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</si>
  <si>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</si>
  <si>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</si>
  <si>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</si>
  <si>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</si>
  <si>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</si>
  <si>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</si>
  <si>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</si>
  <si>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</si>
  <si>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</si>
  <si>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</si>
  <si>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</si>
  <si>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</si>
  <si>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</si>
  <si>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</si>
  <si>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</si>
  <si>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</si>
  <si>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</si>
  <si>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</si>
  <si>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</si>
  <si>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</si>
  <si>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</si>
  <si>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</si>
  <si>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</si>
  <si>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</si>
  <si>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</si>
  <si>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</si>
  <si>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</si>
  <si>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</si>
  <si>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</si>
  <si>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</si>
  <si>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</si>
  <si>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</si>
  <si>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</si>
  <si>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</si>
  <si>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</si>
  <si>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</si>
  <si>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</si>
  <si>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</si>
  <si>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</si>
  <si>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</si>
  <si>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</si>
  <si>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</si>
  <si>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</si>
  <si>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</si>
  <si>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</si>
  <si>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</si>
  <si>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</si>
  <si>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</si>
  <si>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</si>
  <si>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</si>
  <si>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</si>
  <si>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</si>
  <si>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</si>
  <si>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</si>
  <si>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</si>
  <si>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</si>
  <si>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</si>
  <si>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</si>
  <si>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</si>
  <si>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</si>
  <si>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</si>
  <si>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</si>
  <si>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</si>
  <si>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</si>
  <si>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</si>
  <si>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</si>
  <si>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</si>
  <si>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</si>
  <si>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</si>
  <si>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</si>
  <si>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</si>
  <si>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</si>
  <si>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</si>
  <si>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</si>
  <si>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</si>
  <si>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</si>
  <si>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</si>
  <si>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</si>
  <si>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</si>
  <si>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</si>
  <si>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</si>
  <si>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</si>
  <si>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</si>
  <si>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</si>
  <si>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</si>
  <si>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</si>
  <si>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</si>
  <si>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</si>
  <si>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</si>
  <si>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</si>
  <si>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</si>
  <si>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</si>
  <si>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</si>
  <si>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</si>
  <si>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</si>
  <si>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</si>
  <si>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</si>
  <si>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</si>
  <si>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</si>
  <si>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</si>
  <si>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</si>
  <si>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</si>
  <si>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</si>
  <si>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</si>
  <si>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</si>
  <si>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</si>
  <si>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</si>
  <si>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</si>
  <si>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</si>
  <si>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</si>
  <si>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</si>
  <si>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</si>
  <si>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</si>
  <si>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</si>
  <si>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</si>
  <si>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</si>
  <si>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</si>
  <si>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</si>
  <si>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</si>
  <si>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</si>
  <si>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</si>
  <si>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</si>
  <si>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</si>
  <si>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</si>
  <si>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</si>
  <si>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</si>
  <si>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</si>
  <si>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</si>
  <si>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</si>
  <si>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</si>
  <si>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</si>
  <si>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</si>
  <si>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</si>
  <si>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</si>
  <si>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</si>
  <si>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</si>
  <si>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</si>
  <si>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</si>
  <si>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</si>
  <si>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</si>
  <si>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</si>
  <si>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</si>
  <si>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</si>
  <si>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</si>
  <si>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</si>
  <si>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</si>
  <si>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</si>
  <si>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</si>
  <si>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</si>
  <si>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</si>
  <si>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</si>
  <si>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</si>
  <si>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</si>
  <si>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</si>
  <si>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</si>
  <si>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</si>
  <si>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</si>
  <si>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</si>
  <si>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</si>
  <si>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</si>
  <si>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</si>
  <si>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</si>
  <si>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</si>
  <si>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</si>
  <si>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</si>
  <si>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</si>
  <si>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</si>
  <si>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</si>
  <si>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</si>
  <si>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</si>
  <si>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</si>
  <si>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</si>
  <si>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</si>
  <si>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</si>
  <si>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</si>
  <si>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</si>
  <si>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</si>
  <si>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</si>
  <si>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</si>
  <si>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</si>
  <si>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</si>
  <si>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</si>
  <si>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</si>
  <si>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</si>
  <si>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</si>
  <si>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</si>
  <si>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</si>
  <si>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</si>
  <si>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</si>
  <si>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</si>
  <si>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</si>
  <si>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</si>
  <si>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</si>
  <si>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</si>
  <si>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</si>
  <si>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</si>
  <si>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</si>
  <si>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</si>
  <si>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</si>
  <si>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</si>
  <si>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</si>
  <si>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</si>
  <si>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</si>
  <si>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</si>
  <si>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</si>
  <si>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</si>
  <si>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</si>
  <si>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</si>
  <si>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</si>
  <si>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</si>
  <si>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</si>
  <si>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</si>
  <si>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</si>
  <si>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</si>
  <si>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</si>
  <si>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</si>
  <si>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</si>
  <si>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</si>
  <si>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</si>
  <si>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</si>
  <si>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</si>
  <si>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</si>
  <si>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</si>
  <si>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</si>
  <si>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</si>
  <si>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</si>
  <si>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</si>
  <si>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</si>
  <si>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</si>
  <si>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</si>
  <si>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</si>
  <si>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</si>
  <si>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</si>
  <si>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</si>
  <si>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</si>
  <si>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</si>
  <si>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</si>
  <si>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</si>
  <si>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</si>
  <si>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</si>
  <si>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</si>
  <si>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</si>
  <si>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</si>
  <si>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</si>
  <si>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</si>
  <si>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</si>
  <si>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</si>
  <si>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</si>
  <si>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</si>
  <si>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</si>
  <si>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</si>
  <si>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</si>
  <si>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</si>
  <si>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</si>
  <si>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</si>
  <si>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</si>
  <si>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</si>
  <si>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</si>
  <si>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</si>
  <si>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</si>
  <si>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</si>
  <si>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</si>
  <si>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</si>
  <si>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</si>
  <si>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</si>
  <si>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</si>
  <si>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</si>
  <si>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</si>
  <si>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</si>
  <si>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</si>
  <si>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</si>
  <si>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</si>
  <si>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</si>
  <si>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</si>
  <si>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</si>
  <si>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</si>
  <si>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</si>
  <si>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</si>
  <si>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</si>
  <si>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</si>
  <si>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</si>
  <si>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</si>
  <si>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</si>
  <si>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</si>
  <si>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</si>
  <si>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</si>
  <si>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</si>
  <si>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</si>
  <si>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</si>
  <si>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</si>
  <si>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</si>
  <si>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</si>
  <si>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</si>
  <si>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</si>
  <si>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</si>
  <si>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</si>
  <si>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</si>
  <si>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</si>
  <si>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</si>
  <si>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</si>
  <si>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</si>
  <si>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</si>
  <si>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</si>
  <si>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</si>
  <si>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</si>
  <si>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</si>
  <si>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</si>
  <si>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</si>
  <si>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</si>
  <si>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</si>
  <si>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</si>
  <si>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</si>
  <si>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</si>
  <si>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</si>
  <si>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</si>
  <si>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</si>
  <si>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</si>
  <si>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</si>
  <si>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</si>
  <si>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</si>
  <si>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</si>
  <si>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</si>
  <si>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</si>
  <si>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</si>
  <si>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</si>
  <si>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</si>
  <si>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</si>
  <si>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</si>
  <si>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</si>
  <si>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</si>
  <si>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</si>
  <si>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</si>
  <si>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</si>
  <si>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</si>
  <si>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</si>
  <si>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</si>
  <si>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</si>
  <si>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</si>
  <si>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</si>
  <si>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</si>
  <si>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</si>
  <si>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</si>
  <si>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</si>
  <si>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</si>
  <si>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</si>
  <si>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</si>
  <si>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</si>
  <si>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</si>
  <si>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</si>
  <si>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</si>
  <si>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</si>
  <si>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</si>
  <si>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</si>
  <si>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</si>
  <si>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</si>
  <si>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</si>
  <si>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</si>
  <si>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</si>
  <si>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</si>
  <si>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</si>
  <si>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</si>
  <si>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</si>
  <si>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</si>
  <si>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</si>
  <si>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</si>
  <si>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</si>
  <si>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</si>
  <si>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</si>
  <si>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</si>
  <si>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</si>
  <si>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</si>
  <si>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</si>
  <si>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</si>
  <si>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</si>
  <si>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</si>
  <si>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</si>
  <si>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</si>
  <si>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</si>
  <si>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</si>
  <si>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</si>
  <si>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</si>
  <si>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</si>
  <si>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</si>
  <si>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</si>
  <si>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</si>
  <si>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</si>
  <si>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</si>
  <si>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</si>
  <si>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</si>
  <si>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</si>
  <si>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</si>
  <si>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</si>
  <si>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</si>
  <si>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</si>
  <si>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</si>
  <si>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</si>
  <si>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</si>
  <si>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</si>
  <si>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</si>
  <si>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</si>
  <si>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</si>
  <si>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</si>
  <si>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</si>
  <si>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</si>
  <si>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</si>
  <si>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</si>
  <si>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</si>
  <si>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</si>
  <si>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</si>
  <si>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</si>
  <si>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</si>
  <si>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</si>
  <si>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</si>
  <si>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</si>
  <si>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</si>
  <si>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</si>
  <si>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</si>
  <si>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</si>
  <si>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</si>
  <si>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</si>
  <si>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</si>
  <si>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</si>
  <si>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</si>
  <si>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</si>
  <si>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</si>
  <si>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</si>
  <si>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</si>
  <si>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</si>
  <si>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</si>
  <si>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</si>
  <si>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</si>
  <si>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</si>
  <si>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</si>
  <si>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</si>
  <si>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</si>
  <si>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</si>
  <si>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</si>
  <si>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</si>
  <si>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</si>
  <si>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</si>
  <si>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</si>
  <si>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</si>
  <si>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</si>
  <si>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</si>
  <si>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</si>
  <si>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</si>
  <si>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</si>
  <si>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</si>
  <si>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</si>
  <si>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</si>
  <si>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</si>
  <si>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</si>
  <si>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</si>
  <si>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</si>
  <si>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</si>
  <si>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</si>
  <si>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</si>
  <si>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</si>
  <si>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</si>
  <si>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</si>
  <si>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</si>
  <si>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</si>
  <si>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</si>
  <si>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</si>
  <si>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</si>
  <si>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</si>
  <si>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</si>
  <si>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</si>
  <si>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</si>
  <si>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</si>
  <si>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</si>
  <si>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</si>
  <si>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</si>
  <si>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</si>
  <si>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</si>
  <si>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</si>
  <si>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</si>
  <si>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</si>
  <si>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</si>
  <si>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</si>
  <si>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</si>
  <si>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</si>
  <si>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</si>
  <si>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</si>
  <si>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</si>
  <si>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</si>
  <si>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</si>
  <si>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</si>
  <si>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</si>
  <si>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</si>
  <si>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</si>
  <si>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</si>
  <si>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</si>
  <si>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</si>
  <si>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</si>
  <si>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</si>
  <si>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</si>
  <si>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</si>
  <si>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</si>
  <si>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</si>
  <si>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</si>
  <si>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</si>
  <si>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</si>
  <si>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</si>
  <si>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</si>
  <si>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</si>
  <si>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</si>
  <si>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</si>
  <si>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</si>
  <si>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</si>
  <si>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</si>
  <si>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</si>
  <si>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</si>
  <si>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</si>
  <si>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</si>
  <si>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</si>
  <si>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</si>
  <si>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</si>
  <si>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</si>
  <si>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</si>
  <si>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</si>
  <si>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</si>
  <si>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</si>
  <si>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</si>
  <si>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</si>
  <si>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</si>
  <si>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</si>
  <si>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</si>
  <si>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</si>
  <si>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</si>
  <si>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</si>
  <si>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</si>
  <si>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</si>
  <si>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</si>
  <si>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</si>
  <si>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</si>
  <si>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</si>
  <si>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</si>
  <si>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</si>
  <si>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</si>
  <si>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</si>
  <si>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</si>
  <si>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</si>
  <si>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</si>
  <si>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</si>
  <si>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</si>
  <si>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</si>
  <si>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</si>
  <si>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</si>
  <si>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</si>
  <si>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</si>
  <si>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</si>
  <si>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</si>
  <si>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</si>
  <si>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</si>
  <si>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</si>
  <si>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</si>
  <si>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</si>
  <si>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</si>
  <si>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</si>
  <si>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</si>
  <si>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</si>
  <si>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</si>
  <si>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</si>
  <si>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</si>
  <si>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</si>
  <si>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</si>
  <si>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</si>
  <si>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</si>
  <si>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</si>
  <si>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</si>
  <si>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</si>
  <si>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</si>
  <si>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</si>
  <si>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</si>
  <si>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</si>
  <si>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</si>
  <si>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</si>
  <si>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</si>
  <si>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</si>
  <si>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</si>
  <si>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</si>
  <si>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</si>
  <si>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</si>
  <si>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</si>
  <si>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</si>
  <si>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</si>
  <si>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</si>
  <si>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</si>
  <si>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</si>
  <si>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</si>
  <si>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</si>
  <si>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</si>
  <si>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</si>
  <si>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</si>
  <si>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</si>
  <si>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</si>
  <si>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</si>
  <si>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</si>
  <si>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</si>
  <si>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</si>
  <si>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</si>
  <si>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</si>
  <si>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</si>
  <si>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</si>
  <si>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</si>
  <si>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</si>
  <si>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</si>
  <si>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</si>
  <si>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</si>
  <si>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</si>
  <si>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</si>
  <si>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</si>
  <si>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</si>
  <si>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</si>
  <si>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</si>
  <si>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</si>
  <si>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</si>
  <si>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</si>
  <si>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</si>
  <si>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</si>
  <si>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</si>
  <si>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</si>
  <si>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</si>
  <si>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</si>
  <si>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</si>
  <si>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</si>
  <si>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</si>
  <si>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</si>
  <si>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</si>
  <si>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</si>
  <si>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</si>
  <si>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</si>
  <si>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</si>
  <si>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</si>
  <si>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</si>
  <si>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</si>
  <si>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</si>
  <si>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</si>
  <si>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</si>
  <si>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</si>
  <si>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</si>
  <si>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</si>
  <si>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</si>
  <si>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</si>
  <si>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</si>
  <si>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</si>
  <si>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</si>
  <si>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</si>
  <si>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</si>
  <si>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</si>
  <si>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</si>
  <si>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</si>
  <si>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</si>
  <si>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</si>
  <si>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</si>
  <si>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</si>
  <si>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</si>
  <si>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</si>
  <si>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</si>
  <si>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</si>
  <si>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</si>
  <si>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</si>
  <si>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</si>
  <si>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</si>
  <si>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</si>
  <si>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</si>
  <si>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</si>
  <si>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</si>
  <si>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</si>
  <si>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</si>
  <si>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</si>
  <si>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</si>
  <si>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</si>
  <si>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</si>
  <si>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</si>
  <si>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</si>
  <si>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</si>
  <si>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</si>
  <si>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</si>
  <si>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</si>
  <si>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</si>
  <si>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</si>
  <si>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</si>
  <si>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</si>
  <si>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</si>
  <si>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</si>
  <si>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</si>
  <si>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</si>
  <si>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</si>
  <si>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</si>
  <si>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</si>
  <si>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</si>
  <si>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</si>
  <si>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</si>
  <si>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</si>
  <si>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</si>
  <si>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</si>
  <si>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</si>
  <si>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</si>
  <si>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</si>
  <si>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</si>
  <si>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</si>
  <si>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</si>
  <si>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</si>
  <si>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</si>
  <si>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</si>
  <si>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</si>
  <si>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</si>
  <si>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</si>
  <si>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</si>
  <si>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</si>
  <si>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</si>
  <si>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</si>
  <si>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</si>
  <si>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</si>
  <si>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</si>
  <si>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</si>
  <si>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</si>
  <si>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</si>
  <si>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</si>
  <si>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</si>
  <si>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</si>
  <si>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</si>
  <si>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</si>
  <si>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</si>
  <si>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</si>
  <si>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</si>
  <si>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</si>
  <si>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</si>
  <si>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</si>
  <si>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</si>
  <si>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</si>
  <si>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</si>
  <si>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</si>
  <si>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</si>
  <si>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</si>
  <si>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</si>
  <si>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</si>
  <si>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</si>
  <si>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</si>
  <si>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</si>
  <si>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</si>
  <si>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</si>
  <si>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</si>
  <si>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</si>
  <si>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</si>
  <si>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</si>
  <si>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</si>
  <si>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</si>
  <si>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</si>
  <si>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</si>
  <si>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</si>
  <si>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</si>
  <si>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</si>
  <si>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</si>
  <si>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</si>
  <si>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</si>
  <si>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</si>
  <si>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</si>
  <si>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</si>
  <si>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</si>
  <si>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</si>
  <si>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</si>
  <si>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</si>
  <si>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</si>
  <si>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</si>
  <si>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</si>
  <si>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</si>
  <si>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</si>
  <si>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</si>
  <si>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</si>
  <si>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</si>
  <si>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</si>
  <si>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</si>
  <si>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</si>
  <si>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</si>
  <si>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</si>
  <si>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</si>
  <si>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</si>
  <si>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</si>
  <si>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</si>
  <si>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</si>
  <si>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</si>
  <si>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</si>
  <si>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</si>
  <si>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</si>
  <si>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</si>
  <si>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</si>
  <si>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</si>
  <si>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</si>
  <si>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</si>
  <si>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</si>
  <si>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</si>
  <si>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</si>
  <si>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</si>
  <si>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</si>
  <si>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</si>
  <si>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</si>
  <si>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</si>
  <si>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</si>
  <si>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</si>
  <si>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</si>
  <si>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</si>
  <si>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</si>
  <si>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</si>
  <si>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</si>
  <si>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</si>
  <si>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</si>
  <si>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</si>
  <si>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</si>
  <si>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</si>
  <si>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</si>
  <si>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</si>
  <si>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</si>
  <si>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</si>
  <si>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</si>
  <si>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</si>
  <si>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</si>
  <si>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</si>
  <si>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</si>
  <si>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</si>
  <si>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</si>
  <si>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</si>
  <si>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</si>
  <si>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</si>
  <si>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</si>
  <si>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</si>
  <si>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</si>
  <si>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</si>
  <si>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</si>
  <si>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</si>
  <si>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</si>
  <si>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</si>
  <si>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</si>
  <si>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</si>
  <si>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</si>
  <si>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</si>
  <si>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</si>
  <si>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</si>
  <si>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</si>
  <si>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</si>
  <si>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</si>
  <si>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</si>
  <si>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</si>
  <si>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</si>
  <si>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</si>
  <si>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</si>
  <si>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</si>
  <si>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</si>
  <si>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</si>
  <si>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</si>
  <si>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</si>
  <si>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</si>
  <si>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</si>
  <si>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</si>
  <si>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</si>
  <si>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</si>
  <si>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</si>
  <si>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</si>
  <si>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</si>
  <si>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</si>
  <si>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</si>
  <si>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</si>
  <si>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</si>
  <si>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</si>
  <si>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</si>
  <si>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</si>
  <si>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</si>
  <si>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</si>
  <si>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</si>
  <si>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</si>
  <si>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</si>
  <si>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</si>
  <si>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</si>
  <si>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</si>
  <si>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</si>
  <si>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</si>
  <si>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</si>
  <si>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</si>
  <si>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</si>
  <si>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</si>
  <si>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</si>
  <si>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</si>
  <si>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</si>
  <si>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</si>
  <si>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</si>
  <si>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</si>
  <si>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</si>
  <si>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</si>
  <si>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</si>
  <si>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</si>
  <si>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</si>
  <si>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</si>
  <si>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</si>
  <si>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</si>
  <si>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</si>
  <si>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</si>
  <si>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</si>
  <si>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</si>
  <si>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</si>
  <si>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</si>
  <si>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</si>
  <si>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</si>
  <si>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</si>
  <si>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</si>
  <si>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</si>
  <si>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</si>
  <si>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</si>
  <si>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</si>
  <si>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</si>
  <si>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</si>
  <si>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</si>
  <si>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</si>
  <si>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</si>
  <si>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</si>
  <si>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</si>
  <si>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</si>
  <si>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</si>
  <si>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</si>
  <si>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</si>
  <si>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</si>
  <si>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</si>
  <si>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</si>
  <si>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</si>
  <si>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</si>
  <si>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</si>
  <si>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</si>
  <si>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</si>
  <si>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</si>
  <si>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</si>
  <si>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</si>
  <si>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</si>
  <si>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</si>
  <si>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</si>
  <si>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</si>
  <si>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</si>
  <si>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</si>
  <si>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</si>
  <si>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</si>
  <si>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</si>
  <si>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</si>
  <si>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</si>
  <si>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</si>
  <si>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</si>
  <si>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</si>
  <si>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</si>
  <si>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</si>
  <si>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</si>
  <si>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</si>
  <si>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</si>
  <si>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</si>
  <si>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</si>
  <si>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</si>
  <si>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</si>
  <si>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</si>
  <si>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</si>
  <si>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</si>
  <si>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</si>
  <si>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</si>
  <si>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</si>
  <si>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</si>
  <si>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</si>
  <si>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</si>
  <si>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</si>
  <si>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</si>
  <si>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</si>
  <si>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</si>
  <si>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</si>
  <si>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</si>
  <si>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</si>
  <si>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</si>
  <si>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</si>
  <si>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</si>
  <si>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</si>
  <si>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</si>
  <si>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</si>
  <si>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</si>
  <si>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</si>
  <si>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</si>
  <si>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</si>
  <si>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</si>
  <si>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</si>
  <si>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</si>
  <si>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</si>
  <si>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</si>
  <si>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</si>
  <si>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</si>
  <si>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</si>
  <si>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</si>
  <si>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</si>
  <si>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</si>
  <si>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</si>
  <si>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</si>
  <si>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</si>
  <si>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</si>
  <si>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</si>
  <si>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</si>
  <si>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</si>
  <si>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</si>
  <si>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</si>
  <si>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</si>
  <si>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</si>
  <si>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</si>
  <si>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</si>
  <si>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</si>
  <si>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</si>
  <si>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</si>
  <si>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</si>
  <si>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</si>
  <si>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</si>
  <si>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</si>
  <si>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</si>
  <si>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</si>
  <si>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</si>
  <si>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</si>
  <si>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</si>
  <si>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</si>
  <si>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</si>
  <si>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</si>
  <si>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</si>
  <si>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</si>
  <si>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</si>
  <si>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</si>
  <si>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</si>
  <si>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</si>
  <si>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</si>
  <si>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</si>
  <si>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</si>
  <si>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</si>
  <si>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</si>
  <si>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</si>
  <si>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</si>
  <si>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</si>
  <si>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</si>
  <si>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</si>
  <si>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</si>
  <si>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</si>
  <si>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</si>
  <si>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</si>
  <si>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</si>
  <si>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</si>
  <si>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</si>
  <si>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</si>
  <si>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</si>
  <si>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</si>
  <si>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</si>
  <si>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</si>
  <si>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</si>
  <si>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</si>
  <si>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</si>
  <si>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</si>
  <si>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</si>
  <si>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</si>
  <si>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</si>
  <si>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</si>
  <si>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</si>
  <si>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</si>
  <si>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</si>
  <si>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</si>
  <si>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</si>
  <si>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</si>
  <si>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</si>
  <si>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</si>
  <si>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</si>
  <si>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</si>
  <si>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</si>
  <si>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</si>
  <si>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</si>
  <si>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</si>
  <si>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</si>
  <si>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</si>
  <si>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</si>
  <si>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</si>
  <si>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</si>
  <si>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</si>
  <si>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</si>
  <si>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</si>
  <si>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</si>
  <si>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</si>
  <si>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</si>
  <si>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</si>
  <si>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</si>
  <si>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</si>
  <si>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</si>
  <si>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</si>
  <si>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</si>
  <si>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</si>
  <si>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</si>
  <si>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</si>
  <si>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</si>
  <si>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</si>
  <si>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</si>
  <si>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</si>
  <si>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</si>
  <si>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</si>
  <si>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</si>
  <si>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</si>
  <si>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</si>
  <si>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</si>
  <si>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</si>
  <si>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</si>
  <si>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</si>
  <si>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</si>
  <si>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</si>
  <si>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</si>
  <si>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</si>
  <si>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</si>
  <si>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</si>
  <si>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</si>
  <si>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</si>
  <si>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</si>
  <si>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</si>
  <si>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</si>
  <si>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</si>
  <si>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</si>
  <si>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</si>
  <si>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</si>
  <si>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</si>
  <si>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</si>
  <si>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</si>
  <si>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</si>
  <si>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</si>
  <si>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</si>
  <si>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</si>
  <si>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</si>
  <si>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</si>
  <si>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</si>
  <si>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</si>
  <si>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</si>
  <si>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</si>
  <si>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</si>
  <si>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</si>
  <si>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</si>
  <si>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</si>
  <si>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</si>
  <si>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</si>
  <si>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</si>
  <si>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</si>
  <si>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</si>
  <si>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</si>
  <si>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</si>
  <si>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</si>
  <si>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</si>
  <si>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</si>
  <si>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</si>
  <si>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</si>
  <si>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</si>
  <si>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</si>
  <si>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</si>
  <si>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</si>
  <si>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</si>
  <si>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</si>
  <si>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</si>
  <si>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</si>
  <si>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</si>
  <si>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</si>
  <si>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</si>
  <si>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</si>
  <si>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</si>
  <si>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</si>
  <si>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</si>
  <si>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</si>
  <si>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</si>
  <si>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</si>
  <si>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</si>
  <si>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</si>
  <si>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</si>
  <si>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</si>
  <si>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</si>
  <si>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</si>
  <si>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</si>
  <si>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</si>
  <si>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</si>
  <si>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</si>
  <si>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</si>
  <si>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</si>
  <si>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</si>
  <si>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</si>
  <si>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</si>
  <si>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</si>
  <si>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</si>
  <si>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</si>
  <si>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</si>
  <si>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</si>
  <si>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</si>
  <si>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</si>
  <si>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</si>
  <si>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</si>
  <si>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</si>
  <si>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</si>
  <si>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</si>
  <si>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</si>
  <si>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</si>
  <si>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</si>
  <si>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</si>
  <si>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</si>
  <si>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</si>
  <si>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</si>
  <si>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</si>
  <si>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</si>
  <si>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</si>
  <si>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</si>
  <si>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</si>
  <si>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</si>
  <si>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</si>
  <si>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</si>
  <si>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</si>
  <si>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</si>
  <si>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</si>
  <si>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</si>
  <si>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</si>
  <si>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</si>
  <si>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</si>
  <si>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</si>
  <si>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</si>
  <si>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</si>
  <si>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</si>
  <si>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</si>
  <si>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</si>
  <si>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</si>
  <si>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</si>
  <si>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</si>
  <si>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</si>
  <si>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</si>
  <si>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</si>
  <si>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</si>
  <si>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</si>
  <si>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</si>
  <si>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</si>
  <si>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</si>
  <si>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</si>
  <si>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</si>
  <si>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</si>
  <si>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</si>
  <si>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</si>
  <si>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</si>
  <si>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</si>
  <si>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</si>
  <si>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</si>
  <si>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</si>
  <si>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</si>
  <si>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</si>
  <si>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</si>
  <si>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</si>
  <si>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</si>
  <si>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</si>
  <si>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</si>
  <si>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</si>
  <si>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</si>
  <si>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</si>
  <si>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</si>
  <si>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</si>
  <si>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</si>
  <si>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</si>
  <si>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</si>
  <si>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</si>
  <si>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</si>
  <si>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</si>
  <si>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</si>
  <si>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</si>
  <si>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</si>
  <si>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</si>
  <si>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</si>
  <si>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</si>
  <si>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</si>
  <si>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</si>
  <si>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</si>
  <si>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</si>
  <si>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</si>
  <si>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</si>
  <si>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</si>
  <si>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</si>
  <si>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</si>
  <si>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</si>
  <si>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</si>
  <si>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</si>
  <si>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</si>
  <si>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</si>
  <si>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</si>
  <si>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</si>
  <si>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</si>
  <si>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</si>
  <si>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</si>
  <si>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</si>
  <si>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</si>
  <si>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</si>
  <si>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</si>
  <si>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</si>
  <si>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</si>
  <si>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</si>
  <si>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</si>
  <si>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</si>
  <si>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</si>
  <si>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</si>
  <si>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</si>
  <si>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</si>
  <si>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</si>
  <si>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</si>
  <si>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</si>
  <si>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</si>
  <si>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</si>
  <si>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</si>
  <si>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</si>
  <si>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</si>
  <si>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</si>
  <si>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</si>
  <si>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</si>
  <si>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</si>
  <si>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</si>
  <si>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</si>
  <si>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</si>
  <si>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</si>
  <si>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</si>
  <si>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</si>
  <si>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</si>
  <si>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</si>
  <si>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</si>
  <si>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</si>
  <si>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</si>
  <si>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</si>
  <si>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</si>
  <si>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</si>
  <si>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</si>
  <si>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</si>
  <si>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</si>
  <si>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</si>
  <si>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</si>
  <si>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</si>
  <si>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</si>
  <si>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</si>
  <si>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</si>
  <si>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</si>
  <si>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</si>
  <si>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</si>
  <si>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</si>
  <si>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</si>
  <si>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</si>
  <si>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</si>
  <si>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</si>
  <si>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</si>
  <si>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</si>
  <si>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</si>
  <si>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</si>
  <si>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</si>
  <si>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</si>
  <si>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</si>
  <si>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</si>
  <si>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</si>
  <si>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</si>
  <si>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</si>
  <si>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</si>
  <si>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</si>
  <si>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</si>
  <si>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</si>
  <si>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</si>
  <si>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</si>
  <si>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</si>
  <si>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</si>
  <si>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</si>
  <si>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</si>
  <si>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</si>
  <si>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</si>
  <si>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</si>
  <si>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</si>
  <si>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</si>
  <si>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</si>
  <si>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</si>
  <si>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</si>
  <si>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</si>
  <si>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</si>
  <si>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</si>
  <si>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</si>
  <si>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</si>
  <si>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</si>
  <si>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</si>
  <si>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</si>
  <si>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</si>
  <si>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</si>
  <si>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</si>
  <si>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</si>
  <si>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</si>
  <si>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</si>
  <si>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</si>
  <si>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</si>
  <si>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</si>
  <si>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</si>
  <si>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</si>
  <si>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</si>
  <si>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</si>
  <si>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</si>
  <si>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</si>
  <si>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</si>
  <si>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</si>
  <si>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</si>
  <si>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</si>
  <si>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</si>
  <si>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</si>
  <si>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</si>
  <si>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</si>
  <si>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</si>
  <si>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</si>
  <si>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</si>
  <si>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</si>
  <si>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</si>
  <si>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</si>
  <si>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</si>
  <si>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</si>
  <si>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</si>
  <si>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</si>
  <si>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</si>
  <si>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</si>
  <si>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</si>
  <si>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</si>
  <si>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</si>
  <si>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</si>
  <si>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</si>
  <si>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</si>
  <si>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</si>
  <si>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</si>
  <si>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</si>
  <si>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</si>
  <si>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</si>
  <si>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</si>
  <si>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</si>
  <si>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</si>
  <si>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</si>
  <si>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</si>
  <si>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</si>
  <si>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</si>
  <si>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</si>
  <si>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</si>
  <si>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</si>
  <si>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</si>
  <si>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</si>
  <si>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</si>
  <si>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</si>
  <si>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</si>
  <si>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</si>
  <si>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</si>
  <si>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</si>
  <si>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</si>
  <si>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</si>
  <si>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</si>
  <si>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</si>
  <si>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</si>
  <si>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</si>
  <si>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</si>
  <si>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</si>
  <si>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</si>
  <si>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</si>
  <si>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</si>
  <si>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</si>
  <si>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</si>
  <si>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</si>
  <si>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</si>
  <si>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</si>
  <si>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</si>
  <si>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</si>
  <si>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</si>
  <si>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</si>
  <si>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</si>
  <si>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</si>
  <si>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</si>
  <si>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</si>
  <si>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</si>
  <si>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</si>
  <si>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</si>
  <si>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</si>
  <si>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</si>
  <si>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</si>
  <si>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</si>
  <si>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</si>
  <si>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</si>
  <si>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</si>
  <si>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</si>
  <si>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</si>
  <si>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</si>
  <si>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</si>
  <si>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</si>
  <si>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</si>
  <si>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</si>
  <si>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</si>
  <si>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</si>
  <si>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</si>
  <si>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</si>
  <si>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</si>
  <si>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</si>
  <si>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</si>
  <si>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</si>
  <si>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</si>
  <si>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</si>
  <si>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</si>
  <si>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</si>
  <si>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</si>
  <si>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</si>
  <si>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</si>
  <si>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</si>
  <si>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</si>
  <si>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</si>
  <si>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</si>
  <si>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</si>
  <si>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</si>
  <si>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</si>
  <si>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</si>
  <si>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</si>
  <si>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</si>
  <si>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</si>
  <si>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</si>
  <si>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</si>
  <si>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</si>
  <si>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</si>
  <si>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</si>
  <si>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</si>
  <si>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</si>
  <si>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</si>
  <si>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</si>
  <si>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</si>
  <si>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</si>
  <si>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</si>
  <si>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</si>
  <si>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</si>
  <si>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</si>
  <si>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</si>
  <si>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</si>
  <si>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</si>
  <si>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</si>
  <si>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</si>
  <si>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</si>
  <si>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</si>
  <si>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</si>
  <si>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</si>
  <si>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</si>
  <si>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</si>
  <si>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</si>
  <si>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</si>
  <si>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</si>
  <si>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</si>
  <si>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</si>
  <si>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</si>
  <si>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</si>
  <si>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</si>
  <si>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</si>
  <si>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</si>
  <si>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</si>
  <si>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</si>
  <si>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</si>
  <si>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</si>
  <si>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</si>
  <si>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</si>
  <si>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</si>
  <si>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</si>
  <si>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</si>
  <si>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</si>
  <si>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</si>
  <si>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</si>
  <si>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</si>
  <si>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</si>
  <si>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</si>
  <si>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</si>
  <si>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</si>
  <si>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</si>
  <si>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</si>
  <si>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</si>
  <si>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</si>
  <si>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</si>
  <si>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</si>
  <si>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</si>
  <si>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</si>
  <si>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</si>
  <si>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</si>
  <si>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</si>
  <si>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</si>
  <si>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</si>
  <si>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</si>
  <si>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</si>
  <si>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</si>
  <si>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</si>
  <si>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</si>
  <si>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</si>
  <si>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</si>
  <si>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</si>
  <si>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</si>
  <si>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</si>
  <si>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</si>
  <si>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</si>
  <si>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</si>
  <si>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</si>
  <si>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</si>
  <si>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</si>
  <si>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</si>
  <si>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</si>
  <si>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</si>
  <si>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</si>
  <si>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</si>
  <si>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</si>
  <si>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</si>
  <si>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</si>
  <si>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</si>
  <si>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</si>
  <si>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</si>
  <si>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</si>
  <si>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</si>
  <si>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</si>
  <si>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</si>
  <si>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</si>
  <si>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</si>
  <si>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</si>
  <si>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</si>
  <si>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</si>
  <si>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</si>
  <si>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</si>
  <si>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</si>
  <si>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</si>
  <si>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</si>
  <si>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</si>
  <si>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</si>
  <si>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</si>
  <si>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</si>
  <si>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</si>
  <si>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</si>
  <si>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</si>
  <si>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</si>
  <si>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</si>
  <si>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</si>
  <si>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</si>
  <si>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</si>
  <si>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</si>
  <si>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</si>
  <si>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</si>
  <si>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</si>
  <si>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</si>
  <si>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</si>
  <si>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</si>
  <si>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</si>
  <si>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</si>
  <si>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</si>
  <si>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</si>
  <si>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</si>
  <si>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</si>
  <si>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</si>
  <si>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</si>
  <si>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</si>
  <si>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</si>
  <si>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</si>
  <si>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</si>
  <si>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</si>
  <si>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</si>
  <si>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</si>
  <si>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</si>
  <si>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</si>
  <si>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</si>
  <si>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</si>
  <si>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</si>
  <si>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</si>
  <si>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</si>
  <si>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</si>
  <si>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</si>
  <si>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</si>
  <si>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</si>
  <si>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</si>
  <si>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</si>
  <si>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</si>
  <si>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</si>
  <si>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</si>
  <si>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</si>
  <si>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</si>
  <si>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</si>
  <si>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</si>
  <si>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</si>
  <si>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</si>
  <si>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</si>
  <si>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</si>
  <si>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</si>
  <si>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</si>
  <si>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</si>
  <si>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</si>
  <si>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</si>
  <si>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</si>
  <si>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</si>
  <si>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</si>
  <si>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</si>
  <si>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</si>
  <si>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</si>
  <si>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</si>
  <si>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</si>
  <si>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</si>
  <si>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</si>
  <si>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</si>
  <si>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</si>
  <si>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</si>
  <si>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</si>
  <si>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</si>
  <si>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</si>
  <si>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</si>
  <si>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</si>
  <si>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</si>
  <si>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</si>
  <si>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</si>
  <si>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</si>
  <si>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</si>
  <si>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</si>
  <si>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</si>
  <si>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</si>
  <si>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</si>
  <si>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</si>
  <si>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</si>
  <si>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</si>
  <si>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</si>
  <si>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</si>
  <si>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</si>
  <si>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</si>
  <si>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</si>
  <si>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</si>
  <si>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</si>
  <si>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</si>
  <si>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</si>
  <si>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</si>
  <si>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</si>
  <si>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</si>
  <si>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</si>
  <si>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</si>
  <si>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</si>
  <si>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</si>
  <si>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</si>
  <si>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</si>
  <si>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</si>
  <si>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</si>
  <si>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</si>
  <si>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</si>
  <si>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</si>
  <si>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</si>
  <si>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</si>
  <si>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</si>
  <si>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</si>
  <si>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</si>
  <si>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</si>
  <si>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</si>
  <si>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</si>
  <si>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</si>
  <si>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</si>
  <si>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</si>
  <si>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</si>
  <si>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</si>
  <si>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</si>
  <si>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</si>
  <si>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</si>
  <si>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</si>
  <si>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</si>
  <si>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</si>
  <si>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</si>
  <si>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</si>
  <si>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</si>
  <si>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</si>
  <si>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</si>
  <si>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</si>
  <si>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</si>
  <si>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</si>
  <si>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</si>
  <si>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</si>
  <si>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</si>
  <si>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</si>
  <si>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</si>
  <si>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</si>
  <si>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</si>
  <si>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</si>
  <si>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</si>
  <si>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</si>
  <si>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</si>
  <si>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</si>
  <si>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</si>
  <si>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</si>
  <si>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</si>
  <si>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</si>
  <si>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</si>
  <si>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</si>
  <si>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</si>
  <si>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</si>
  <si>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</si>
  <si>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</si>
  <si>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</si>
  <si>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</si>
  <si>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</si>
  <si>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</si>
  <si>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</si>
  <si>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</si>
  <si>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</si>
  <si>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</si>
  <si>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</si>
  <si>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</si>
  <si>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</si>
  <si>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</si>
  <si>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</si>
  <si>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</si>
  <si>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</si>
  <si>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</si>
  <si>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</si>
  <si>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</si>
  <si>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</si>
  <si>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</si>
  <si>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</si>
  <si>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</si>
  <si>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</si>
  <si>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</si>
  <si>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</si>
  <si>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</si>
  <si>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</si>
  <si>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</si>
  <si>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</si>
  <si>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</si>
  <si>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</si>
  <si>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</si>
  <si>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</si>
  <si>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</si>
  <si>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</si>
  <si>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</si>
  <si>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</si>
  <si>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</si>
  <si>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</si>
  <si>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</si>
  <si>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</si>
  <si>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</si>
  <si>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</si>
  <si>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</si>
  <si>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</si>
  <si>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</si>
  <si>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</si>
  <si>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</si>
  <si>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</si>
  <si>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</si>
  <si>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</si>
  <si>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</si>
  <si>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</si>
  <si>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</si>
  <si>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</si>
  <si>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</si>
  <si>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</si>
  <si>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</si>
  <si>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</si>
  <si>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</si>
  <si>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</si>
  <si>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</si>
  <si>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</si>
  <si>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</si>
  <si>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</si>
  <si>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</si>
  <si>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</si>
  <si>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</si>
  <si>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</si>
  <si>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</si>
  <si>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</si>
  <si>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</si>
  <si>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</si>
  <si>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</si>
  <si>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</si>
  <si>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</si>
  <si>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</si>
  <si>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</si>
  <si>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</si>
  <si>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</si>
  <si>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</si>
  <si>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</si>
  <si>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</si>
  <si>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</si>
  <si>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</si>
  <si>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</si>
  <si>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</si>
  <si>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</si>
  <si>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</si>
  <si>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</si>
  <si>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</si>
  <si>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</si>
  <si>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</si>
  <si>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</si>
  <si>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</si>
  <si>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</si>
  <si>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</si>
  <si>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</si>
  <si>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</si>
  <si>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</si>
  <si>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</si>
  <si>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</si>
  <si>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</si>
  <si>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</si>
  <si>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</si>
  <si>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</si>
  <si>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</si>
  <si>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</si>
  <si>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</si>
  <si>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</si>
  <si>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</si>
  <si>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</si>
  <si>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</si>
  <si>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</si>
  <si>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</si>
  <si>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</si>
  <si>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</si>
  <si>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</si>
  <si>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</si>
  <si>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</si>
  <si>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</si>
  <si>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</si>
  <si>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</si>
  <si>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</si>
  <si>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</si>
  <si>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</si>
  <si>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</si>
  <si>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</si>
  <si>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</si>
  <si>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</si>
  <si>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</si>
  <si>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</si>
  <si>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</si>
  <si>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</si>
  <si>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</si>
  <si>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</si>
  <si>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</si>
  <si>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</si>
  <si>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</si>
  <si>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</si>
  <si>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</si>
  <si>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</si>
  <si>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</si>
  <si>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</si>
  <si>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</si>
  <si>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</si>
  <si>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</si>
  <si>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</si>
  <si>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</si>
  <si>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</si>
  <si>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</si>
  <si>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</si>
  <si>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</si>
  <si>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</si>
  <si>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</si>
  <si>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</si>
  <si>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</si>
  <si>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</si>
  <si>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</si>
  <si>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</si>
  <si>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</si>
  <si>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</si>
  <si>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</si>
  <si>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</si>
  <si>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</si>
  <si>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</si>
  <si>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</si>
  <si>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</si>
  <si>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</si>
  <si>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</si>
  <si>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</si>
  <si>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</si>
  <si>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</si>
  <si>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</si>
  <si>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</si>
  <si>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</si>
  <si>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</si>
  <si>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</si>
  <si>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</si>
  <si>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</si>
  <si>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</si>
  <si>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</si>
  <si>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</si>
  <si>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</si>
  <si>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</si>
  <si>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</si>
  <si>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</si>
  <si>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</si>
  <si>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</si>
  <si>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</si>
  <si>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</si>
  <si>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</si>
  <si>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</si>
  <si>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</si>
  <si>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</si>
  <si>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</si>
  <si>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</si>
  <si>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</si>
  <si>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</si>
  <si>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</si>
  <si>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</si>
  <si>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</si>
  <si>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</si>
  <si>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</si>
  <si>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</si>
  <si>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</si>
  <si>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</si>
  <si>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</si>
  <si>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</si>
  <si>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</si>
  <si>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</si>
  <si>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</si>
  <si>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</si>
  <si>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</si>
  <si>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</si>
  <si>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</si>
  <si>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</si>
  <si>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</si>
  <si>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</si>
  <si>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</si>
  <si>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</si>
  <si>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</si>
  <si>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</si>
  <si>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</si>
  <si>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</si>
  <si>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</si>
  <si>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</si>
  <si>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</si>
  <si>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</si>
  <si>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</si>
  <si>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</si>
  <si>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</si>
  <si>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</si>
  <si>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</si>
  <si>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</si>
  <si>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</si>
  <si>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</si>
  <si>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</si>
  <si>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</si>
  <si>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</si>
  <si>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</si>
  <si>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</si>
  <si>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</si>
  <si>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</si>
  <si>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</si>
  <si>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</si>
  <si>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</si>
  <si>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</si>
  <si>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</si>
  <si>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</si>
  <si>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</si>
  <si>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</si>
  <si>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</si>
  <si>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</si>
  <si>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</si>
  <si>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</si>
  <si>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</si>
  <si>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</si>
  <si>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</si>
  <si>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</si>
  <si>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</si>
  <si>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</si>
  <si>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</si>
  <si>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</si>
  <si>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</si>
  <si>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</si>
  <si>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</si>
  <si>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</si>
  <si>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</si>
  <si>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</si>
  <si>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</si>
  <si>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</si>
  <si>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</si>
  <si>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</si>
  <si>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</si>
  <si>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</si>
  <si>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</si>
  <si>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</si>
  <si>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</si>
  <si>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</si>
  <si>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</si>
  <si>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</si>
  <si>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</si>
  <si>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</si>
  <si>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</si>
  <si>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</si>
  <si>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</si>
  <si>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</si>
  <si>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</si>
  <si>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</si>
  <si>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</si>
  <si>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</si>
  <si>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</si>
  <si>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</si>
  <si>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</si>
  <si>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</si>
  <si>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</si>
  <si>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</si>
  <si>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</si>
  <si>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</si>
  <si>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</si>
  <si>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</si>
  <si>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</si>
  <si>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</si>
  <si>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</si>
  <si>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</si>
  <si>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</si>
  <si>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</si>
  <si>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</si>
  <si>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</si>
  <si>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</si>
  <si>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</si>
  <si>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</si>
  <si>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</si>
  <si>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</si>
  <si>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</si>
  <si>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</si>
  <si>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</si>
  <si>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</si>
  <si>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</si>
  <si>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</si>
  <si>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</si>
  <si>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</si>
  <si>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</si>
  <si>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</si>
  <si>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</si>
  <si>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</si>
  <si>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</si>
  <si>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</si>
  <si>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</si>
  <si>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</si>
  <si>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</si>
  <si>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</si>
  <si>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</si>
  <si>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</si>
  <si>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</si>
  <si>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</si>
  <si>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</si>
  <si>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</si>
  <si>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</si>
  <si>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</si>
  <si>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</si>
  <si>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</si>
  <si>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</si>
  <si>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</si>
  <si>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</si>
  <si>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</si>
  <si>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</si>
  <si>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</si>
  <si>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</si>
  <si>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</si>
  <si>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</si>
  <si>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</si>
  <si>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</si>
  <si>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</si>
  <si>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</si>
  <si>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</si>
  <si>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</si>
  <si>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</si>
  <si>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</si>
  <si>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</si>
  <si>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</si>
  <si>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</si>
  <si>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</si>
  <si>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</si>
  <si>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</si>
  <si>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</si>
  <si>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</si>
  <si>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</si>
  <si>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</si>
  <si>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</si>
  <si>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</si>
  <si>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</si>
  <si>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</si>
  <si>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</si>
  <si>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</si>
  <si>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</si>
  <si>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</si>
  <si>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</si>
  <si>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</si>
  <si>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</si>
  <si>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</si>
  <si>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</si>
  <si>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</si>
  <si>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</si>
  <si>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</si>
  <si>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</si>
  <si>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</si>
  <si>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</si>
  <si>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</si>
  <si>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</si>
  <si>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</si>
  <si>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</si>
  <si>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</si>
  <si>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</si>
  <si>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</si>
  <si>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</si>
  <si>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</si>
  <si>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</si>
  <si>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</si>
  <si>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</si>
  <si>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</si>
  <si>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</si>
  <si>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</si>
  <si>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</si>
  <si>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</si>
  <si>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</si>
  <si>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</si>
  <si>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</si>
  <si>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</si>
  <si>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</si>
  <si>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</si>
  <si>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</si>
  <si>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</si>
  <si>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</si>
  <si>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</si>
  <si>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</si>
  <si>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</si>
  <si>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</si>
  <si>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</si>
  <si>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</si>
  <si>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</si>
  <si>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</si>
  <si>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</si>
  <si>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</si>
  <si>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</si>
  <si>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</si>
  <si>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</si>
  <si>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</si>
  <si>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</si>
  <si>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</si>
  <si>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</si>
  <si>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</si>
  <si>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</si>
  <si>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</si>
  <si>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</si>
  <si>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</si>
  <si>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</si>
  <si>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</si>
  <si>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</si>
  <si>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</si>
  <si>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</si>
  <si>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</si>
  <si>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</si>
  <si>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</si>
  <si>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</si>
  <si>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</si>
  <si>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</si>
  <si>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</si>
  <si>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</si>
  <si>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</si>
  <si>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</si>
  <si>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</si>
  <si>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</si>
  <si>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</si>
  <si>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</si>
  <si>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</si>
  <si>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</si>
  <si>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</si>
  <si>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</si>
  <si>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</si>
  <si>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</si>
  <si>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</si>
  <si>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</si>
  <si>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</si>
  <si>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</si>
  <si>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</si>
  <si>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</si>
  <si>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</si>
  <si>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</si>
  <si>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</si>
  <si>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</si>
  <si>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</si>
  <si>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</si>
  <si>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</si>
  <si>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</si>
  <si>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</si>
  <si>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</si>
  <si>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</si>
  <si>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</si>
  <si>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</si>
  <si>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</si>
  <si>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</si>
  <si>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</si>
  <si>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</si>
  <si>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</si>
  <si>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</si>
  <si>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</si>
  <si>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</si>
  <si>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</si>
  <si>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</si>
  <si>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</si>
  <si>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</si>
  <si>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</si>
  <si>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</si>
  <si>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</si>
  <si>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</si>
  <si>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</si>
  <si>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</si>
  <si>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</si>
  <si>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</si>
  <si>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</si>
  <si>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</si>
  <si>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</si>
  <si>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</si>
  <si>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</si>
  <si>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</si>
  <si>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</si>
  <si>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</si>
  <si>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</si>
  <si>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</si>
  <si>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</si>
  <si>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</si>
  <si>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</si>
  <si>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</si>
  <si>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</si>
  <si>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</si>
  <si>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</si>
  <si>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</si>
  <si>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</si>
  <si>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</si>
  <si>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</si>
  <si>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</si>
  <si>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</si>
  <si>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</si>
  <si>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</si>
  <si>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</si>
  <si>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</si>
  <si>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</si>
  <si>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</si>
  <si>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</si>
  <si>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</si>
  <si>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</si>
  <si>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</si>
  <si>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</si>
  <si>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</si>
  <si>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</si>
  <si>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</si>
  <si>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</si>
  <si>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</si>
  <si>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</si>
  <si>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</si>
  <si>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</si>
  <si>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</si>
  <si>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</si>
  <si>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</si>
  <si>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</si>
  <si>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</si>
  <si>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</si>
  <si>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</si>
  <si>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</si>
  <si>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</si>
  <si>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</si>
  <si>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</si>
  <si>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</si>
  <si>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</si>
  <si>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</si>
  <si>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</si>
  <si>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</si>
  <si>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</si>
  <si>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</si>
  <si>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</si>
  <si>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</si>
  <si>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</si>
  <si>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</si>
  <si>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</si>
  <si>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</si>
  <si>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</si>
  <si>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</si>
  <si>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</si>
  <si>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</si>
  <si>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</si>
  <si>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</si>
  <si>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</si>
  <si>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</si>
  <si>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</si>
  <si>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</si>
  <si>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</si>
  <si>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</si>
  <si>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</si>
  <si>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</si>
  <si>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</si>
  <si>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</si>
  <si>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</si>
  <si>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</si>
  <si>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</si>
  <si>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</si>
  <si>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</si>
  <si>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</si>
  <si>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</si>
  <si>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</si>
  <si>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</si>
  <si>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</si>
  <si>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</si>
  <si>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</si>
  <si>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</si>
  <si>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</si>
  <si>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</si>
  <si>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</si>
  <si>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</si>
  <si>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</si>
  <si>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</si>
  <si>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</si>
  <si>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</si>
  <si>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</si>
  <si>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</si>
  <si>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</si>
  <si>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</si>
  <si>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</si>
  <si>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</si>
  <si>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</si>
  <si>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</si>
  <si>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</si>
  <si>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</si>
  <si>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</si>
  <si>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</si>
  <si>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</si>
  <si>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</si>
  <si>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</si>
  <si>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</si>
  <si>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</si>
  <si>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</si>
  <si>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</si>
  <si>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</si>
  <si>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</si>
  <si>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</si>
  <si>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</si>
  <si>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</si>
  <si>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</si>
  <si>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</si>
  <si>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</si>
  <si>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</si>
  <si>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</si>
  <si>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</si>
  <si>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</si>
  <si>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</si>
  <si>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</si>
  <si>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</si>
  <si>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</si>
  <si>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</si>
  <si>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</si>
  <si>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</si>
  <si>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</si>
  <si>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</si>
  <si>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</si>
  <si>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</si>
  <si>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</si>
  <si>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</si>
  <si>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</si>
  <si>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</si>
  <si>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</si>
  <si>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</si>
  <si>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</si>
  <si>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</si>
  <si>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</si>
  <si>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</si>
  <si>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</si>
  <si>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</si>
  <si>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</si>
  <si>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</si>
  <si>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</si>
  <si>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</si>
  <si>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</si>
  <si>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</si>
  <si>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</si>
  <si>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</si>
  <si>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</si>
  <si>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</si>
  <si>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</si>
  <si>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</si>
  <si>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</si>
  <si>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</si>
  <si>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</si>
  <si>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</si>
  <si>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</si>
  <si>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</si>
  <si>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</si>
  <si>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</si>
  <si>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</si>
  <si>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</si>
  <si>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</si>
  <si>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</si>
  <si>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</si>
  <si>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</si>
  <si>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</si>
  <si>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</si>
  <si>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</si>
  <si>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</si>
  <si>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</si>
  <si>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</si>
  <si>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</si>
  <si>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</si>
  <si>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</si>
  <si>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</si>
  <si>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</si>
  <si>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</si>
  <si>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</si>
  <si>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</si>
  <si>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</si>
  <si>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</si>
  <si>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</si>
  <si>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</si>
  <si>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</si>
  <si>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</si>
  <si>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</si>
  <si>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</si>
  <si>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</si>
  <si>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</si>
  <si>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</si>
  <si>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</si>
  <si>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</si>
  <si>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</si>
  <si>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</si>
  <si>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</si>
  <si>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</si>
  <si>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</si>
  <si>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</si>
  <si>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</si>
  <si>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</si>
  <si>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</si>
  <si>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</si>
  <si>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</si>
  <si>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</si>
  <si>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</si>
  <si>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</si>
  <si>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</si>
  <si>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</si>
  <si>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</si>
  <si>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</si>
  <si>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</si>
  <si>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</si>
  <si>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</si>
  <si>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</si>
  <si>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</si>
  <si>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</si>
  <si>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</si>
  <si>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</si>
  <si>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</si>
  <si>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</si>
  <si>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</si>
  <si>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</si>
  <si>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</si>
  <si>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</si>
  <si>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</si>
  <si>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</si>
  <si>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</si>
  <si>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</si>
  <si>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</si>
  <si>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</si>
  <si>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</si>
  <si>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</si>
  <si>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</si>
  <si>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</si>
  <si>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</si>
  <si>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</si>
  <si>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</si>
  <si>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</si>
  <si>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</si>
  <si>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</si>
  <si>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</si>
  <si>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</si>
  <si>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</si>
  <si>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</si>
  <si>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</si>
  <si>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</si>
  <si>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</si>
  <si>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</si>
  <si>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</si>
  <si>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</si>
  <si>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</si>
  <si>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</si>
  <si>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</si>
  <si>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</si>
  <si>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</si>
  <si>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</si>
  <si>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</si>
  <si>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</si>
  <si>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</si>
  <si>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</si>
  <si>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</si>
  <si>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</si>
  <si>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</si>
  <si>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</si>
  <si>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</si>
  <si>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</si>
  <si>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</si>
  <si>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</si>
  <si>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</si>
  <si>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</si>
  <si>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</si>
  <si>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</si>
  <si>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</si>
  <si>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</si>
  <si>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</si>
  <si>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</si>
  <si>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</si>
  <si>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</si>
  <si>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</si>
  <si>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</si>
  <si>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</si>
  <si>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</si>
  <si>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</si>
  <si>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</si>
  <si>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</si>
  <si>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</si>
  <si>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</si>
  <si>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</si>
  <si>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</si>
  <si>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</si>
  <si>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</si>
  <si>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</si>
  <si>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</si>
  <si>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</si>
  <si>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</si>
  <si>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</si>
  <si>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</si>
  <si>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</si>
  <si>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</si>
  <si>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</si>
  <si>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</si>
  <si>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</si>
  <si>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</si>
  <si>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</si>
  <si>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</si>
  <si>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</si>
  <si>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</si>
  <si>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</si>
  <si>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</si>
  <si>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</si>
  <si>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</si>
  <si>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</si>
  <si>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</si>
  <si>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</si>
  <si>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</si>
  <si>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</si>
  <si>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</si>
  <si>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</si>
  <si>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</si>
  <si>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</si>
  <si>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</si>
  <si>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</si>
  <si>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</si>
  <si>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</si>
  <si>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</si>
  <si>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</si>
  <si>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</si>
  <si>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</si>
  <si>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</si>
  <si>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</si>
  <si>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</si>
  <si>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</si>
  <si>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</si>
  <si>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</si>
  <si>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</si>
  <si>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</si>
  <si>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</si>
  <si>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</si>
  <si>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</si>
  <si>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</si>
  <si>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</si>
  <si>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</si>
  <si>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</si>
  <si>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</si>
  <si>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</si>
  <si>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</si>
  <si>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</si>
  <si>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</si>
  <si>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</si>
  <si>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</si>
  <si>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</si>
  <si>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</si>
  <si>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</si>
  <si>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</si>
  <si>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</si>
  <si>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</si>
  <si>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</si>
  <si>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</si>
  <si>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</si>
  <si>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</si>
  <si>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</si>
  <si>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</si>
  <si>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</si>
  <si>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</si>
  <si>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</si>
  <si>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</si>
  <si>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</si>
  <si>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</si>
  <si>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</si>
  <si>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</si>
  <si>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</si>
  <si>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</si>
  <si>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</si>
  <si>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</si>
  <si>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</si>
  <si>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</si>
  <si>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</si>
  <si>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</si>
  <si>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</si>
  <si>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</si>
  <si>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</si>
  <si>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</si>
  <si>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</si>
  <si>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</si>
  <si>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</si>
  <si>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</si>
  <si>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</si>
  <si>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</si>
  <si>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</si>
  <si>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</si>
  <si>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</si>
  <si>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</si>
  <si>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</si>
  <si>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</si>
  <si>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</si>
  <si>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</si>
  <si>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</si>
  <si>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</si>
  <si>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</si>
  <si>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</si>
  <si>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</si>
  <si>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</si>
  <si>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</si>
  <si>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</si>
  <si>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</si>
  <si>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</si>
  <si>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</si>
  <si>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</si>
  <si>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</si>
  <si>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</si>
  <si>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</si>
  <si>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</si>
  <si>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</si>
  <si>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</si>
  <si>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</si>
  <si>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</si>
  <si>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</si>
  <si>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</si>
  <si>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</si>
  <si>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</si>
  <si>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</si>
  <si>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</si>
  <si>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</si>
  <si>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</si>
  <si>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</si>
  <si>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</si>
  <si>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</si>
  <si>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</si>
  <si>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</si>
  <si>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</si>
  <si>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</si>
  <si>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</si>
  <si>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</si>
  <si>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</si>
  <si>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</si>
  <si>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</si>
  <si>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</si>
  <si>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</si>
  <si>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</si>
  <si>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</si>
  <si>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</si>
  <si>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</si>
  <si>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</si>
  <si>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</si>
  <si>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</si>
  <si>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</si>
  <si>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</si>
  <si>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</si>
  <si>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</si>
  <si>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</si>
  <si>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</si>
  <si>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</si>
  <si>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</si>
  <si>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</si>
  <si>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</si>
  <si>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</si>
  <si>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</si>
  <si>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</si>
  <si>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</si>
  <si>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</si>
  <si>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</si>
  <si>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</si>
  <si>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</si>
  <si>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</si>
  <si>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</si>
  <si>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</si>
  <si>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</si>
  <si>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</si>
  <si>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</si>
  <si>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</si>
  <si>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</si>
  <si>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</si>
  <si>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</si>
  <si>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</si>
  <si>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</si>
  <si>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</si>
  <si>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</si>
  <si>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</si>
  <si>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</si>
  <si>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</si>
  <si>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</si>
  <si>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</si>
  <si>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</si>
  <si>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</si>
  <si>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</si>
  <si>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</si>
  <si>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</si>
  <si>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</si>
  <si>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</si>
  <si>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</si>
  <si>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</si>
  <si>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</si>
  <si>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</si>
  <si>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</si>
  <si>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</si>
  <si>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</si>
  <si>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</si>
  <si>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</si>
  <si>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</si>
  <si>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</si>
  <si>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</si>
  <si>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</si>
  <si>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</si>
  <si>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</si>
  <si>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</si>
  <si>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</si>
  <si>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</si>
  <si>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</si>
  <si>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</si>
  <si>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</si>
  <si>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</si>
  <si>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</si>
  <si>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</si>
  <si>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</si>
  <si>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</si>
  <si>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</si>
  <si>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</si>
  <si>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</si>
  <si>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</si>
  <si>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</si>
  <si>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</si>
  <si>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</si>
  <si>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</si>
  <si>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</si>
  <si>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</si>
  <si>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</si>
  <si>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</si>
  <si>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</si>
  <si>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</si>
  <si>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</si>
  <si>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</si>
  <si>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</si>
  <si>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</si>
  <si>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</si>
  <si>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</si>
  <si>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</si>
  <si>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</si>
  <si>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</si>
  <si>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</si>
  <si>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</si>
  <si>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</si>
  <si>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</si>
  <si>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</si>
  <si>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</si>
  <si>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</si>
  <si>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</si>
  <si>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</si>
  <si>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</si>
  <si>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</si>
  <si>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</si>
  <si>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</si>
  <si>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</si>
  <si>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</si>
  <si>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</si>
  <si>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</si>
  <si>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</si>
  <si>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</si>
  <si>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</si>
  <si>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</si>
  <si>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</si>
  <si>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</si>
  <si>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</si>
  <si>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</si>
  <si>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</si>
  <si>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</si>
  <si>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</si>
  <si>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</si>
  <si>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</si>
  <si>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</si>
  <si>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</si>
  <si>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</si>
  <si>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</si>
  <si>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</si>
  <si>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</si>
  <si>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</si>
  <si>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</si>
  <si>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</si>
  <si>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</si>
  <si>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</si>
  <si>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</si>
  <si>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</si>
  <si>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</si>
  <si>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</si>
  <si>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</si>
  <si>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</si>
  <si>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</si>
  <si>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</si>
  <si>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</si>
  <si>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</si>
  <si>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</si>
  <si>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</si>
  <si>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</si>
  <si>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</si>
  <si>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</si>
  <si>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</si>
  <si>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</si>
  <si>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</si>
  <si>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</si>
  <si>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</si>
  <si>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</si>
  <si>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</si>
  <si>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</si>
  <si>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</si>
  <si>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</si>
  <si>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</si>
  <si>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</si>
  <si>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</si>
  <si>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</si>
  <si>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</si>
  <si>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</si>
  <si>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</si>
  <si>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</si>
  <si>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</si>
  <si>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</si>
  <si>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</si>
  <si>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</si>
  <si>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</si>
  <si>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</si>
  <si>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</si>
  <si>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</si>
  <si>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</si>
  <si>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</si>
  <si>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</si>
  <si>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</si>
  <si>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</si>
  <si>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</si>
  <si>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</si>
  <si>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</si>
  <si>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</si>
  <si>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</si>
  <si>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</si>
  <si>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</si>
  <si>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</si>
  <si>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</si>
  <si>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</si>
  <si>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</si>
  <si>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</si>
  <si>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</si>
  <si>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</si>
  <si>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</si>
  <si>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</si>
  <si>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</si>
  <si>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</si>
  <si>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</si>
  <si>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</si>
  <si>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</si>
  <si>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</si>
  <si>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</si>
  <si>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</si>
  <si>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</si>
  <si>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</si>
  <si>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</si>
  <si>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</si>
  <si>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</si>
  <si>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</si>
  <si>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</si>
  <si>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</si>
  <si>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</si>
  <si>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</si>
  <si>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</si>
  <si>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</si>
  <si>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</si>
  <si>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</si>
  <si>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</si>
  <si>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</si>
  <si>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</si>
  <si>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</si>
  <si>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</si>
  <si>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</si>
  <si>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</si>
  <si>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</si>
  <si>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</si>
  <si>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</si>
  <si>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</si>
  <si>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</si>
  <si>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</si>
  <si>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</si>
  <si>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</si>
  <si>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</si>
  <si>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</si>
  <si>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</si>
  <si>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</si>
  <si>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</si>
  <si>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</si>
  <si>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</si>
  <si>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</si>
  <si>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</si>
  <si>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</si>
  <si>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</si>
  <si>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</si>
  <si>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</si>
  <si>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</si>
  <si>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</si>
  <si>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</si>
  <si>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</si>
  <si>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</si>
  <si>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</si>
  <si>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</si>
  <si>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</si>
  <si>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</si>
  <si>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</si>
  <si>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</si>
  <si>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</si>
  <si>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</si>
  <si>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</si>
  <si>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</si>
  <si>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</si>
  <si>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</si>
  <si>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</si>
  <si>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</si>
  <si>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</si>
  <si>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</si>
  <si>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</si>
  <si>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</si>
  <si>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</si>
  <si>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</si>
  <si>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</si>
  <si>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</si>
  <si>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</si>
  <si>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</si>
  <si>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</si>
  <si>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</si>
  <si>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</si>
  <si>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</si>
  <si>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</si>
  <si>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</si>
  <si>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</si>
  <si>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</si>
  <si>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</si>
  <si>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</si>
  <si>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</si>
  <si>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</si>
  <si>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</si>
  <si>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</si>
  <si>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</si>
  <si>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</si>
  <si>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</si>
  <si>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</si>
  <si>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</si>
  <si>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</si>
  <si>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</si>
  <si>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</si>
  <si>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</si>
  <si>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</si>
  <si>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</si>
  <si>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</si>
  <si>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</si>
  <si>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</si>
  <si>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</si>
  <si>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</si>
  <si>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</si>
  <si>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</si>
  <si>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</si>
  <si>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</si>
  <si>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</si>
  <si>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</si>
  <si>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</si>
  <si>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</si>
  <si>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</si>
  <si>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</si>
  <si>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</si>
  <si>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</si>
  <si>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</si>
  <si>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</si>
  <si>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</si>
  <si>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</si>
  <si>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</si>
  <si>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</si>
  <si>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</si>
  <si>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</si>
  <si>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</si>
  <si>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</si>
  <si>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</si>
  <si>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</si>
  <si>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</si>
  <si>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</si>
  <si>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</si>
  <si>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</si>
  <si>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</si>
  <si>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</si>
  <si>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</si>
  <si>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</si>
  <si>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</si>
  <si>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</si>
  <si>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</si>
  <si>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</si>
  <si>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</si>
  <si>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</si>
  <si>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</si>
  <si>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</si>
  <si>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</si>
  <si>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</si>
  <si>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</si>
  <si>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</si>
  <si>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</si>
  <si>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</si>
  <si>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</si>
  <si>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</si>
  <si>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</si>
  <si>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</si>
  <si>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</si>
  <si>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</si>
  <si>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</si>
  <si>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</si>
  <si>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</si>
  <si>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</si>
  <si>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</si>
  <si>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</si>
  <si>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</si>
  <si>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</si>
  <si>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</si>
  <si>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</si>
  <si>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</si>
  <si>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</si>
  <si>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</si>
  <si>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</si>
  <si>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</si>
  <si>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</si>
  <si>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</si>
  <si>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</si>
  <si>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</si>
  <si>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</si>
  <si>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</si>
  <si>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</si>
  <si>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</si>
  <si>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</si>
  <si>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</si>
  <si>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</si>
  <si>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</si>
  <si>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</si>
  <si>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</si>
  <si>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</si>
  <si>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</si>
  <si>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</si>
  <si>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</si>
  <si>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</si>
  <si>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</si>
  <si>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</si>
  <si>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</si>
  <si>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</si>
  <si>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</si>
  <si>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</si>
  <si>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</si>
  <si>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</si>
  <si>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</si>
  <si>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</si>
  <si>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</si>
  <si>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</si>
  <si>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</si>
  <si>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</si>
  <si>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</si>
  <si>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</si>
  <si>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</si>
  <si>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</si>
  <si>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</si>
  <si>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</si>
  <si>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</si>
  <si>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</si>
  <si>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</si>
  <si>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</si>
  <si>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</si>
  <si>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</si>
  <si>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</si>
  <si>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</si>
  <si>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</si>
  <si>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</si>
  <si>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</si>
  <si>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</si>
  <si>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</si>
  <si>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</si>
  <si>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</si>
  <si>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</si>
  <si>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</si>
  <si>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</si>
  <si>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</si>
  <si>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</si>
  <si>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</si>
  <si>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</si>
  <si>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</si>
  <si>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</si>
  <si>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</si>
  <si>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</si>
  <si>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</si>
  <si>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</si>
  <si>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</si>
  <si>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</si>
  <si>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</si>
  <si>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</si>
  <si>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</si>
  <si>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</si>
  <si>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</si>
  <si>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</si>
  <si>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</si>
  <si>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</si>
  <si>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</si>
  <si>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</si>
  <si>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</si>
  <si>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</si>
  <si>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</si>
  <si>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</si>
  <si>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</si>
  <si>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</si>
  <si>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</si>
  <si>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</si>
  <si>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</si>
  <si>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</si>
  <si>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</si>
  <si>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</si>
  <si>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</si>
  <si>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</si>
  <si>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</si>
  <si>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</si>
  <si>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</si>
  <si>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</si>
  <si>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</si>
  <si>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</si>
  <si>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</si>
  <si>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</si>
  <si>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</si>
  <si>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</si>
  <si>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</si>
  <si>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</si>
  <si>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</si>
  <si>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</si>
  <si>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</si>
  <si>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</si>
  <si>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</si>
  <si>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</si>
  <si>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</si>
  <si>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</si>
  <si>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</si>
  <si>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</si>
  <si>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</si>
  <si>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</si>
  <si>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</si>
  <si>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</si>
  <si>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</si>
  <si>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</si>
  <si>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</si>
  <si>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</si>
  <si>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</si>
  <si>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</si>
  <si>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</si>
  <si>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</si>
  <si>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</si>
  <si>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</si>
  <si>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</si>
  <si>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</si>
  <si>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</si>
  <si>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</si>
  <si>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</si>
  <si>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</si>
  <si>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</si>
  <si>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</si>
  <si>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</si>
  <si>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</si>
  <si>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</si>
  <si>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</si>
  <si>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</si>
  <si>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</si>
  <si>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</si>
  <si>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</si>
  <si>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</si>
  <si>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</si>
  <si>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</si>
  <si>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</si>
  <si>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</si>
  <si>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</si>
  <si>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</si>
  <si>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</si>
  <si>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</si>
  <si>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</si>
  <si>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</si>
  <si>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</si>
  <si>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</si>
  <si>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</si>
  <si>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</si>
  <si>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</si>
  <si>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</si>
  <si>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</si>
  <si>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</si>
  <si>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</si>
  <si>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</si>
  <si>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</si>
  <si>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</si>
  <si>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</si>
  <si>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</si>
  <si>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</si>
  <si>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</si>
  <si>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</si>
  <si>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</si>
  <si>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</si>
  <si>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</si>
  <si>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</si>
  <si>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</si>
  <si>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</si>
  <si>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</si>
  <si>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</si>
  <si>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</si>
  <si>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</si>
  <si>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</si>
  <si>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</si>
  <si>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</si>
  <si>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</si>
  <si>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</si>
  <si>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</si>
  <si>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</si>
  <si>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</si>
  <si>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</si>
  <si>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</si>
  <si>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</si>
  <si>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</si>
  <si>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</si>
  <si>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</si>
  <si>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</si>
  <si>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</si>
  <si>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</si>
  <si>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</si>
  <si>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</si>
  <si>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</si>
  <si>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</si>
  <si>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</si>
  <si>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</si>
  <si>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</si>
  <si>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</si>
  <si>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</si>
  <si>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</si>
  <si>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</si>
  <si>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</si>
  <si>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</si>
  <si>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</si>
  <si>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</si>
  <si>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</si>
  <si>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</si>
  <si>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</si>
  <si>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</si>
  <si>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</si>
  <si>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</si>
  <si>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</si>
  <si>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</si>
  <si>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</si>
  <si>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</si>
  <si>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</si>
  <si>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</si>
  <si>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</si>
  <si>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</si>
  <si>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</si>
  <si>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</si>
  <si>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</si>
  <si>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</si>
  <si>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</si>
  <si>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</si>
  <si>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</si>
  <si>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</si>
  <si>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</si>
  <si>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</si>
  <si>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</si>
  <si>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</si>
  <si>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</si>
  <si>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</si>
  <si>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</si>
  <si>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</si>
  <si>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</si>
  <si>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</si>
  <si>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</si>
  <si>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</si>
  <si>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</si>
  <si>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</si>
  <si>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</si>
  <si>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</si>
  <si>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</si>
  <si>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</si>
  <si>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</si>
  <si>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</si>
  <si>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</si>
  <si>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</si>
  <si>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</si>
  <si>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</si>
  <si>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</si>
  <si>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</si>
  <si>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</si>
  <si>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</si>
  <si>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</si>
  <si>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</si>
  <si>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</si>
  <si>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</si>
  <si>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</si>
  <si>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</si>
  <si>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</si>
  <si>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</si>
  <si>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</si>
  <si>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</si>
  <si>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</si>
  <si>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</si>
  <si>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</si>
  <si>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</si>
  <si>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</si>
  <si>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</si>
  <si>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</si>
  <si>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</si>
  <si>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</si>
  <si>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</si>
  <si>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</si>
  <si>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</si>
  <si>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</si>
  <si>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</si>
  <si>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</si>
  <si>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</si>
  <si>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</si>
  <si>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</si>
  <si>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</si>
  <si>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</si>
  <si>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</si>
  <si>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</si>
  <si>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</si>
  <si>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</si>
  <si>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</si>
  <si>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</si>
  <si>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</si>
  <si>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</si>
  <si>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</si>
  <si>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</si>
  <si>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</si>
  <si>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</si>
  <si>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</si>
  <si>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</si>
  <si>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</si>
  <si>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</si>
  <si>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</si>
  <si>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</si>
  <si>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</si>
  <si>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</si>
  <si>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</si>
  <si>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</si>
  <si>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</si>
  <si>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</si>
  <si>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</si>
  <si>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</si>
  <si>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</si>
  <si>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</si>
  <si>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</si>
  <si>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</si>
  <si>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</si>
  <si>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</si>
  <si>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</si>
  <si>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</si>
  <si>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</si>
  <si>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</si>
  <si>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</si>
  <si>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</si>
  <si>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</si>
  <si>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</si>
  <si>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</si>
  <si>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</si>
  <si>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</si>
  <si>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</si>
  <si>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</si>
  <si>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</si>
  <si>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</si>
  <si>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</si>
  <si>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</si>
  <si>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</si>
  <si>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</si>
  <si>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</si>
  <si>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</si>
  <si>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</si>
  <si>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</si>
  <si>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</si>
  <si>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</si>
  <si>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</si>
  <si>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</si>
  <si>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</si>
  <si>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</si>
  <si>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</si>
  <si>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</si>
  <si>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</si>
  <si>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</si>
  <si>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</si>
  <si>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</si>
  <si>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</si>
  <si>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</si>
  <si>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</si>
  <si>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</si>
  <si>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</si>
  <si>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</si>
  <si>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</si>
  <si>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</si>
  <si>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</si>
  <si>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</si>
  <si>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</si>
  <si>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</si>
  <si>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</si>
  <si>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</si>
  <si>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</si>
  <si>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</si>
  <si>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</si>
  <si>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</si>
  <si>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</si>
  <si>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</si>
  <si>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</si>
  <si>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</si>
  <si>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</si>
  <si>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</si>
  <si>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</si>
  <si>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</si>
  <si>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</si>
  <si>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</si>
  <si>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</si>
  <si>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</si>
  <si>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</si>
  <si>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</si>
  <si>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</si>
  <si>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</si>
  <si>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</si>
  <si>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</si>
  <si>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</si>
  <si>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</si>
  <si>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</si>
  <si>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</si>
  <si>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</si>
  <si>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</si>
  <si>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</si>
  <si>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</si>
  <si>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</si>
  <si>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</si>
  <si>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</si>
  <si>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</si>
  <si>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</si>
  <si>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</si>
  <si>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</si>
  <si>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</si>
  <si>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</si>
  <si>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</si>
  <si>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</si>
  <si>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</si>
  <si>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</si>
  <si>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</si>
  <si>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</si>
  <si>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</si>
  <si>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</si>
  <si>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</si>
  <si>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</si>
  <si>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</si>
  <si>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</si>
  <si>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</si>
  <si>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</si>
  <si>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</si>
  <si>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</si>
  <si>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</si>
  <si>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</si>
  <si>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</si>
  <si>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</si>
  <si>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</si>
  <si>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</si>
  <si>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</si>
  <si>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</si>
  <si>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</si>
  <si>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</si>
  <si>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</si>
  <si>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</si>
  <si>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</si>
  <si>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</si>
  <si>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</si>
  <si>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</si>
  <si>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</si>
  <si>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</si>
  <si>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</si>
  <si>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</si>
  <si>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</si>
  <si>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</si>
  <si>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</si>
  <si>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</si>
  <si>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</si>
  <si>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</si>
  <si>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</si>
  <si>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</si>
  <si>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</si>
  <si>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</si>
  <si>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</si>
  <si>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</si>
  <si>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</si>
  <si>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</si>
  <si>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</si>
  <si>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</si>
  <si>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</si>
  <si>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</si>
  <si>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</si>
  <si>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</si>
  <si>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</si>
  <si>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</si>
  <si>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</si>
  <si>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</si>
  <si>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</si>
  <si>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</si>
  <si>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</si>
  <si>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</si>
  <si>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</si>
  <si>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</si>
  <si>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</si>
  <si>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</si>
  <si>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</si>
  <si>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</si>
  <si>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</si>
  <si>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</si>
  <si>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</si>
  <si>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</si>
  <si>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</si>
  <si>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</si>
  <si>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</si>
  <si>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</si>
  <si>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</si>
  <si>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</si>
  <si>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</si>
  <si>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</si>
  <si>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</si>
  <si>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</si>
  <si>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</si>
  <si>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</si>
  <si>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</si>
  <si>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</si>
  <si>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</si>
  <si>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</si>
  <si>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</si>
  <si>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</si>
  <si>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</si>
  <si>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</si>
  <si>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</si>
  <si>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</si>
  <si>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</si>
  <si>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</si>
  <si>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</si>
  <si>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</si>
  <si>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</si>
  <si>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</si>
  <si>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</si>
  <si>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</si>
  <si>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</si>
  <si>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</si>
  <si>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</si>
  <si>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</si>
  <si>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</si>
  <si>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</si>
  <si>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</si>
  <si>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</si>
  <si>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</si>
  <si>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</si>
  <si>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</si>
  <si>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</si>
  <si>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</si>
  <si>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</si>
  <si>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</si>
  <si>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</si>
  <si>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</si>
  <si>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</si>
  <si>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</si>
  <si>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</si>
  <si>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</si>
  <si>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</si>
  <si>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</si>
  <si>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</si>
  <si>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</si>
  <si>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</si>
  <si>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</si>
  <si>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</si>
  <si>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</si>
  <si>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</si>
  <si>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</si>
  <si>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</si>
  <si>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</si>
  <si>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</si>
  <si>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</si>
  <si>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</si>
  <si>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</si>
  <si>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</si>
  <si>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</si>
  <si>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</si>
  <si>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</si>
  <si>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</si>
  <si>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</si>
  <si>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</si>
  <si>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</si>
  <si>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</si>
  <si>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</si>
  <si>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</si>
  <si>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</si>
  <si>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</si>
  <si>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</si>
  <si>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</si>
  <si>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</si>
  <si>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</si>
  <si>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</si>
  <si>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</si>
  <si>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</si>
  <si>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</si>
  <si>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</si>
  <si>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</si>
  <si>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</si>
  <si>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</si>
  <si>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</si>
  <si>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</si>
  <si>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</si>
  <si>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</si>
  <si>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</si>
  <si>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</si>
  <si>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</si>
  <si>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</si>
  <si>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</si>
  <si>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</si>
  <si>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</si>
  <si>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</si>
  <si>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</si>
  <si>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</si>
  <si>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</si>
  <si>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</si>
  <si>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</si>
  <si>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</si>
  <si>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</si>
  <si>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</si>
  <si>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</si>
  <si>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</si>
  <si>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</si>
  <si>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</si>
  <si>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</si>
  <si>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</si>
  <si>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</si>
  <si>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</si>
  <si>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</si>
  <si>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</si>
  <si>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</si>
  <si>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</si>
  <si>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</si>
  <si>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</si>
  <si>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</si>
  <si>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</si>
  <si>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</si>
  <si>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</si>
  <si>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</si>
  <si>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</si>
  <si>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</si>
  <si>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</si>
  <si>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</si>
  <si>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</si>
  <si>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</si>
  <si>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</si>
  <si>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</si>
  <si>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</si>
  <si>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</si>
  <si>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</si>
  <si>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</si>
  <si>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</si>
  <si>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</si>
  <si>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</si>
  <si>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</si>
  <si>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</si>
  <si>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</si>
  <si>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</si>
  <si>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</si>
  <si>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</si>
  <si>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</si>
  <si>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</si>
  <si>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</si>
  <si>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</si>
  <si>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</si>
  <si>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</si>
  <si>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</si>
  <si>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</si>
  <si>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</si>
  <si>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</si>
  <si>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</si>
  <si>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</si>
  <si>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</si>
  <si>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</si>
  <si>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</si>
  <si>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</si>
  <si>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</si>
  <si>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</si>
  <si>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</si>
  <si>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</si>
  <si>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</si>
  <si>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</si>
  <si>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</si>
  <si>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</si>
  <si>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</si>
  <si>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</si>
  <si>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</si>
  <si>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</si>
  <si>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</si>
  <si>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</si>
  <si>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</si>
  <si>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</si>
  <si>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</si>
  <si>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</si>
  <si>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</si>
  <si>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</si>
  <si>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</si>
  <si>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</si>
  <si>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</si>
  <si>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</si>
  <si>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</si>
  <si>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</si>
  <si>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</si>
  <si>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</si>
  <si>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</si>
  <si>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</si>
  <si>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</si>
  <si>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</si>
  <si>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</si>
  <si>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</si>
  <si>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</si>
  <si>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</si>
  <si>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</si>
  <si>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</si>
  <si>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</si>
  <si>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</si>
  <si>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</si>
  <si>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</si>
  <si>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</si>
  <si>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</si>
  <si>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</si>
  <si>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</si>
  <si>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</si>
  <si>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</si>
  <si>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</si>
  <si>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</si>
  <si>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</si>
  <si>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</si>
  <si>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</si>
  <si>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</si>
  <si>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</si>
  <si>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</si>
  <si>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</si>
  <si>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</si>
  <si>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</si>
  <si>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</si>
  <si>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</si>
  <si>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</si>
  <si>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</si>
  <si>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</si>
  <si>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</si>
  <si>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</si>
  <si>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</si>
  <si>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</si>
  <si>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</si>
  <si>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</si>
  <si>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</si>
  <si>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</si>
  <si>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</si>
  <si>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</si>
  <si>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</si>
  <si>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</si>
  <si>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</si>
  <si>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</si>
  <si>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</si>
  <si>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</si>
  <si>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</si>
  <si>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</si>
  <si>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</si>
  <si>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</si>
  <si>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</si>
  <si>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</si>
  <si>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</si>
  <si>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</si>
  <si>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</si>
  <si>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</si>
  <si>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</si>
  <si>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</si>
  <si>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</si>
  <si>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</si>
  <si>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</si>
  <si>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</si>
  <si>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</si>
  <si>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</si>
  <si>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</si>
  <si>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</si>
  <si>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</si>
  <si>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</si>
  <si>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</si>
  <si>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</si>
  <si>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</si>
  <si>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</si>
  <si>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</si>
  <si>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</si>
  <si>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</si>
  <si>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</si>
  <si>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</si>
  <si>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</si>
  <si>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</si>
  <si>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</si>
  <si>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</si>
  <si>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</si>
  <si>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</si>
  <si>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</si>
  <si>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</si>
  <si>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</si>
  <si>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</si>
  <si>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</si>
  <si>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</si>
  <si>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</si>
  <si>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</si>
  <si>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</si>
  <si>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</si>
  <si>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</si>
  <si>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</si>
  <si>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</si>
  <si>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</si>
  <si>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</si>
  <si>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</si>
  <si>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</si>
  <si>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</si>
  <si>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</si>
  <si>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</si>
  <si>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</si>
  <si>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</si>
  <si>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</si>
  <si>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</si>
  <si>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</si>
  <si>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</si>
  <si>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</si>
  <si>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</si>
  <si>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</si>
  <si>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</si>
  <si>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</si>
  <si>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</si>
  <si>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</si>
  <si>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</si>
  <si>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</si>
  <si>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</si>
  <si>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</si>
  <si>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</si>
  <si>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</si>
  <si>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</si>
  <si>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</si>
  <si>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</si>
  <si>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</si>
  <si>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</si>
  <si>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</si>
  <si>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</si>
  <si>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</si>
  <si>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</si>
  <si>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</si>
  <si>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</si>
  <si>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</si>
  <si>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</si>
  <si>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</si>
  <si>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</si>
  <si>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</si>
  <si>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</si>
  <si>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</si>
  <si>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</si>
  <si>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</si>
  <si>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</si>
  <si>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</si>
  <si>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</si>
  <si>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</si>
  <si>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</si>
  <si>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</si>
  <si>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</si>
  <si>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</si>
  <si>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</si>
  <si>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</si>
  <si>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</si>
  <si>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</si>
  <si>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</si>
  <si>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</si>
  <si>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</si>
  <si>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</si>
  <si>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</si>
  <si>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</si>
  <si>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</si>
  <si>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</si>
  <si>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</si>
  <si>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</si>
  <si>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</si>
  <si>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</si>
  <si>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</si>
  <si>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</si>
  <si>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</si>
  <si>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</si>
  <si>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</si>
  <si>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</si>
  <si>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</si>
  <si>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</si>
  <si>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</si>
  <si>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</si>
  <si>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</si>
  <si>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</si>
  <si>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</si>
  <si>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</si>
  <si>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</si>
  <si>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</si>
  <si>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</si>
  <si>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</si>
  <si>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</si>
  <si>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</si>
  <si>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</si>
  <si>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</si>
  <si>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</si>
  <si>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</si>
  <si>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</si>
  <si>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</si>
  <si>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</si>
  <si>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</si>
  <si>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</si>
  <si>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</si>
  <si>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</si>
  <si>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</si>
  <si>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</si>
  <si>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</si>
  <si>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</si>
  <si>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</si>
  <si>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</si>
  <si>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</si>
  <si>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</si>
  <si>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</si>
  <si>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</si>
  <si>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</si>
  <si>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</si>
  <si>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</si>
  <si>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</si>
  <si>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</si>
  <si>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</si>
  <si>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</si>
  <si>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</si>
  <si>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</si>
  <si>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</si>
  <si>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</si>
  <si>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</si>
  <si>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</si>
  <si>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</si>
  <si>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</si>
  <si>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</si>
  <si>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</si>
  <si>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</si>
  <si>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</si>
  <si>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</si>
  <si>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</si>
  <si>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</si>
  <si>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</si>
  <si>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</si>
  <si>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</si>
  <si>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</si>
  <si>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</si>
  <si>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</si>
  <si>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</si>
  <si>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</si>
  <si>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</si>
  <si>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</si>
  <si>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</si>
  <si>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</si>
  <si>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</si>
  <si>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</si>
  <si>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</si>
  <si>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</si>
  <si>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</si>
  <si>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</si>
  <si>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</si>
  <si>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</si>
  <si>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</si>
  <si>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</si>
  <si>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</si>
  <si>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</si>
  <si>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</si>
  <si>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</si>
  <si>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</si>
  <si>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</si>
  <si>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</si>
  <si>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</si>
  <si>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</si>
  <si>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</si>
  <si>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</si>
  <si>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</si>
  <si>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</si>
  <si>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</si>
  <si>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</si>
  <si>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</si>
  <si>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</si>
  <si>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</si>
  <si>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</si>
  <si>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</si>
  <si>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</si>
  <si>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</si>
  <si>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</si>
  <si>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</si>
  <si>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</si>
  <si>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</si>
  <si>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</si>
  <si>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</si>
  <si>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</si>
  <si>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</si>
  <si>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</si>
  <si>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</si>
  <si>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</si>
  <si>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</si>
  <si>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</si>
  <si>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</si>
  <si>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</si>
  <si>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</si>
  <si>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</si>
  <si>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</si>
  <si>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</si>
  <si>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</si>
  <si>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</si>
  <si>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</si>
  <si>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</si>
  <si>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</si>
  <si>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</si>
  <si>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</si>
  <si>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</si>
  <si>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</si>
  <si>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</si>
  <si>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</si>
  <si>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</si>
  <si>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</si>
  <si>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</si>
  <si>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</si>
  <si>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</si>
  <si>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</si>
  <si>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</si>
  <si>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</si>
  <si>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</si>
  <si>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</si>
  <si>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</si>
  <si>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</si>
  <si>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</si>
  <si>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</si>
  <si>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</si>
  <si>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</si>
  <si>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</si>
  <si>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</si>
  <si>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</si>
  <si>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</si>
  <si>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</si>
  <si>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</si>
  <si>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</si>
  <si>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</si>
  <si>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</si>
  <si>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</si>
  <si>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</si>
  <si>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</si>
  <si>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</si>
  <si>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</si>
  <si>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</si>
  <si>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</si>
  <si>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</si>
  <si>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</si>
  <si>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</si>
  <si>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</si>
  <si>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</si>
  <si>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</si>
  <si>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</si>
  <si>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</si>
  <si>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</si>
  <si>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</si>
  <si>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</si>
  <si>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</si>
  <si>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</si>
  <si>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</si>
  <si>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</si>
  <si>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</si>
  <si>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</si>
  <si>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</si>
  <si>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</si>
  <si>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</si>
  <si>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</si>
  <si>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</si>
  <si>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</si>
  <si>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</si>
  <si>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</si>
  <si>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</si>
  <si>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</si>
  <si>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</si>
  <si>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</si>
  <si>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</si>
  <si>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</si>
  <si>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</si>
  <si>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</si>
  <si>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</si>
  <si>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</si>
  <si>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</si>
  <si>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</si>
  <si>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</si>
  <si>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</si>
  <si>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</si>
  <si>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</si>
  <si>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</si>
  <si>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</si>
  <si>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</si>
  <si>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</si>
  <si>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</si>
  <si>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</si>
  <si>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</si>
  <si>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</si>
  <si>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</si>
  <si>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</si>
  <si>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</si>
  <si>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</si>
  <si>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</si>
  <si>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</si>
  <si>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</si>
  <si>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</si>
  <si>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</si>
  <si>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</si>
  <si>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</si>
  <si>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</si>
  <si>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</si>
  <si>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</si>
  <si>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</si>
  <si>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</si>
  <si>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</si>
  <si>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</si>
  <si>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</si>
  <si>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</si>
  <si>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</si>
  <si>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</si>
  <si>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</si>
  <si>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</si>
  <si>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</si>
  <si>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</si>
  <si>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</si>
  <si>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</si>
  <si>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</si>
  <si>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</si>
  <si>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</si>
  <si>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</si>
  <si>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</si>
  <si>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</si>
  <si>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</si>
  <si>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</si>
  <si>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</si>
  <si>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</si>
  <si>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</si>
  <si>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</si>
  <si>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</si>
  <si>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</si>
  <si>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</si>
  <si>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</si>
  <si>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</si>
  <si>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</si>
  <si>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</si>
  <si>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</si>
  <si>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</si>
  <si>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</si>
  <si>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</si>
  <si>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</si>
  <si>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</si>
  <si>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</si>
  <si>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</si>
  <si>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</si>
  <si>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</si>
  <si>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</si>
  <si>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</si>
  <si>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</si>
  <si>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</si>
  <si>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</si>
  <si>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</si>
  <si>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</si>
  <si>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</si>
  <si>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</si>
  <si>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</si>
  <si>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</si>
  <si>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</si>
  <si>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</si>
  <si>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</si>
  <si>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</si>
  <si>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</si>
  <si>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</si>
  <si>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</si>
  <si>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</si>
  <si>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</si>
  <si>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</si>
  <si>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</si>
  <si>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</si>
  <si>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</si>
  <si>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</si>
  <si>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</si>
  <si>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</si>
  <si>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</si>
  <si>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</si>
  <si>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</si>
  <si>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</si>
  <si>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</si>
  <si>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</si>
  <si>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</si>
  <si>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</si>
  <si>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</si>
  <si>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</si>
  <si>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</si>
  <si>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</si>
  <si>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</si>
  <si>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</si>
  <si>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</si>
  <si>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</si>
  <si>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</si>
  <si>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</si>
  <si>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</si>
  <si>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</si>
  <si>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</si>
  <si>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</si>
  <si>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</si>
  <si>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</si>
  <si>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</si>
  <si>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</si>
  <si>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</si>
  <si>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</si>
  <si>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</si>
  <si>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</si>
  <si>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</si>
  <si>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</si>
  <si>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</si>
  <si>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</si>
  <si>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</si>
  <si>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</si>
  <si>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</si>
  <si>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</si>
  <si>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</si>
  <si>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</si>
  <si>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</si>
  <si>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</si>
  <si>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</si>
  <si>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</si>
  <si>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</si>
  <si>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</si>
  <si>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</si>
  <si>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</si>
  <si>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</si>
  <si>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</si>
  <si>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</si>
  <si>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</si>
  <si>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</si>
  <si>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</si>
  <si>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</si>
  <si>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</si>
  <si>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</si>
  <si>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</si>
  <si>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</si>
  <si>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</si>
  <si>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</si>
  <si>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</si>
  <si>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</si>
  <si>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</si>
  <si>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</si>
  <si>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</si>
  <si>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</si>
  <si>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</si>
  <si>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</si>
  <si>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</si>
  <si>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</si>
  <si>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</si>
  <si>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</si>
  <si>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</si>
  <si>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</si>
  <si>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</si>
  <si>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</si>
  <si>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</si>
  <si>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</si>
  <si>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</si>
  <si>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</si>
  <si>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</si>
  <si>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</si>
  <si>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</si>
  <si>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</si>
  <si>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</si>
  <si>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</si>
  <si>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</si>
  <si>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</si>
  <si>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</si>
  <si>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</si>
  <si>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</si>
  <si>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</si>
  <si>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</si>
  <si>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</si>
  <si>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</si>
  <si>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</si>
  <si>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</si>
  <si>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</si>
  <si>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</si>
  <si>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</si>
  <si>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</si>
  <si>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</si>
  <si>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</si>
  <si>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</si>
  <si>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</si>
  <si>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</si>
  <si>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</si>
  <si>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</si>
  <si>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</si>
  <si>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</si>
  <si>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</si>
  <si>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</si>
  <si>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</si>
  <si>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</si>
  <si>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</si>
  <si>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</si>
  <si>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</si>
  <si>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</si>
  <si>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</si>
  <si>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</si>
  <si>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</si>
  <si>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</si>
  <si>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</si>
  <si>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</si>
  <si>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</si>
  <si>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</si>
  <si>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</si>
  <si>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</si>
  <si>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</si>
  <si>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</si>
  <si>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</si>
  <si>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</si>
  <si>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</si>
  <si>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</si>
  <si>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</si>
  <si>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</si>
  <si>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</si>
  <si>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</si>
  <si>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</si>
  <si>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</si>
  <si>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</si>
  <si>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</si>
  <si>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</si>
  <si>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</si>
  <si>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</si>
  <si>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</si>
  <si>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</si>
  <si>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</si>
  <si>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</si>
  <si>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</si>
  <si>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</si>
  <si>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</si>
  <si>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</si>
  <si>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</si>
  <si>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</si>
  <si>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</si>
  <si>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</si>
  <si>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</si>
  <si>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</si>
  <si>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</si>
  <si>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</si>
  <si>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</si>
  <si>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</si>
  <si>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</si>
  <si>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</si>
  <si>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</si>
  <si>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</si>
  <si>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</si>
  <si>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</si>
  <si>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</si>
  <si>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</si>
  <si>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</si>
  <si>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</si>
  <si>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</si>
  <si>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</si>
  <si>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</si>
  <si>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</si>
  <si>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</si>
  <si>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</si>
  <si>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</si>
  <si>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</si>
  <si>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</si>
  <si>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</si>
  <si>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</si>
  <si>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</si>
  <si>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</si>
  <si>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</si>
  <si>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</si>
  <si>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</si>
  <si>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</si>
  <si>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</si>
  <si>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</si>
  <si>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</si>
  <si>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</si>
  <si>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</si>
  <si>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</si>
  <si>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</si>
  <si>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</si>
  <si>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</si>
  <si>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</si>
  <si>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</si>
  <si>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</si>
  <si>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</si>
  <si>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</si>
  <si>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</si>
  <si>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</si>
  <si>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</si>
  <si>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</si>
  <si>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</si>
  <si>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</si>
  <si>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</si>
  <si>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</si>
  <si>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</si>
  <si>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</si>
  <si>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</si>
  <si>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</si>
  <si>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</si>
  <si>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</si>
  <si>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</si>
  <si>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</si>
  <si>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</si>
  <si>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</si>
  <si>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</si>
  <si>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</si>
  <si>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</si>
  <si>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</si>
  <si>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</si>
  <si>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</si>
  <si>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</si>
  <si>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</si>
  <si>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</si>
  <si>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</si>
  <si>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</si>
  <si>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</si>
  <si>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</si>
  <si>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</si>
  <si>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</si>
  <si>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</si>
  <si>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</si>
  <si>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</si>
  <si>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</si>
  <si>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</si>
  <si>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</si>
  <si>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</si>
  <si>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</si>
  <si>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</si>
  <si>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</si>
  <si>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</si>
  <si>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</si>
  <si>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</si>
  <si>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</si>
  <si>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</si>
  <si>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</si>
  <si>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</si>
  <si>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</si>
  <si>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</si>
  <si>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</si>
  <si>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</si>
  <si>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</si>
  <si>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</si>
  <si>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</si>
  <si>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</si>
  <si>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</si>
  <si>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</si>
  <si>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</si>
  <si>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</si>
  <si>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</si>
  <si>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</si>
  <si>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</si>
  <si>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</si>
  <si>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</si>
  <si>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</si>
  <si>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</si>
  <si>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</si>
  <si>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</si>
  <si>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</si>
  <si>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</si>
  <si>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</si>
  <si>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</si>
  <si>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</si>
  <si>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</si>
  <si>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</si>
  <si>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</si>
  <si>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</si>
  <si>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</si>
  <si>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</si>
  <si>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</si>
  <si>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</si>
  <si>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</si>
  <si>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</si>
  <si>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</si>
  <si>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</si>
  <si>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</si>
  <si>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</si>
  <si>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</si>
  <si>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</si>
  <si>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</si>
  <si>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</si>
  <si>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</si>
  <si>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</si>
  <si>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</si>
  <si>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</si>
  <si>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</si>
  <si>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</si>
  <si>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</si>
  <si>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</si>
  <si>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</si>
  <si>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</si>
  <si>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</si>
  <si>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</si>
  <si>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</si>
  <si>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</si>
  <si>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</si>
  <si>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</si>
  <si>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</si>
  <si>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</si>
  <si>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</si>
  <si>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</si>
  <si>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</si>
  <si>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</si>
  <si>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</si>
  <si>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</si>
  <si>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</si>
  <si>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</si>
  <si>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</si>
  <si>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</si>
  <si>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</si>
  <si>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</si>
  <si>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</si>
  <si>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</si>
  <si>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</si>
  <si>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</si>
  <si>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</si>
  <si>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</si>
  <si>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</si>
  <si>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</si>
  <si>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</si>
  <si>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</si>
  <si>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</si>
  <si>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</si>
  <si>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</si>
  <si>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</si>
  <si>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</si>
  <si>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</si>
  <si>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</si>
  <si>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</si>
  <si>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</si>
  <si>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</si>
  <si>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</si>
  <si>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</si>
  <si>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</si>
  <si>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</si>
  <si>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</si>
  <si>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</si>
  <si>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</si>
  <si>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</si>
  <si>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</si>
  <si>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</si>
  <si>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</si>
  <si>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</si>
  <si>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</si>
  <si>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</si>
  <si>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</si>
  <si>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</si>
  <si>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</si>
  <si>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</si>
  <si>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</si>
  <si>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</si>
  <si>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</si>
  <si>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</si>
  <si>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</si>
  <si>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</si>
  <si>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</si>
  <si>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</si>
  <si>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</si>
  <si>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</si>
  <si>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</si>
  <si>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</si>
  <si>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</si>
  <si>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</si>
  <si>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</si>
  <si>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</si>
  <si>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</si>
  <si>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</si>
  <si>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</si>
  <si>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</si>
  <si>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</si>
  <si>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</si>
  <si>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</si>
  <si>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</si>
  <si>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</si>
  <si>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</si>
  <si>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</si>
  <si>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</si>
  <si>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</si>
  <si>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</si>
  <si>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</si>
  <si>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</si>
  <si>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</si>
  <si>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</si>
  <si>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</si>
  <si>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</si>
  <si>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</si>
  <si>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</si>
  <si>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</si>
  <si>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</si>
  <si>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</si>
  <si>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</si>
  <si>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</si>
  <si>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</si>
  <si>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</si>
  <si>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</si>
  <si>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</si>
  <si>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</si>
  <si>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</si>
  <si>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</si>
  <si>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</si>
  <si>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</si>
  <si>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</si>
  <si>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</si>
  <si>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</si>
  <si>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</si>
  <si>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</si>
  <si>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</si>
  <si>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</si>
  <si>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</si>
  <si>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</si>
  <si>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</si>
  <si>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</si>
  <si>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</si>
  <si>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</si>
  <si>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</si>
  <si>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</si>
  <si>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</si>
  <si>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</si>
  <si>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</si>
  <si>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</si>
  <si>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</si>
  <si>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</si>
  <si>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</si>
  <si>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</si>
  <si>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</si>
  <si>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</si>
  <si>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</si>
  <si>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</si>
  <si>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</si>
  <si>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</si>
  <si>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</si>
  <si>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</si>
  <si>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</si>
  <si>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</si>
  <si>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</si>
  <si>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</si>
  <si>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</si>
  <si>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</si>
  <si>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</si>
  <si>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</si>
  <si>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</si>
  <si>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</si>
  <si>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</si>
  <si>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</si>
  <si>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</si>
  <si>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</si>
  <si>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</si>
  <si>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</si>
  <si>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</si>
  <si>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</si>
  <si>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</si>
  <si>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</si>
  <si>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</si>
  <si>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</si>
  <si>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</si>
  <si>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</si>
  <si>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</si>
  <si>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</si>
  <si>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</si>
  <si>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</si>
  <si>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</si>
  <si>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</si>
  <si>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</si>
  <si>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</si>
  <si>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</si>
  <si>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</si>
  <si>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</si>
  <si>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</si>
  <si>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</si>
  <si>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</si>
  <si>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</si>
  <si>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</si>
  <si>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</si>
  <si>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</si>
  <si>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</si>
  <si>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</si>
  <si>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</si>
  <si>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</si>
  <si>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</si>
  <si>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</si>
  <si>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</si>
  <si>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</si>
  <si>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</si>
  <si>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</si>
  <si>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</si>
  <si>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</si>
  <si>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</si>
  <si>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</si>
  <si>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</si>
  <si>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</si>
  <si>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</si>
  <si>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</si>
  <si>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</si>
  <si>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</si>
  <si>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</si>
  <si>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</si>
  <si>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</si>
  <si>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</si>
  <si>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</si>
  <si>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</si>
  <si>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</si>
  <si>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</si>
  <si>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</si>
  <si>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</si>
  <si>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</si>
  <si>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</si>
  <si>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</si>
  <si>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</si>
  <si>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</si>
  <si>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</si>
  <si>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</si>
  <si>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</si>
  <si>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</si>
  <si>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</si>
  <si>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</si>
  <si>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</si>
  <si>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</si>
  <si>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</si>
  <si>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</si>
  <si>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</si>
  <si>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</si>
  <si>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</si>
  <si>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</si>
  <si>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</si>
  <si>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</si>
  <si>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</si>
  <si>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</si>
  <si>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</si>
  <si>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</si>
  <si>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</si>
  <si>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</si>
  <si>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</si>
  <si>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</si>
  <si>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</si>
  <si>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</si>
  <si>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</si>
  <si>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</si>
  <si>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</si>
  <si>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</si>
  <si>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</si>
  <si>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</si>
  <si>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</si>
  <si>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</si>
  <si>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</si>
  <si>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</si>
  <si>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</si>
  <si>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</si>
  <si>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</si>
  <si>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</si>
  <si>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</si>
  <si>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</si>
  <si>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</si>
  <si>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</si>
  <si>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</si>
  <si>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</si>
  <si>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</si>
  <si>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</si>
  <si>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</si>
  <si>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</si>
  <si>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</si>
  <si>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</si>
  <si>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</si>
  <si>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</si>
  <si>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</si>
  <si>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</si>
  <si>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</si>
  <si>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</si>
  <si>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</si>
  <si>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</si>
  <si>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</si>
  <si>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</si>
  <si>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</si>
  <si>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</si>
  <si>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</si>
  <si>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</si>
  <si>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</si>
  <si>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</si>
  <si>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</si>
  <si>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</si>
  <si>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</si>
  <si>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</si>
  <si>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</si>
  <si>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</si>
  <si>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</si>
  <si>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</si>
  <si>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</si>
  <si>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</si>
  <si>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</si>
  <si>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</si>
  <si>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</si>
  <si>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</si>
  <si>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</si>
  <si>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</si>
  <si>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</si>
  <si>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</si>
  <si>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</si>
  <si>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</si>
  <si>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</si>
  <si>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</si>
  <si>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</si>
  <si>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</si>
  <si>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</si>
  <si>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</si>
  <si>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</si>
  <si>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</si>
  <si>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</si>
  <si>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</si>
  <si>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</si>
  <si>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</si>
  <si>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</si>
  <si>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</si>
  <si>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</si>
  <si>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</si>
  <si>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</si>
  <si>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</si>
  <si>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</si>
  <si>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</si>
  <si>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</si>
  <si>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</si>
  <si>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</si>
  <si>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</si>
  <si>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</si>
  <si>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</si>
  <si>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</si>
  <si>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</si>
  <si>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</si>
  <si>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</si>
  <si>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</si>
  <si>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</si>
  <si>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</si>
  <si>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</si>
  <si>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</si>
  <si>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</si>
  <si>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</si>
  <si>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</si>
  <si>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</si>
  <si>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</si>
  <si>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</si>
  <si>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</si>
  <si>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</si>
  <si>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</si>
  <si>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</si>
  <si>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</si>
  <si>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</si>
  <si>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</si>
  <si>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</si>
  <si>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</si>
  <si>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</si>
  <si>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</si>
  <si>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</si>
  <si>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</si>
  <si>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</si>
  <si>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</si>
  <si>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</si>
  <si>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</si>
  <si>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</si>
  <si>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</si>
  <si>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</si>
  <si>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</si>
  <si>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</si>
  <si>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</si>
  <si>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</si>
  <si>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</si>
  <si>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</si>
  <si>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</si>
  <si>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</si>
  <si>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</si>
  <si>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</si>
  <si>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</si>
  <si>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</si>
  <si>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</si>
  <si>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</si>
  <si>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</si>
  <si>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</si>
  <si>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</si>
  <si>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</si>
  <si>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</si>
  <si>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</si>
  <si>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</si>
  <si>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</si>
  <si>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</si>
  <si>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</si>
  <si>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</si>
  <si>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</si>
  <si>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</si>
  <si>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</si>
  <si>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</si>
  <si>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</si>
  <si>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</si>
  <si>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</si>
  <si>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</si>
  <si>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</si>
  <si>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</si>
  <si>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</si>
  <si>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</si>
  <si>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</si>
  <si>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</si>
  <si>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</si>
  <si>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</si>
  <si>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</si>
  <si>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</si>
  <si>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</si>
  <si>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</si>
  <si>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</si>
  <si>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</si>
  <si>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</si>
  <si>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</si>
  <si>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</si>
  <si>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</si>
  <si>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</si>
  <si>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</si>
  <si>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</si>
  <si>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</si>
  <si>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</si>
  <si>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</si>
  <si>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</si>
  <si>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</si>
  <si>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</si>
  <si>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</si>
  <si>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</si>
  <si>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</si>
  <si>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</si>
  <si>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</si>
  <si>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</si>
  <si>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</si>
  <si>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</si>
  <si>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</si>
  <si>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</si>
  <si>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</si>
  <si>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</si>
  <si>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</si>
  <si>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</si>
  <si>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</si>
  <si>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</si>
  <si>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</si>
  <si>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</si>
  <si>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</si>
  <si>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</si>
  <si>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</si>
  <si>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</si>
  <si>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</si>
  <si>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</si>
  <si>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</si>
  <si>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</si>
  <si>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</si>
  <si>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</si>
  <si>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</si>
  <si>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</si>
  <si>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</si>
  <si>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</si>
  <si>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</si>
  <si>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</si>
  <si>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</si>
  <si>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</si>
  <si>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</si>
  <si>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</si>
  <si>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</si>
  <si>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</si>
  <si>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</si>
  <si>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</si>
  <si>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</si>
  <si>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</si>
  <si>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</si>
  <si>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</si>
  <si>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</si>
  <si>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</si>
  <si>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</si>
  <si>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</si>
  <si>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</si>
  <si>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</si>
  <si>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</si>
  <si>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</si>
  <si>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</si>
  <si>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</si>
  <si>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</si>
  <si>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</si>
  <si>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</si>
  <si>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</si>
  <si>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</si>
  <si>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</si>
  <si>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</si>
  <si>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</si>
  <si>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</si>
  <si>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</si>
  <si>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</si>
  <si>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</si>
  <si>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</si>
  <si>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</si>
  <si>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</si>
  <si>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</si>
  <si>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</si>
  <si>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</si>
  <si>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</si>
  <si>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</si>
  <si>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</si>
  <si>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</si>
  <si>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</si>
  <si>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</si>
  <si>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</si>
  <si>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</si>
  <si>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</si>
  <si>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</si>
  <si>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</si>
  <si>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</si>
  <si>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</si>
  <si>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</si>
  <si>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</si>
  <si>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</si>
  <si>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</si>
  <si>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</si>
  <si>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</si>
  <si>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</si>
  <si>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</si>
  <si>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</si>
  <si>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</si>
  <si>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</si>
  <si>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</si>
  <si>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</si>
  <si>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</si>
  <si>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</si>
  <si>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</si>
  <si>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</si>
  <si>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</si>
  <si>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</si>
  <si>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</si>
  <si>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</si>
  <si>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</si>
  <si>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</si>
  <si>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</si>
  <si>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</si>
  <si>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</si>
  <si>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</si>
  <si>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</si>
  <si>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</si>
  <si>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</si>
  <si>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</si>
  <si>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</si>
  <si>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</si>
  <si>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</si>
  <si>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</si>
  <si>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</si>
  <si>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</si>
  <si>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</si>
  <si>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</si>
  <si>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</si>
  <si>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</si>
  <si>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</si>
  <si>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</si>
  <si>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</si>
  <si>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</si>
  <si>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</si>
  <si>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</si>
  <si>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</si>
  <si>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</si>
  <si>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</si>
  <si>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</si>
  <si>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</si>
  <si>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</si>
  <si>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</si>
  <si>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</si>
  <si>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</si>
  <si>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</si>
  <si>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</si>
  <si>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</si>
  <si>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</si>
  <si>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</si>
  <si>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</si>
  <si>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</si>
  <si>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</si>
  <si>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</si>
  <si>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</si>
  <si>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</si>
  <si>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</si>
  <si>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</si>
  <si>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</si>
  <si>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</si>
  <si>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</si>
  <si>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</si>
  <si>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</si>
  <si>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</si>
  <si>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</si>
  <si>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</si>
  <si>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</si>
  <si>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</si>
  <si>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</si>
  <si>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</si>
  <si>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</si>
  <si>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</si>
  <si>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</si>
  <si>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</si>
  <si>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</si>
  <si>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</si>
  <si>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</si>
  <si>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</si>
  <si>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</si>
  <si>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</si>
  <si>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</si>
  <si>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</si>
  <si>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</si>
  <si>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</si>
  <si>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</si>
  <si>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</si>
  <si>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</si>
  <si>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</si>
  <si>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</si>
  <si>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</si>
  <si>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</si>
  <si>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</si>
  <si>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</si>
  <si>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</si>
  <si>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</si>
  <si>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</si>
  <si>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</si>
  <si>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</si>
  <si>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</si>
  <si>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</si>
  <si>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</si>
  <si>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</si>
  <si>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</si>
  <si>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</si>
  <si>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</si>
  <si>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</si>
  <si>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</si>
  <si>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</si>
  <si>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</si>
  <si>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</si>
  <si>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</si>
  <si>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</si>
  <si>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</si>
  <si>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</si>
  <si>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</si>
  <si>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</si>
  <si>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</si>
  <si>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</si>
  <si>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</si>
  <si>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</si>
  <si>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</si>
  <si>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</si>
  <si>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</si>
  <si>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</si>
  <si>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</si>
  <si>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</si>
  <si>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</si>
  <si>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</si>
  <si>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</si>
  <si>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</si>
  <si>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</si>
  <si>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</si>
  <si>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</si>
  <si>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</si>
  <si>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</si>
  <si>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</si>
  <si>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</si>
  <si>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</si>
  <si>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</si>
  <si>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</si>
  <si>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</si>
  <si>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</si>
  <si>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</si>
  <si>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</si>
  <si>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</si>
  <si>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</si>
  <si>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</si>
  <si>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</si>
  <si>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</si>
  <si>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</si>
  <si>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</si>
  <si>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</si>
  <si>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</si>
  <si>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</si>
  <si>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</si>
  <si>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</si>
  <si>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</si>
  <si>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</si>
  <si>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</si>
  <si>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</si>
  <si>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</si>
  <si>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</si>
  <si>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</si>
  <si>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</si>
  <si>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</si>
  <si>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</si>
  <si>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</si>
  <si>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</si>
  <si>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</si>
  <si>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</si>
  <si>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</si>
  <si>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</si>
  <si>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</si>
  <si>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</si>
  <si>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</si>
  <si>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</si>
  <si>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</si>
  <si>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</si>
  <si>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</si>
  <si>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</si>
  <si>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</si>
  <si>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</si>
  <si>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</si>
  <si>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</si>
  <si>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</si>
  <si>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</si>
  <si>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</si>
  <si>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</si>
  <si>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</si>
  <si>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</si>
  <si>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</si>
  <si>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</si>
  <si>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</si>
  <si>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</si>
  <si>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</si>
  <si>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</si>
  <si>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</si>
  <si>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</si>
  <si>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</si>
  <si>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</si>
  <si>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</si>
  <si>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</si>
  <si>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</si>
  <si>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</si>
  <si>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</si>
  <si>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</si>
  <si>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</si>
  <si>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</si>
  <si>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</si>
  <si>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</si>
  <si>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</si>
  <si>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</si>
  <si>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</si>
  <si>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</si>
  <si>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</si>
  <si>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</si>
  <si>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</si>
  <si>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</si>
  <si>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</si>
  <si>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</si>
  <si>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</si>
  <si>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</si>
  <si>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</si>
  <si>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</si>
  <si>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</si>
  <si>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</si>
  <si>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</si>
  <si>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</si>
  <si>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</si>
  <si>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</si>
  <si>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</si>
  <si>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</si>
  <si>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</si>
  <si>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</si>
  <si>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</si>
  <si>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</si>
  <si>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</si>
  <si>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</si>
  <si>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</si>
  <si>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</si>
  <si>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</si>
  <si>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</si>
  <si>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</si>
  <si>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</si>
  <si>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</si>
  <si>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</si>
  <si>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</si>
  <si>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</si>
  <si>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</si>
  <si>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</si>
  <si>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</si>
  <si>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</si>
  <si>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</si>
  <si>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</si>
  <si>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</si>
  <si>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</si>
  <si>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</si>
  <si>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</si>
  <si>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</si>
  <si>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</si>
  <si>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</si>
  <si>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</si>
  <si>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</si>
  <si>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</si>
  <si>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</si>
  <si>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</si>
  <si>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</si>
  <si>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</si>
  <si>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</si>
  <si>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</si>
  <si>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</si>
  <si>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</si>
  <si>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</si>
  <si>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</si>
  <si>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</si>
  <si>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</si>
  <si>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</si>
  <si>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</si>
  <si>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</si>
  <si>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</si>
  <si>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</si>
  <si>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</si>
  <si>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</si>
  <si>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</si>
  <si>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</si>
  <si>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</si>
  <si>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</si>
  <si>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</si>
  <si>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</si>
  <si>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</si>
  <si>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</si>
  <si>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</si>
  <si>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</si>
  <si>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</si>
  <si>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</si>
  <si>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</si>
  <si>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</si>
  <si>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</si>
  <si>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</si>
  <si>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</si>
  <si>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</si>
  <si>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</si>
  <si>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</si>
  <si>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</si>
  <si>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</si>
  <si>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</si>
  <si>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</si>
  <si>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</si>
  <si>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</si>
  <si>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</si>
  <si>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</si>
  <si>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</si>
  <si>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</si>
  <si>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</si>
  <si>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</si>
  <si>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</si>
  <si>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</si>
  <si>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</si>
  <si>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</si>
  <si>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</si>
  <si>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</si>
  <si>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</si>
  <si>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</si>
  <si>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</si>
  <si>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</si>
  <si>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</si>
  <si>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</si>
  <si>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</si>
  <si>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</si>
  <si>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</si>
  <si>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</si>
  <si>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</si>
  <si>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</si>
  <si>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</si>
  <si>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</si>
  <si>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</si>
  <si>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</si>
  <si>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</si>
  <si>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</si>
  <si>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</si>
  <si>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</si>
  <si>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</si>
  <si>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</si>
  <si>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</si>
  <si>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</si>
  <si>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</si>
  <si>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</si>
  <si>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</si>
  <si>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</si>
  <si>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</si>
  <si>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</si>
  <si>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</si>
  <si>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</si>
  <si>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</si>
  <si>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</si>
  <si>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</si>
  <si>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</si>
  <si>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</si>
  <si>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</si>
  <si>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</si>
  <si>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</si>
  <si>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</si>
  <si>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</si>
  <si>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</si>
  <si>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</si>
  <si>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</si>
  <si>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</si>
  <si>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</si>
  <si>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</si>
  <si>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</si>
  <si>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</si>
  <si>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</si>
  <si>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</si>
  <si>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</si>
  <si>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</si>
  <si>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</si>
  <si>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</si>
  <si>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</si>
  <si>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</si>
  <si>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</si>
  <si>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</si>
  <si>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</si>
  <si>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</si>
  <si>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</si>
  <si>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</si>
  <si>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</si>
  <si>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</si>
  <si>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</si>
  <si>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</si>
  <si>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</si>
  <si>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</si>
  <si>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</si>
  <si>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</si>
  <si>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</si>
  <si>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</si>
  <si>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</si>
  <si>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</si>
  <si>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</si>
  <si>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</si>
  <si>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</si>
  <si>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</si>
  <si>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</si>
  <si>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</si>
  <si>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</si>
  <si>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</si>
  <si>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</si>
  <si>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</si>
  <si>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</si>
  <si>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</si>
  <si>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</si>
  <si>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</si>
  <si>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</si>
  <si>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</si>
  <si>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</si>
  <si>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</si>
  <si>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</si>
  <si>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</si>
  <si>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</si>
  <si>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</si>
  <si>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</si>
  <si>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</si>
  <si>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</si>
  <si>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</si>
  <si>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</si>
  <si>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</si>
  <si>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</si>
  <si>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</si>
  <si>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</si>
  <si>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</si>
  <si>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</si>
  <si>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</si>
  <si>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</si>
  <si>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</si>
  <si>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</si>
  <si>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</si>
  <si>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</si>
  <si>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</si>
  <si>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</si>
  <si>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</si>
  <si>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</si>
  <si>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</si>
  <si>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</si>
  <si>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</si>
  <si>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</si>
  <si>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</si>
  <si>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</si>
  <si>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</si>
  <si>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</si>
  <si>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</si>
  <si>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</si>
  <si>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</si>
  <si>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</si>
  <si>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</si>
  <si>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</si>
  <si>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</si>
  <si>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</si>
  <si>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</si>
  <si>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</si>
  <si>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</si>
  <si>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</si>
  <si>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</si>
  <si>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</si>
  <si>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</si>
  <si>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</si>
  <si>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</si>
  <si>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</si>
  <si>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</si>
  <si>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</si>
  <si>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</si>
  <si>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</si>
  <si>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</si>
  <si>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</si>
  <si>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</si>
  <si>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</si>
  <si>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</si>
  <si>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</si>
  <si>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</si>
  <si>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</si>
  <si>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</si>
  <si>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</si>
  <si>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</si>
  <si>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</si>
  <si>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</si>
  <si>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</si>
  <si>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</si>
  <si>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</si>
  <si>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</si>
  <si>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</si>
  <si>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</si>
  <si>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</si>
  <si>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</si>
  <si>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</si>
  <si>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</si>
  <si>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</si>
  <si>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</si>
  <si>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</si>
  <si>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</si>
  <si>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</si>
  <si>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</si>
  <si>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</si>
  <si>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</si>
  <si>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</si>
  <si>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</si>
  <si>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</si>
  <si>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</si>
  <si>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</si>
  <si>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</si>
  <si>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</si>
  <si>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</si>
  <si>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</si>
  <si>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</si>
  <si>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</si>
  <si>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</si>
  <si>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</si>
  <si>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</si>
  <si>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</si>
  <si>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</si>
  <si>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</si>
  <si>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</si>
  <si>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</si>
  <si>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</si>
  <si>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</si>
  <si>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</si>
  <si>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</si>
  <si>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</si>
  <si>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</si>
  <si>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</si>
  <si>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</si>
  <si>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</si>
  <si>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</si>
  <si>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</si>
  <si>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</si>
  <si>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</si>
  <si>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</si>
  <si>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</si>
  <si>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</si>
  <si>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</si>
  <si>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</si>
  <si>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</si>
  <si>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</si>
  <si>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</si>
  <si>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</si>
  <si>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</si>
  <si>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</si>
  <si>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</si>
  <si>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</si>
  <si>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</si>
  <si>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</si>
  <si>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</si>
  <si>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</si>
  <si>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</si>
  <si>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</si>
  <si>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</si>
  <si>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</si>
  <si>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</si>
  <si>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</si>
  <si>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</si>
  <si>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</si>
  <si>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</si>
  <si>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</si>
  <si>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</si>
  <si>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</si>
  <si>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</si>
  <si>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</si>
  <si>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</si>
  <si>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</si>
  <si>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</si>
  <si>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</si>
  <si>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</si>
  <si>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</si>
  <si>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</si>
  <si>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</si>
  <si>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</si>
  <si>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</si>
  <si>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</si>
  <si>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</si>
  <si>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</si>
  <si>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</si>
  <si>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</si>
  <si>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</si>
  <si>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</si>
  <si>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</si>
  <si>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</si>
  <si>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</si>
  <si>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</si>
  <si>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</si>
  <si>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</si>
  <si>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</si>
  <si>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</si>
  <si>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</si>
  <si>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</si>
  <si>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</si>
  <si>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</si>
  <si>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</si>
  <si>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</si>
  <si>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</si>
  <si>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</si>
  <si>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</si>
  <si>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</si>
  <si>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</si>
  <si>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</si>
  <si>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</si>
  <si>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</si>
  <si>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</si>
  <si>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</si>
  <si>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</si>
  <si>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</si>
  <si>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</si>
  <si>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</si>
  <si>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</si>
  <si>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</si>
  <si>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</si>
  <si>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</si>
  <si>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</si>
  <si>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</si>
  <si>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</si>
  <si>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</si>
  <si>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</si>
  <si>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</si>
  <si>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</si>
  <si>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</si>
  <si>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</si>
  <si>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</si>
  <si>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</si>
  <si>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</si>
  <si>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</si>
  <si>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</si>
  <si>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</si>
  <si>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</si>
  <si>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</si>
  <si>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</si>
  <si>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</si>
  <si>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</si>
  <si>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</si>
  <si>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</si>
  <si>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</si>
  <si>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</si>
  <si>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</si>
  <si>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</si>
  <si>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</si>
  <si>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</si>
  <si>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</si>
  <si>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</si>
  <si>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</si>
  <si>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</si>
  <si>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</si>
  <si>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</si>
  <si>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</si>
  <si>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</si>
  <si>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</si>
  <si>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</si>
  <si>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</si>
  <si>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</si>
  <si>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</si>
  <si>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</si>
  <si>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</si>
  <si>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</si>
  <si>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</si>
  <si>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</si>
  <si>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</si>
  <si>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</si>
  <si>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</si>
  <si>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</si>
  <si>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</si>
  <si>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</si>
  <si>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</si>
  <si>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</si>
  <si>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</si>
  <si>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</si>
  <si>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</si>
  <si>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</si>
  <si>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</si>
  <si>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</si>
  <si>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</si>
  <si>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</si>
  <si>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</si>
  <si>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</si>
  <si>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</si>
  <si>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</si>
  <si>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</si>
  <si>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</si>
  <si>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</si>
  <si>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</si>
  <si>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</si>
  <si>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</si>
  <si>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</si>
  <si>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</si>
  <si>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</si>
  <si>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</si>
  <si>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</si>
  <si>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</si>
  <si>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</si>
  <si>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</si>
  <si>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</si>
  <si>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</si>
  <si>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</si>
  <si>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</si>
  <si>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</si>
  <si>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</si>
  <si>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</si>
  <si>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</si>
  <si>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</si>
  <si>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</si>
  <si>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</si>
  <si>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</si>
  <si>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</si>
  <si>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</si>
  <si>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</si>
  <si>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</si>
  <si>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</si>
  <si>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</si>
  <si>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</si>
  <si>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</si>
  <si>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</si>
  <si>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</si>
  <si>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</si>
  <si>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</si>
  <si>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</si>
  <si>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</si>
  <si>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</si>
  <si>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</si>
  <si>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</si>
  <si>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</si>
  <si>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</si>
  <si>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</si>
  <si>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</si>
  <si>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</si>
  <si>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</si>
  <si>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</si>
  <si>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</si>
  <si>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</si>
  <si>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</si>
  <si>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</si>
  <si>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</si>
  <si>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</si>
  <si>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</si>
  <si>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</si>
  <si>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</si>
  <si>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</si>
  <si>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</si>
  <si>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</si>
  <si>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</si>
  <si>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</si>
  <si>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</si>
  <si>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</si>
  <si>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</si>
  <si>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</si>
  <si>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</si>
  <si>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</si>
  <si>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</si>
  <si>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</si>
  <si>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</si>
  <si>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</si>
  <si>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</si>
  <si>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</si>
  <si>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</si>
  <si>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</si>
  <si>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</si>
  <si>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</si>
  <si>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</si>
  <si>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</si>
  <si>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</si>
  <si>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</si>
  <si>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</si>
  <si>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</si>
  <si>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</si>
  <si>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</si>
  <si>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</si>
  <si>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</si>
  <si>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</si>
  <si>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</si>
  <si>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</si>
  <si>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</si>
  <si>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</si>
  <si>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</si>
  <si>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</si>
  <si>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</si>
  <si>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</si>
  <si>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</si>
  <si>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</si>
  <si>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</si>
  <si>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</si>
  <si>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</si>
  <si>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</si>
  <si>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</si>
  <si>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</si>
  <si>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</si>
  <si>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</si>
  <si>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</si>
  <si>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</si>
  <si>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</si>
  <si>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</si>
  <si>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</si>
  <si>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</si>
  <si>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</si>
  <si>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</si>
  <si>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</si>
  <si>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</si>
  <si>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</si>
  <si>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</si>
  <si>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</si>
  <si>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</si>
  <si>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</si>
  <si>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</si>
  <si>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</si>
  <si>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</si>
  <si>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</si>
  <si>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</si>
  <si>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</si>
  <si>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</si>
  <si>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</si>
  <si>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</si>
  <si>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</si>
  <si>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</si>
  <si>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</si>
  <si>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</si>
  <si>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</si>
  <si>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</si>
  <si>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</si>
  <si>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</si>
  <si>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</si>
  <si>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</si>
  <si>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</si>
  <si>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</si>
  <si>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</si>
  <si>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</si>
  <si>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</si>
  <si>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</si>
  <si>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</si>
  <si>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</si>
  <si>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</si>
  <si>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</si>
  <si>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</si>
  <si>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</si>
  <si>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</si>
  <si>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</si>
  <si>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</si>
  <si>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</si>
  <si>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</si>
  <si>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</si>
  <si>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</si>
  <si>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</si>
  <si>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</si>
  <si>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</si>
  <si>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</si>
  <si>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</si>
  <si>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</si>
  <si>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</si>
  <si>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</si>
  <si>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</si>
  <si>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</si>
  <si>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</si>
  <si>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</si>
  <si>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</si>
  <si>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</si>
  <si>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</si>
  <si>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</si>
  <si>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</si>
  <si>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</si>
  <si>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</si>
  <si>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</si>
  <si>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</si>
  <si>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</si>
  <si>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</si>
  <si>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</si>
  <si>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</si>
  <si>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</si>
  <si>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</si>
  <si>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</si>
  <si>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</si>
  <si>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</si>
  <si>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</si>
  <si>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</si>
  <si>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</si>
  <si>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</si>
  <si>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</si>
  <si>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</si>
  <si>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</si>
  <si>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</si>
  <si>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</si>
  <si>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</si>
  <si>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</si>
  <si>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</si>
  <si>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</si>
  <si>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</si>
  <si>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</si>
  <si>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</si>
  <si>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</si>
  <si>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</si>
  <si>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</si>
  <si>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</si>
  <si>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</si>
  <si>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</si>
  <si>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</si>
  <si>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</si>
  <si>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</si>
  <si>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</si>
  <si>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</si>
  <si>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</si>
  <si>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</si>
  <si>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</si>
  <si>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</si>
  <si>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</si>
  <si>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</si>
  <si>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</si>
  <si>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</si>
  <si>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</si>
  <si>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</si>
  <si>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</si>
  <si>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</si>
  <si>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</si>
  <si>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</si>
  <si>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</si>
  <si>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</si>
  <si>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</si>
  <si>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</si>
  <si>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</si>
  <si>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</si>
  <si>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</si>
  <si>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</si>
  <si>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</si>
  <si>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</si>
  <si>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</si>
  <si>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</si>
  <si>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</si>
  <si>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</si>
  <si>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</si>
  <si>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</si>
  <si>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</si>
  <si>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</si>
  <si>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</si>
  <si>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</si>
  <si>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</si>
  <si>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</si>
  <si>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</si>
  <si>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</si>
  <si>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</si>
  <si>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</si>
  <si>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</si>
  <si>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</si>
  <si>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</si>
  <si>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</si>
  <si>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</si>
  <si>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</si>
  <si>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</si>
  <si>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</si>
  <si>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</si>
  <si>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</si>
  <si>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</si>
  <si>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</si>
  <si>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</si>
  <si>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</si>
  <si>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</si>
  <si>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</si>
  <si>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</si>
  <si>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</si>
  <si>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</si>
  <si>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</si>
  <si>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</si>
  <si>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</si>
  <si>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</si>
  <si>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</si>
  <si>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</si>
  <si>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</si>
  <si>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</si>
  <si>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</si>
  <si>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</si>
  <si>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</si>
  <si>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</si>
  <si>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</si>
  <si>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</si>
  <si>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</si>
  <si>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</si>
  <si>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</si>
  <si>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</si>
  <si>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</si>
  <si>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</si>
  <si>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</si>
  <si>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</si>
  <si>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</si>
  <si>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</si>
  <si>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</si>
  <si>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</si>
  <si>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</si>
  <si>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</si>
  <si>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</si>
  <si>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</si>
  <si>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</si>
  <si>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</si>
  <si>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</si>
  <si>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</si>
  <si>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</si>
  <si>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</si>
  <si>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</si>
  <si>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</si>
  <si>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</si>
  <si>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</si>
  <si>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</si>
  <si>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</si>
  <si>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</si>
  <si>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</si>
  <si>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</si>
  <si>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</si>
  <si>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</si>
  <si>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</si>
  <si>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</si>
  <si>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</si>
  <si>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</si>
  <si>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</si>
  <si>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</si>
  <si>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</si>
  <si>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</si>
  <si>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</si>
  <si>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</si>
  <si>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</si>
  <si>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</si>
  <si>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</si>
  <si>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</si>
  <si>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</si>
  <si>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</si>
  <si>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</si>
  <si>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</si>
  <si>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</si>
  <si>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</si>
  <si>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</si>
  <si>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</si>
  <si>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</si>
  <si>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</si>
  <si>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</si>
  <si>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</si>
  <si>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</si>
  <si>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</si>
  <si>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</si>
  <si>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</si>
  <si>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</si>
  <si>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</si>
  <si>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</si>
  <si>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</si>
  <si>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</si>
  <si>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</si>
  <si>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</si>
  <si>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</si>
  <si>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</si>
  <si>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</si>
  <si>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</si>
  <si>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</si>
  <si>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</si>
  <si>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</si>
  <si>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</si>
  <si>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</si>
  <si>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</si>
  <si>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</si>
  <si>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</si>
  <si>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</si>
  <si>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</si>
  <si>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</si>
  <si>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</si>
  <si>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</si>
  <si>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</si>
  <si>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</si>
  <si>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</si>
  <si>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</si>
  <si>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</si>
  <si>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</si>
  <si>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</si>
  <si>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</si>
  <si>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</si>
  <si>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</si>
  <si>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</si>
  <si>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</si>
  <si>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</si>
  <si>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</si>
  <si>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</si>
  <si>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</si>
  <si>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</si>
  <si>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</si>
  <si>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</si>
  <si>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</si>
  <si>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</si>
  <si>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</si>
  <si>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</si>
  <si>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</si>
  <si>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</si>
  <si>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</si>
  <si>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</si>
  <si>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</si>
  <si>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</si>
  <si>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</si>
  <si>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</si>
  <si>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</si>
  <si>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</si>
  <si>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</si>
  <si>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</si>
  <si>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</si>
  <si>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</si>
  <si>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</si>
  <si>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</si>
  <si>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</si>
  <si>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</si>
  <si>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</si>
  <si>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</si>
  <si>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</si>
  <si>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</si>
  <si>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</si>
  <si>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</si>
  <si>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</si>
  <si>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</si>
  <si>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</si>
  <si>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</si>
  <si>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</si>
  <si>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</si>
  <si>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</si>
  <si>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</si>
  <si>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</si>
  <si>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</si>
  <si>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</si>
  <si>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</si>
  <si>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</si>
  <si>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</si>
  <si>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</si>
  <si>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</si>
  <si>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</si>
  <si>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</si>
  <si>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</si>
  <si>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</si>
  <si>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</si>
  <si>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</si>
  <si>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</si>
  <si>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</si>
  <si>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</si>
  <si>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</si>
  <si>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</si>
  <si>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</si>
  <si>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</si>
  <si>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</si>
  <si>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</si>
  <si>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</si>
  <si>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</si>
  <si>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</si>
  <si>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</si>
  <si>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</si>
  <si>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</si>
  <si>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</si>
  <si>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</si>
  <si>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</si>
  <si>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</si>
  <si>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</si>
  <si>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</si>
  <si>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</si>
  <si>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</si>
  <si>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</si>
  <si>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</si>
  <si>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</si>
  <si>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</si>
  <si>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</si>
  <si>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</si>
  <si>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</si>
  <si>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</si>
  <si>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</si>
  <si>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</si>
  <si>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</si>
  <si>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</si>
  <si>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</si>
  <si>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</si>
  <si>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</si>
  <si>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</si>
  <si>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</si>
  <si>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</si>
  <si>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</si>
  <si>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</si>
  <si>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</si>
  <si>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</si>
  <si>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</si>
  <si>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</si>
  <si>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</si>
  <si>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</si>
  <si>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</si>
  <si>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</si>
  <si>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</si>
  <si>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</si>
  <si>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</si>
  <si>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</si>
  <si>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</si>
  <si>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</si>
  <si>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</si>
  <si>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</si>
  <si>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</si>
  <si>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</si>
  <si>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</si>
  <si>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</si>
  <si>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</si>
  <si>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</si>
  <si>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</si>
  <si>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</si>
  <si>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</si>
  <si>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</si>
  <si>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</si>
  <si>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</si>
  <si>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</si>
  <si>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</si>
  <si>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</si>
  <si>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</si>
  <si>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</si>
  <si>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</si>
  <si>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</si>
  <si>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</si>
  <si>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</si>
  <si>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</si>
  <si>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</si>
  <si>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</si>
  <si>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</si>
  <si>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</si>
  <si>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</si>
  <si>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</si>
  <si>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</si>
  <si>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</si>
  <si>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</si>
  <si>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</si>
  <si>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</si>
  <si>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</si>
  <si>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</si>
  <si>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</si>
  <si>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</si>
  <si>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</si>
  <si>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</si>
  <si>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</si>
  <si>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</si>
  <si>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</si>
  <si>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</si>
  <si>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</si>
  <si>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</si>
  <si>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</si>
  <si>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</si>
  <si>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</si>
  <si>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</si>
  <si>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</si>
  <si>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</si>
  <si>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</si>
  <si>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</si>
  <si>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</si>
  <si>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</si>
  <si>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</si>
  <si>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</si>
  <si>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</si>
  <si>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</si>
  <si>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</si>
  <si>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</si>
  <si>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</si>
  <si>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</si>
  <si>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</si>
  <si>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</si>
  <si>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</si>
  <si>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</si>
  <si>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</si>
  <si>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</si>
  <si>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</si>
  <si>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</si>
  <si>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</si>
  <si>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</si>
  <si>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</si>
  <si>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</si>
  <si>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</si>
  <si>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</si>
  <si>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</si>
  <si>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</si>
  <si>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</si>
  <si>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</si>
  <si>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</si>
  <si>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</si>
  <si>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</si>
  <si>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</si>
  <si>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</si>
  <si>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</si>
  <si>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</si>
  <si>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</si>
  <si>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</si>
  <si>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</si>
  <si>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</si>
  <si>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</si>
  <si>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</si>
  <si>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</si>
  <si>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</si>
  <si>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</si>
  <si>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</si>
  <si>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</si>
  <si>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</si>
  <si>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</si>
  <si>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</si>
  <si>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</si>
  <si>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</si>
  <si>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</si>
  <si>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</si>
  <si>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</si>
  <si>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</si>
  <si>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</si>
  <si>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</si>
  <si>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</si>
  <si>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</si>
  <si>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</si>
  <si>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</si>
  <si>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</si>
  <si>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</si>
  <si>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</si>
  <si>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</si>
  <si>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</si>
  <si>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</si>
  <si>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</si>
  <si>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</si>
  <si>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</si>
  <si>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</si>
  <si>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</si>
  <si>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</si>
  <si>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</si>
  <si>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</si>
  <si>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</si>
  <si>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</si>
  <si>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</si>
  <si>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</si>
  <si>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</si>
  <si>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</si>
  <si>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</si>
  <si>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</si>
  <si>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</si>
  <si>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</si>
  <si>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</si>
  <si>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</si>
  <si>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</si>
  <si>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</si>
  <si>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</si>
  <si>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</si>
  <si>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</si>
  <si>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</si>
  <si>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</si>
  <si>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</si>
  <si>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</si>
  <si>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</si>
  <si>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</si>
  <si>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</si>
  <si>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</si>
  <si>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</si>
  <si>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</si>
  <si>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</si>
  <si>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</si>
  <si>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</si>
  <si>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</si>
  <si>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</si>
  <si>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</si>
  <si>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</si>
  <si>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</si>
  <si>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</si>
  <si>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</si>
  <si>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</si>
  <si>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</si>
  <si>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</si>
  <si>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</si>
  <si>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</si>
  <si>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</si>
  <si>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</si>
  <si>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</si>
  <si>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</si>
  <si>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</si>
  <si>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</si>
  <si>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</si>
  <si>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</si>
  <si>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</si>
  <si>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</si>
  <si>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</si>
  <si>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</si>
  <si>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</si>
  <si>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</si>
  <si>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</si>
  <si>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</si>
  <si>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</si>
  <si>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</si>
  <si>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</si>
  <si>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</si>
  <si>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</si>
  <si>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</si>
  <si>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</si>
  <si>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</si>
  <si>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</si>
  <si>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</si>
  <si>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</si>
  <si>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</si>
  <si>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</si>
  <si>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</si>
  <si>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</si>
  <si>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</si>
  <si>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</si>
  <si>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</si>
  <si>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</si>
  <si>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</si>
  <si>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</si>
  <si>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</si>
  <si>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</si>
  <si>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</si>
  <si>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</si>
  <si>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</si>
  <si>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</si>
  <si>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</si>
  <si>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</si>
  <si>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</si>
  <si>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</si>
  <si>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</si>
  <si>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</si>
  <si>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</si>
  <si>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</si>
  <si>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</si>
  <si>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</si>
  <si>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</si>
  <si>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</si>
  <si>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</si>
  <si>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</si>
  <si>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</si>
  <si>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</si>
  <si>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</si>
  <si>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</si>
  <si>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</si>
  <si>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</si>
  <si>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</si>
  <si>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</si>
  <si>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</si>
  <si>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</si>
  <si>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</si>
  <si>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</si>
  <si>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</si>
  <si>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</si>
  <si>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</si>
  <si>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</si>
  <si>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</si>
  <si>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</si>
  <si>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</si>
  <si>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</si>
  <si>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</si>
  <si>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</si>
  <si>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</si>
  <si>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</si>
  <si>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</si>
  <si>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</si>
  <si>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</si>
  <si>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</si>
  <si>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</si>
  <si>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</si>
  <si>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</si>
  <si>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</si>
  <si>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</si>
  <si>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</si>
  <si>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</si>
  <si>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</si>
  <si>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</si>
  <si>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</si>
  <si>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</si>
  <si>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</si>
  <si>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</si>
  <si>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</si>
  <si>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</si>
  <si>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</si>
  <si>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</si>
  <si>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</si>
  <si>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</si>
  <si>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</si>
  <si>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</si>
  <si>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</si>
  <si>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</si>
  <si>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</si>
  <si>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</si>
  <si>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</si>
  <si>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</si>
  <si>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</si>
  <si>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</si>
  <si>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</si>
  <si>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</si>
  <si>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</si>
  <si>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</si>
  <si>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</si>
  <si>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</si>
  <si>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</si>
  <si>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</si>
  <si>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</si>
  <si>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</si>
  <si>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</si>
  <si>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</si>
  <si>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</si>
  <si>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</si>
  <si>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</si>
  <si>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</si>
  <si>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</si>
  <si>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</si>
  <si>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</si>
  <si>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</si>
  <si>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</si>
  <si>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</si>
  <si>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</si>
  <si>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</si>
  <si>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</si>
  <si>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</si>
  <si>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</si>
  <si>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</si>
  <si>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</si>
  <si>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</si>
  <si>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</si>
  <si>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</si>
  <si>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</si>
  <si>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</si>
  <si>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</si>
  <si>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</si>
  <si>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</si>
  <si>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</si>
  <si>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</si>
  <si>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</si>
  <si>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</si>
  <si>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</si>
  <si>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</si>
  <si>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</si>
  <si>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</si>
  <si>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</si>
  <si>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</si>
  <si>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</si>
  <si>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</si>
  <si>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</si>
  <si>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</si>
  <si>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</si>
  <si>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</si>
  <si>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</si>
  <si>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</si>
  <si>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</si>
  <si>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</si>
  <si>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</si>
  <si>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</si>
  <si>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</si>
  <si>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</si>
  <si>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</si>
  <si>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</si>
  <si>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</si>
  <si>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</si>
  <si>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</si>
  <si>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</si>
  <si>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</si>
  <si>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</si>
  <si>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</si>
  <si>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</si>
  <si>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</si>
  <si>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</si>
  <si>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</si>
  <si>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</si>
  <si>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</si>
  <si>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</si>
  <si>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</si>
  <si>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</si>
  <si>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</si>
  <si>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</si>
  <si>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</si>
  <si>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</si>
  <si>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</si>
  <si>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</si>
  <si>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</si>
  <si>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</si>
  <si>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</si>
  <si>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</si>
  <si>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</si>
  <si>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</si>
  <si>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</si>
  <si>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</si>
  <si>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</si>
  <si>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</si>
  <si>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</si>
  <si>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</si>
  <si>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</si>
  <si>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</si>
  <si>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</si>
  <si>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</si>
  <si>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</si>
  <si>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</si>
  <si>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</si>
  <si>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</si>
  <si>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</si>
  <si>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</si>
  <si>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</si>
  <si>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</si>
  <si>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</si>
  <si>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</si>
  <si>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</si>
  <si>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</si>
  <si>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</si>
  <si>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</si>
  <si>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</si>
  <si>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</si>
  <si>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</si>
  <si>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</si>
  <si>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</si>
  <si>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</si>
  <si>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</si>
  <si>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</si>
  <si>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서한교</t>
    <phoneticPr fontId="2" type="noConversion"/>
  </si>
  <si>
    <t>우신(1)</t>
    <phoneticPr fontId="2" type="noConversion"/>
  </si>
  <si>
    <t>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</si>
</sst>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46" zoomScaleNormal="100" workbookViewId="0">
      <selection activeCell="J652" sqref="J65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5" t="s">
        <v>3261</v>
      </c>
      <c r="B1" s="835"/>
      <c r="C1" s="835"/>
      <c r="D1" s="835"/>
      <c r="E1" s="835"/>
      <c r="F1" s="835"/>
      <c r="G1" s="835"/>
      <c r="H1" s="835"/>
      <c r="I1" s="835"/>
      <c r="J1" s="835"/>
      <c r="K1" s="835"/>
      <c r="L1" s="835"/>
      <c r="M1" s="83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0"/>
      <c r="Q22" s="831"/>
      <c r="R22" s="831"/>
      <c r="S22" s="83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0"/>
      <c r="Q27" s="831"/>
      <c r="R27" s="831"/>
      <c r="S27" s="83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0"/>
      <c r="Q36" s="831"/>
      <c r="R36" s="831"/>
      <c r="S36" s="83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0"/>
      <c r="Q37" s="831"/>
      <c r="R37" s="831"/>
      <c r="S37" s="83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0"/>
      <c r="Q40" s="831"/>
      <c r="R40" s="831"/>
      <c r="S40" s="83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0"/>
      <c r="Q41" s="831"/>
      <c r="R41" s="831"/>
      <c r="S41" s="83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0" t="s">
        <v>4390</v>
      </c>
      <c r="Q43" s="831"/>
      <c r="R43" s="831"/>
      <c r="S43" s="83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0"/>
      <c r="Q61" s="831"/>
      <c r="R61" s="831"/>
      <c r="S61" s="83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0"/>
      <c r="Q64" s="831"/>
      <c r="R64" s="831"/>
      <c r="S64" s="83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0"/>
      <c r="Q67" s="831"/>
      <c r="R67" s="831"/>
      <c r="S67" s="83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0"/>
      <c r="Q74" s="831"/>
      <c r="R74" s="831"/>
      <c r="S74" s="83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0"/>
      <c r="Q83" s="831"/>
      <c r="R83" s="831"/>
      <c r="S83" s="83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0"/>
      <c r="Q85" s="831"/>
      <c r="R85" s="831"/>
      <c r="S85" s="83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0" t="s">
        <v>4390</v>
      </c>
      <c r="Q93" s="831"/>
      <c r="R93" s="831"/>
      <c r="S93" s="83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8"/>
      <c r="Q169" s="829"/>
      <c r="R169" s="829"/>
      <c r="S169" s="82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6" t="s">
        <v>4688</v>
      </c>
      <c r="Q182" s="827"/>
      <c r="R182" s="827"/>
      <c r="S182" s="82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2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3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3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4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2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3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3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4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7" t="s">
        <v>6745</v>
      </c>
      <c r="G657" s="16" t="s">
        <v>376</v>
      </c>
      <c r="H657" s="807" t="s">
        <v>7091</v>
      </c>
      <c r="I657" s="804" t="s">
        <v>7150</v>
      </c>
      <c r="J657" s="807" t="s">
        <v>7151</v>
      </c>
      <c r="K657" s="125" t="s">
        <v>15</v>
      </c>
      <c r="L657" s="16" t="s">
        <v>4550</v>
      </c>
      <c r="M657" s="8">
        <v>2</v>
      </c>
      <c r="N657" s="806"/>
      <c r="O657" s="428" t="s">
        <v>7152</v>
      </c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 t="s">
        <v>7137</v>
      </c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7138</v>
      </c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 t="s">
        <v>7139</v>
      </c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824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9" t="s">
        <v>161</v>
      </c>
      <c r="B1" s="939" t="s">
        <v>162</v>
      </c>
      <c r="C1" s="937" t="s">
        <v>1</v>
      </c>
      <c r="D1" s="937" t="s">
        <v>2</v>
      </c>
      <c r="E1" s="937" t="s">
        <v>3</v>
      </c>
      <c r="F1" s="27" t="s">
        <v>54</v>
      </c>
      <c r="G1" s="937" t="s">
        <v>5</v>
      </c>
      <c r="H1" s="937" t="s">
        <v>6</v>
      </c>
      <c r="I1" s="937" t="s">
        <v>7</v>
      </c>
      <c r="J1" s="937" t="s">
        <v>55</v>
      </c>
      <c r="K1" s="941" t="s">
        <v>483</v>
      </c>
      <c r="L1" s="943" t="s">
        <v>56</v>
      </c>
      <c r="M1" s="935" t="s">
        <v>57</v>
      </c>
      <c r="N1" s="937" t="s">
        <v>58</v>
      </c>
    </row>
    <row r="2" spans="1:14">
      <c r="A2" s="940"/>
      <c r="B2" s="940"/>
      <c r="C2" s="938"/>
      <c r="D2" s="938"/>
      <c r="E2" s="938"/>
      <c r="F2" s="28" t="s">
        <v>59</v>
      </c>
      <c r="G2" s="938"/>
      <c r="H2" s="938"/>
      <c r="I2" s="938"/>
      <c r="J2" s="938"/>
      <c r="K2" s="942"/>
      <c r="L2" s="944"/>
      <c r="M2" s="936"/>
      <c r="N2" s="938"/>
    </row>
    <row r="3" spans="1:14" ht="27">
      <c r="A3" s="55">
        <v>1</v>
      </c>
      <c r="B3" s="89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1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4"/>
      <c r="C9" s="9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4"/>
      <c r="C10" s="9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4"/>
      <c r="C12" s="9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4"/>
      <c r="C13" s="9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4"/>
      <c r="C14" s="9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4"/>
      <c r="C15" s="9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4"/>
      <c r="C16" s="9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1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0"/>
    </row>
    <row r="24" spans="1:17" ht="27">
      <c r="A24" s="55">
        <v>4</v>
      </c>
      <c r="B24" s="898" t="s">
        <v>21</v>
      </c>
      <c r="C24" s="8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4" t="s">
        <v>85</v>
      </c>
      <c r="K24" s="921" t="s">
        <v>41</v>
      </c>
      <c r="L24" s="6" t="s">
        <v>15</v>
      </c>
      <c r="M24" s="926">
        <v>180000</v>
      </c>
      <c r="N24" s="45" t="s">
        <v>194</v>
      </c>
    </row>
    <row r="25" spans="1:17" ht="27">
      <c r="A25" s="55">
        <v>4</v>
      </c>
      <c r="B25" s="914"/>
      <c r="C25" s="89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5"/>
      <c r="K25" s="922"/>
      <c r="L25" s="6" t="s">
        <v>15</v>
      </c>
      <c r="M25" s="927"/>
      <c r="N25" s="45" t="s">
        <v>194</v>
      </c>
    </row>
    <row r="26" spans="1:17">
      <c r="A26" s="55">
        <v>4</v>
      </c>
      <c r="B26" s="914"/>
      <c r="C26" s="8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9"/>
      <c r="C27" s="89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4"/>
      <c r="C32" s="8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4"/>
      <c r="C33" s="89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8" t="s">
        <v>20</v>
      </c>
      <c r="C35" s="8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9"/>
      <c r="C36" s="89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8" t="s">
        <v>20</v>
      </c>
      <c r="C37" s="8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9"/>
      <c r="C38" s="89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3"/>
      <c r="C40" s="8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3"/>
      <c r="C41" s="89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4"/>
      <c r="C45" s="92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4"/>
      <c r="C46" s="93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8" t="s">
        <v>64</v>
      </c>
      <c r="C67" s="8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1" t="s">
        <v>435</v>
      </c>
      <c r="L67" s="6" t="s">
        <v>436</v>
      </c>
      <c r="M67" s="926">
        <v>750000</v>
      </c>
      <c r="N67" s="45" t="s">
        <v>446</v>
      </c>
    </row>
    <row r="68" spans="1:15" ht="27">
      <c r="A68" s="55">
        <v>19</v>
      </c>
      <c r="B68" s="914"/>
      <c r="C68" s="91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2"/>
      <c r="L68" s="6" t="s">
        <v>411</v>
      </c>
      <c r="M68" s="927"/>
      <c r="N68" s="45" t="s">
        <v>445</v>
      </c>
    </row>
    <row r="69" spans="1:15">
      <c r="A69" s="55">
        <v>19</v>
      </c>
      <c r="B69" s="914"/>
      <c r="C69" s="89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4"/>
      <c r="C83" s="8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4"/>
      <c r="C84" s="89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4"/>
      <c r="C85" s="8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4"/>
      <c r="C86" s="89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4"/>
      <c r="C93" s="8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4"/>
      <c r="C94" s="91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4"/>
      <c r="C95" s="89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8" t="s">
        <v>21</v>
      </c>
      <c r="C99" s="8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4"/>
      <c r="C100" s="89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5" t="s">
        <v>658</v>
      </c>
      <c r="C110" s="91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6"/>
      <c r="C111" s="94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6"/>
      <c r="C112" s="94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8"/>
      <c r="C113" s="94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6"/>
      <c r="C115" s="91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7"/>
      <c r="C116" s="94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8" t="s">
        <v>20</v>
      </c>
      <c r="C117" s="9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4" t="s">
        <v>168</v>
      </c>
      <c r="K117" s="921" t="s">
        <v>645</v>
      </c>
      <c r="L117" s="57" t="s">
        <v>209</v>
      </c>
      <c r="M117" s="950">
        <f>250000*5</f>
        <v>1250000</v>
      </c>
      <c r="N117" s="898" t="s">
        <v>121</v>
      </c>
    </row>
    <row r="118" spans="1:14">
      <c r="A118" s="101">
        <v>28</v>
      </c>
      <c r="B118" s="914"/>
      <c r="C118" s="91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0"/>
      <c r="K118" s="959"/>
      <c r="L118" s="57" t="s">
        <v>209</v>
      </c>
      <c r="M118" s="951"/>
      <c r="N118" s="914"/>
    </row>
    <row r="119" spans="1:14">
      <c r="A119" s="101">
        <v>28</v>
      </c>
      <c r="B119" s="914"/>
      <c r="C119" s="91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5"/>
      <c r="K119" s="922"/>
      <c r="L119" s="57" t="s">
        <v>209</v>
      </c>
      <c r="M119" s="952"/>
      <c r="N119" s="899"/>
    </row>
    <row r="120" spans="1:14">
      <c r="A120" s="101">
        <v>28</v>
      </c>
      <c r="B120" s="899"/>
      <c r="C120" s="89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5" t="s">
        <v>307</v>
      </c>
      <c r="C122" s="91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6"/>
      <c r="C123" s="91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5" t="s">
        <v>664</v>
      </c>
      <c r="K123" s="923" t="s">
        <v>707</v>
      </c>
      <c r="L123" s="110" t="s">
        <v>324</v>
      </c>
      <c r="M123" s="953" t="s">
        <v>708</v>
      </c>
      <c r="N123" s="110"/>
    </row>
    <row r="124" spans="1:14">
      <c r="A124" s="55">
        <v>29</v>
      </c>
      <c r="B124" s="916"/>
      <c r="C124" s="91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6"/>
      <c r="K124" s="924"/>
      <c r="L124" s="110" t="s">
        <v>324</v>
      </c>
      <c r="M124" s="954"/>
      <c r="N124" s="110"/>
    </row>
    <row r="125" spans="1:14">
      <c r="A125" s="55">
        <v>29</v>
      </c>
      <c r="B125" s="916"/>
      <c r="C125" s="91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7"/>
      <c r="K125" s="925"/>
      <c r="L125" s="110" t="s">
        <v>324</v>
      </c>
      <c r="M125" s="955"/>
      <c r="N125" s="110"/>
    </row>
    <row r="126" spans="1:14">
      <c r="A126" s="55">
        <v>29</v>
      </c>
      <c r="B126" s="917"/>
      <c r="C126" s="9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6"/>
      <c r="C130" s="91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6"/>
      <c r="C131" s="9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6"/>
      <c r="C132" s="91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6"/>
      <c r="C133" s="9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8" t="s">
        <v>618</v>
      </c>
      <c r="C135" s="8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4"/>
      <c r="C136" s="91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4"/>
      <c r="C137" s="91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99"/>
      <c r="C138" s="89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4"/>
      <c r="C140" s="8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4"/>
      <c r="C141" s="89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8" t="s">
        <v>735</v>
      </c>
    </row>
    <row r="142" spans="1:14">
      <c r="A142" s="55">
        <v>30</v>
      </c>
      <c r="B142" s="89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8" t="s">
        <v>20</v>
      </c>
      <c r="C146" s="896" t="s">
        <v>869</v>
      </c>
      <c r="D146" s="921" t="s">
        <v>19</v>
      </c>
      <c r="E146" s="9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9"/>
      <c r="C147" s="897"/>
      <c r="D147" s="922"/>
      <c r="E147" s="9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8" t="s">
        <v>123</v>
      </c>
      <c r="C148" s="896" t="s">
        <v>782</v>
      </c>
      <c r="D148" s="921" t="s">
        <v>19</v>
      </c>
      <c r="E148" s="9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9"/>
      <c r="C149" s="897"/>
      <c r="D149" s="922"/>
      <c r="E149" s="9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8" t="s">
        <v>247</v>
      </c>
    </row>
    <row r="154" spans="1:14" ht="27">
      <c r="A154" s="55">
        <v>34</v>
      </c>
      <c r="B154" s="914"/>
      <c r="C154" s="8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4"/>
    </row>
    <row r="155" spans="1:14" ht="27">
      <c r="A155" s="55">
        <v>34</v>
      </c>
      <c r="B155" s="914"/>
      <c r="C155" s="89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9"/>
    </row>
    <row r="156" spans="1:14" ht="27">
      <c r="A156" s="55">
        <v>34</v>
      </c>
      <c r="B156" s="914"/>
      <c r="C156" s="8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8" t="s">
        <v>825</v>
      </c>
    </row>
    <row r="157" spans="1:14" ht="27">
      <c r="A157" s="55">
        <v>34</v>
      </c>
      <c r="B157" s="914"/>
      <c r="C157" s="89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4"/>
    </row>
    <row r="158" spans="1:14" ht="27">
      <c r="A158" s="55">
        <v>34</v>
      </c>
      <c r="B158" s="914"/>
      <c r="C158" s="8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4"/>
    </row>
    <row r="159" spans="1:14" ht="27">
      <c r="A159" s="55">
        <v>34</v>
      </c>
      <c r="B159" s="914"/>
      <c r="C159" s="89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4"/>
    </row>
    <row r="160" spans="1:14" ht="27">
      <c r="A160" s="55">
        <v>34</v>
      </c>
      <c r="B160" s="91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4"/>
    </row>
    <row r="161" spans="1:15" ht="27">
      <c r="A161" s="55">
        <v>34</v>
      </c>
      <c r="B161" s="91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9"/>
    </row>
    <row r="162" spans="1:15" ht="27">
      <c r="A162" s="55">
        <v>34</v>
      </c>
      <c r="B162" s="89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9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4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5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5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6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5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6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5"/>
      <c r="C181" s="8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4" t="s">
        <v>838</v>
      </c>
      <c r="K181" s="921" t="s">
        <v>985</v>
      </c>
      <c r="L181" s="6" t="s">
        <v>910</v>
      </c>
      <c r="M181" s="950">
        <f>180000+200000+200000</f>
        <v>580000</v>
      </c>
      <c r="N181" s="45" t="s">
        <v>806</v>
      </c>
    </row>
    <row r="182" spans="1:14">
      <c r="A182" s="55">
        <v>36</v>
      </c>
      <c r="B182" s="875"/>
      <c r="C182" s="91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5"/>
      <c r="K182" s="922"/>
      <c r="L182" s="6" t="s">
        <v>911</v>
      </c>
      <c r="M182" s="952"/>
      <c r="N182" s="45" t="s">
        <v>806</v>
      </c>
    </row>
    <row r="183" spans="1:14">
      <c r="A183" s="55">
        <v>36</v>
      </c>
      <c r="B183" s="875"/>
      <c r="C183" s="89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5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6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4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5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5"/>
      <c r="C196" s="8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5"/>
      <c r="C197" s="89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5"/>
      <c r="C198" s="8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6"/>
      <c r="C199" s="89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4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5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5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6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4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5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4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5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8" t="s">
        <v>247</v>
      </c>
    </row>
    <row r="226" spans="1:14">
      <c r="A226" s="55">
        <v>44</v>
      </c>
      <c r="B226" s="87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4"/>
    </row>
    <row r="227" spans="1:14">
      <c r="A227" s="55">
        <v>44</v>
      </c>
      <c r="B227" s="87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9"/>
    </row>
    <row r="228" spans="1:14">
      <c r="A228" s="55">
        <v>44</v>
      </c>
      <c r="B228" s="87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5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8" t="s">
        <v>247</v>
      </c>
    </row>
    <row r="250" spans="1:14">
      <c r="A250" s="55">
        <v>48</v>
      </c>
      <c r="B250" s="876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9"/>
    </row>
    <row r="251" spans="1:14">
      <c r="A251" s="55">
        <v>48</v>
      </c>
      <c r="B251" s="87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5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8" t="s">
        <v>247</v>
      </c>
    </row>
    <row r="257" spans="1:14">
      <c r="A257" s="55">
        <v>49</v>
      </c>
      <c r="B257" s="876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9"/>
    </row>
    <row r="258" spans="1:14" ht="40.5">
      <c r="A258" s="55">
        <v>49</v>
      </c>
      <c r="B258" s="87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6"/>
    </row>
    <row r="263" spans="1:14" ht="16.5" customHeight="1">
      <c r="A263" s="55">
        <v>50</v>
      </c>
      <c r="B263" s="874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5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5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5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6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88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8"/>
      <c r="C269" s="91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89"/>
      <c r="C270" s="88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4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5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5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5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5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8" t="s">
        <v>1196</v>
      </c>
      <c r="B278" s="909"/>
      <c r="C278" s="909"/>
      <c r="D278" s="909"/>
      <c r="E278" s="909"/>
      <c r="F278" s="909"/>
      <c r="G278" s="909"/>
      <c r="H278" s="909"/>
      <c r="I278" s="909"/>
      <c r="J278" s="909"/>
      <c r="K278" s="909"/>
      <c r="L278" s="909"/>
      <c r="M278" s="909"/>
      <c r="N278" s="910"/>
    </row>
    <row r="279" spans="1:15" ht="16.5" customHeight="1">
      <c r="A279" s="55">
        <v>1</v>
      </c>
      <c r="B279" s="874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6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4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5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5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4" t="s">
        <v>1174</v>
      </c>
      <c r="K283" s="9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5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5"/>
      <c r="K284" s="9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1" t="s">
        <v>123</v>
      </c>
      <c r="C287" s="88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2"/>
      <c r="C288" s="88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88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9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8"/>
      <c r="C291" s="9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5" t="s">
        <v>638</v>
      </c>
      <c r="K291" s="900" t="s">
        <v>671</v>
      </c>
      <c r="L291" s="148" t="s">
        <v>309</v>
      </c>
      <c r="M291" s="894" t="s">
        <v>672</v>
      </c>
      <c r="N291" s="148" t="s">
        <v>723</v>
      </c>
    </row>
    <row r="292" spans="1:15">
      <c r="A292" s="55">
        <v>2</v>
      </c>
      <c r="B292" s="888"/>
      <c r="C292" s="9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6"/>
      <c r="K292" s="901"/>
      <c r="L292" s="148" t="s">
        <v>309</v>
      </c>
      <c r="M292" s="895"/>
      <c r="N292" s="148" t="s">
        <v>723</v>
      </c>
    </row>
    <row r="293" spans="1:15">
      <c r="A293" s="55">
        <v>2</v>
      </c>
      <c r="B293" s="888"/>
      <c r="C293" s="9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8"/>
      <c r="C294" s="88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4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5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6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4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5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5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5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6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4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6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88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89"/>
      <c r="C314" s="88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4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5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6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4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6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4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5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6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4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5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5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6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4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5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5"/>
      <c r="C349" s="8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6"/>
      <c r="C350" s="89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885" t="s">
        <v>306</v>
      </c>
      <c r="E375" s="885" t="s">
        <v>322</v>
      </c>
      <c r="F375" s="885" t="s">
        <v>307</v>
      </c>
      <c r="G375" s="890">
        <v>4266</v>
      </c>
      <c r="H375" s="885" t="s">
        <v>640</v>
      </c>
      <c r="I375" s="890" t="s">
        <v>1533</v>
      </c>
      <c r="J375" s="885" t="s">
        <v>1534</v>
      </c>
      <c r="K375" s="892" t="s">
        <v>692</v>
      </c>
      <c r="L375" s="885" t="s">
        <v>324</v>
      </c>
      <c r="M375" s="894" t="s">
        <v>1535</v>
      </c>
      <c r="N375" s="885" t="s">
        <v>425</v>
      </c>
    </row>
    <row r="376" spans="1:19">
      <c r="A376" s="199" t="s">
        <v>1539</v>
      </c>
      <c r="B376" s="888"/>
      <c r="C376" s="129" t="s">
        <v>1532</v>
      </c>
      <c r="D376" s="886"/>
      <c r="E376" s="886"/>
      <c r="F376" s="886"/>
      <c r="G376" s="891"/>
      <c r="H376" s="886"/>
      <c r="I376" s="891"/>
      <c r="J376" s="886"/>
      <c r="K376" s="893"/>
      <c r="L376" s="886"/>
      <c r="M376" s="895"/>
      <c r="N376" s="886"/>
    </row>
    <row r="377" spans="1:19">
      <c r="A377" s="199" t="s">
        <v>1539</v>
      </c>
      <c r="B377" s="888"/>
      <c r="C377" s="128" t="s">
        <v>1536</v>
      </c>
      <c r="D377" s="885" t="s">
        <v>306</v>
      </c>
      <c r="E377" s="885" t="s">
        <v>322</v>
      </c>
      <c r="F377" s="885" t="s">
        <v>307</v>
      </c>
      <c r="G377" s="890">
        <v>3306</v>
      </c>
      <c r="H377" s="885" t="s">
        <v>1153</v>
      </c>
      <c r="I377" s="890" t="s">
        <v>1538</v>
      </c>
      <c r="J377" s="885" t="s">
        <v>1534</v>
      </c>
      <c r="K377" s="892" t="s">
        <v>692</v>
      </c>
      <c r="L377" s="885" t="s">
        <v>324</v>
      </c>
      <c r="M377" s="894" t="s">
        <v>1535</v>
      </c>
      <c r="N377" s="885" t="s">
        <v>425</v>
      </c>
    </row>
    <row r="378" spans="1:19">
      <c r="A378" s="199" t="s">
        <v>1539</v>
      </c>
      <c r="B378" s="889"/>
      <c r="C378" s="129" t="s">
        <v>1537</v>
      </c>
      <c r="D378" s="886"/>
      <c r="E378" s="886"/>
      <c r="F378" s="886"/>
      <c r="G378" s="891"/>
      <c r="H378" s="886"/>
      <c r="I378" s="891"/>
      <c r="J378" s="886"/>
      <c r="K378" s="893"/>
      <c r="L378" s="886"/>
      <c r="M378" s="895"/>
      <c r="N378" s="886"/>
    </row>
    <row r="379" spans="1:19" ht="27" customHeight="1">
      <c r="A379" s="123">
        <v>15</v>
      </c>
      <c r="B379" s="87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0" t="s">
        <v>1782</v>
      </c>
      <c r="C403" s="226" t="s">
        <v>1748</v>
      </c>
      <c r="D403" s="879" t="s">
        <v>306</v>
      </c>
      <c r="E403" s="879" t="s">
        <v>322</v>
      </c>
      <c r="F403" s="879" t="s">
        <v>307</v>
      </c>
      <c r="G403" s="881">
        <v>3306</v>
      </c>
      <c r="H403" s="879" t="s">
        <v>1153</v>
      </c>
      <c r="I403" s="881" t="s">
        <v>1749</v>
      </c>
      <c r="J403" s="879" t="s">
        <v>664</v>
      </c>
      <c r="K403" s="883" t="s">
        <v>1288</v>
      </c>
      <c r="L403" s="879" t="s">
        <v>324</v>
      </c>
      <c r="M403" s="877" t="s">
        <v>1750</v>
      </c>
      <c r="N403" s="879" t="s">
        <v>665</v>
      </c>
    </row>
    <row r="404" spans="1:14">
      <c r="A404" s="123">
        <v>18</v>
      </c>
      <c r="B404" s="861"/>
      <c r="C404" s="226" t="s">
        <v>1751</v>
      </c>
      <c r="D404" s="880"/>
      <c r="E404" s="880"/>
      <c r="F404" s="880"/>
      <c r="G404" s="882"/>
      <c r="H404" s="880"/>
      <c r="I404" s="882"/>
      <c r="J404" s="880"/>
      <c r="K404" s="884"/>
      <c r="L404" s="880"/>
      <c r="M404" s="878"/>
      <c r="N404" s="880"/>
    </row>
    <row r="405" spans="1:14" ht="22.5">
      <c r="A405" s="123">
        <v>18</v>
      </c>
      <c r="B405" s="86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1"/>
      <c r="C406" s="226" t="s">
        <v>1755</v>
      </c>
      <c r="D406" s="879" t="s">
        <v>306</v>
      </c>
      <c r="E406" s="879" t="s">
        <v>322</v>
      </c>
      <c r="F406" s="879" t="s">
        <v>307</v>
      </c>
      <c r="G406" s="881" t="s">
        <v>1756</v>
      </c>
      <c r="H406" s="879" t="s">
        <v>347</v>
      </c>
      <c r="I406" s="881" t="s">
        <v>1154</v>
      </c>
      <c r="J406" s="879" t="s">
        <v>664</v>
      </c>
      <c r="K406" s="879" t="s">
        <v>1757</v>
      </c>
      <c r="L406" s="879" t="s">
        <v>324</v>
      </c>
      <c r="M406" s="877" t="s">
        <v>1758</v>
      </c>
      <c r="N406" s="879" t="s">
        <v>665</v>
      </c>
    </row>
    <row r="407" spans="1:14">
      <c r="A407" s="123">
        <v>18</v>
      </c>
      <c r="B407" s="861"/>
      <c r="C407" s="226" t="s">
        <v>1759</v>
      </c>
      <c r="D407" s="880"/>
      <c r="E407" s="880"/>
      <c r="F407" s="880"/>
      <c r="G407" s="882"/>
      <c r="H407" s="880"/>
      <c r="I407" s="882"/>
      <c r="J407" s="880"/>
      <c r="K407" s="880"/>
      <c r="L407" s="880"/>
      <c r="M407" s="878"/>
      <c r="N407" s="880"/>
    </row>
    <row r="408" spans="1:14" ht="16.5" customHeight="1">
      <c r="A408" s="123">
        <v>18</v>
      </c>
      <c r="B408" s="861"/>
      <c r="C408" s="228" t="s">
        <v>1760</v>
      </c>
      <c r="D408" s="879" t="s">
        <v>306</v>
      </c>
      <c r="E408" s="879" t="s">
        <v>322</v>
      </c>
      <c r="F408" s="879" t="s">
        <v>307</v>
      </c>
      <c r="G408" s="881" t="s">
        <v>1761</v>
      </c>
      <c r="H408" s="879" t="s">
        <v>329</v>
      </c>
      <c r="I408" s="881" t="s">
        <v>1762</v>
      </c>
      <c r="J408" s="879" t="s">
        <v>664</v>
      </c>
      <c r="K408" s="879" t="s">
        <v>1763</v>
      </c>
      <c r="L408" s="879" t="s">
        <v>324</v>
      </c>
      <c r="M408" s="877" t="s">
        <v>1764</v>
      </c>
      <c r="N408" s="879" t="s">
        <v>1765</v>
      </c>
    </row>
    <row r="409" spans="1:14">
      <c r="A409" s="123">
        <v>18</v>
      </c>
      <c r="B409" s="862"/>
      <c r="C409" s="226" t="s">
        <v>1766</v>
      </c>
      <c r="D409" s="880"/>
      <c r="E409" s="880"/>
      <c r="F409" s="880"/>
      <c r="G409" s="882"/>
      <c r="H409" s="880"/>
      <c r="I409" s="882"/>
      <c r="J409" s="880"/>
      <c r="K409" s="880"/>
      <c r="L409" s="880"/>
      <c r="M409" s="878"/>
      <c r="N409" s="880"/>
    </row>
    <row r="410" spans="1:14" ht="16.5" customHeight="1">
      <c r="A410" s="123">
        <v>18</v>
      </c>
      <c r="B410" s="860" t="s">
        <v>253</v>
      </c>
      <c r="C410" s="961" t="s">
        <v>1767</v>
      </c>
      <c r="D410" s="879" t="s">
        <v>311</v>
      </c>
      <c r="E410" s="879" t="s">
        <v>320</v>
      </c>
      <c r="F410" s="879" t="s">
        <v>709</v>
      </c>
      <c r="G410" s="879" t="s">
        <v>1768</v>
      </c>
      <c r="H410" s="961" t="s">
        <v>1769</v>
      </c>
      <c r="I410" s="227" t="s">
        <v>1770</v>
      </c>
      <c r="J410" s="879"/>
      <c r="K410" s="963" t="s">
        <v>1771</v>
      </c>
      <c r="L410" s="879" t="s">
        <v>309</v>
      </c>
      <c r="M410" s="877" t="s">
        <v>1764</v>
      </c>
      <c r="N410" s="879" t="s">
        <v>1772</v>
      </c>
    </row>
    <row r="411" spans="1:14">
      <c r="A411" s="123">
        <v>18</v>
      </c>
      <c r="B411" s="861"/>
      <c r="C411" s="962"/>
      <c r="D411" s="880"/>
      <c r="E411" s="880"/>
      <c r="F411" s="880"/>
      <c r="G411" s="880"/>
      <c r="H411" s="962"/>
      <c r="I411" s="227" t="s">
        <v>1773</v>
      </c>
      <c r="J411" s="880"/>
      <c r="K411" s="964"/>
      <c r="L411" s="880"/>
      <c r="M411" s="878"/>
      <c r="N411" s="880"/>
    </row>
    <row r="412" spans="1:14" ht="22.5">
      <c r="A412" s="123">
        <v>18</v>
      </c>
      <c r="B412" s="86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1"/>
      <c r="C413" s="961" t="s">
        <v>1776</v>
      </c>
      <c r="D413" s="961" t="s">
        <v>700</v>
      </c>
      <c r="E413" s="879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879" t="s">
        <v>638</v>
      </c>
      <c r="K413" s="879" t="s">
        <v>731</v>
      </c>
      <c r="L413" s="879" t="s">
        <v>309</v>
      </c>
      <c r="M413" s="877" t="s">
        <v>1780</v>
      </c>
      <c r="N413" s="879" t="s">
        <v>1781</v>
      </c>
    </row>
    <row r="414" spans="1:14">
      <c r="A414" s="123">
        <v>18</v>
      </c>
      <c r="B414" s="862"/>
      <c r="C414" s="962"/>
      <c r="D414" s="962"/>
      <c r="E414" s="880"/>
      <c r="F414" s="962"/>
      <c r="G414" s="962"/>
      <c r="H414" s="962"/>
      <c r="I414" s="26"/>
      <c r="J414" s="880"/>
      <c r="K414" s="880"/>
      <c r="L414" s="880"/>
      <c r="M414" s="878"/>
      <c r="N414" s="880"/>
    </row>
    <row r="415" spans="1:14" ht="16.5" customHeight="1">
      <c r="A415" s="123">
        <v>19</v>
      </c>
      <c r="B415" s="860" t="s">
        <v>20</v>
      </c>
      <c r="C415" s="148" t="s">
        <v>1794</v>
      </c>
      <c r="D415" s="885" t="s">
        <v>306</v>
      </c>
      <c r="E415" s="885" t="s">
        <v>322</v>
      </c>
      <c r="F415" s="885" t="s">
        <v>307</v>
      </c>
      <c r="G415" s="890" t="s">
        <v>1796</v>
      </c>
      <c r="H415" s="885" t="s">
        <v>1797</v>
      </c>
      <c r="I415" s="890" t="s">
        <v>1792</v>
      </c>
      <c r="J415" s="885" t="s">
        <v>664</v>
      </c>
      <c r="K415" s="148" t="s">
        <v>1520</v>
      </c>
      <c r="L415" s="885" t="s">
        <v>324</v>
      </c>
      <c r="M415" s="894" t="s">
        <v>1799</v>
      </c>
      <c r="N415" s="885" t="s">
        <v>665</v>
      </c>
    </row>
    <row r="416" spans="1:14">
      <c r="A416" s="123">
        <v>19</v>
      </c>
      <c r="B416" s="861"/>
      <c r="C416" s="148" t="s">
        <v>1795</v>
      </c>
      <c r="D416" s="886"/>
      <c r="E416" s="886"/>
      <c r="F416" s="886"/>
      <c r="G416" s="891"/>
      <c r="H416" s="886"/>
      <c r="I416" s="891"/>
      <c r="J416" s="886"/>
      <c r="K416" s="148" t="s">
        <v>1798</v>
      </c>
      <c r="L416" s="886"/>
      <c r="M416" s="895"/>
      <c r="N416" s="886"/>
    </row>
    <row r="417" spans="1:14">
      <c r="A417" s="123">
        <v>19</v>
      </c>
      <c r="B417" s="861"/>
      <c r="C417" s="148" t="s">
        <v>1800</v>
      </c>
      <c r="D417" s="885" t="s">
        <v>306</v>
      </c>
      <c r="E417" s="885" t="s">
        <v>322</v>
      </c>
      <c r="F417" s="885" t="s">
        <v>307</v>
      </c>
      <c r="G417" s="890" t="s">
        <v>1801</v>
      </c>
      <c r="H417" s="885" t="s">
        <v>1802</v>
      </c>
      <c r="I417" s="890" t="s">
        <v>1803</v>
      </c>
      <c r="J417" s="885" t="s">
        <v>664</v>
      </c>
      <c r="K417" s="900" t="s">
        <v>1155</v>
      </c>
      <c r="L417" s="885" t="s">
        <v>324</v>
      </c>
      <c r="M417" s="894" t="s">
        <v>1804</v>
      </c>
      <c r="N417" s="885" t="s">
        <v>665</v>
      </c>
    </row>
    <row r="418" spans="1:14">
      <c r="A418" s="123">
        <v>19</v>
      </c>
      <c r="B418" s="862"/>
      <c r="C418" s="148" t="s">
        <v>1795</v>
      </c>
      <c r="D418" s="886"/>
      <c r="E418" s="886"/>
      <c r="F418" s="886"/>
      <c r="G418" s="891"/>
      <c r="H418" s="886"/>
      <c r="I418" s="891"/>
      <c r="J418" s="886"/>
      <c r="K418" s="901"/>
      <c r="L418" s="886"/>
      <c r="M418" s="895"/>
      <c r="N418" s="886"/>
    </row>
    <row r="419" spans="1:14" ht="16.5" customHeight="1">
      <c r="A419" s="123">
        <v>19</v>
      </c>
      <c r="B419" s="860" t="s">
        <v>21</v>
      </c>
      <c r="C419" s="915" t="s">
        <v>1805</v>
      </c>
      <c r="D419" s="915" t="s">
        <v>700</v>
      </c>
      <c r="E419" s="885" t="s">
        <v>675</v>
      </c>
      <c r="F419" s="915" t="s">
        <v>1806</v>
      </c>
      <c r="G419" s="915" t="s">
        <v>1807</v>
      </c>
      <c r="H419" s="915" t="s">
        <v>662</v>
      </c>
      <c r="I419" s="890" t="s">
        <v>1808</v>
      </c>
      <c r="J419" s="885"/>
      <c r="K419" s="965" t="s">
        <v>1809</v>
      </c>
      <c r="L419" s="885" t="s">
        <v>309</v>
      </c>
      <c r="M419" s="894" t="s">
        <v>1810</v>
      </c>
      <c r="N419" s="149" t="s">
        <v>1811</v>
      </c>
    </row>
    <row r="420" spans="1:14">
      <c r="A420" s="123">
        <v>19</v>
      </c>
      <c r="B420" s="861"/>
      <c r="C420" s="917"/>
      <c r="D420" s="917"/>
      <c r="E420" s="886"/>
      <c r="F420" s="917"/>
      <c r="G420" s="917"/>
      <c r="H420" s="917"/>
      <c r="I420" s="891"/>
      <c r="J420" s="886"/>
      <c r="K420" s="966"/>
      <c r="L420" s="886"/>
      <c r="M420" s="895"/>
      <c r="N420" s="149" t="s">
        <v>1812</v>
      </c>
    </row>
    <row r="421" spans="1:14">
      <c r="A421" s="123">
        <v>19</v>
      </c>
      <c r="B421" s="861"/>
      <c r="C421" s="967" t="s">
        <v>1813</v>
      </c>
      <c r="D421" s="915" t="s">
        <v>700</v>
      </c>
      <c r="E421" s="885" t="s">
        <v>320</v>
      </c>
      <c r="F421" s="885" t="s">
        <v>337</v>
      </c>
      <c r="G421" s="915" t="s">
        <v>353</v>
      </c>
      <c r="H421" s="915" t="s">
        <v>1814</v>
      </c>
      <c r="I421" s="890" t="s">
        <v>1815</v>
      </c>
      <c r="J421" s="885" t="s">
        <v>638</v>
      </c>
      <c r="K421" s="969" t="s">
        <v>692</v>
      </c>
      <c r="L421" s="885" t="s">
        <v>309</v>
      </c>
      <c r="M421" s="894" t="s">
        <v>1816</v>
      </c>
      <c r="N421" s="148" t="s">
        <v>1817</v>
      </c>
    </row>
    <row r="422" spans="1:14">
      <c r="A422" s="123">
        <v>19</v>
      </c>
      <c r="B422" s="861"/>
      <c r="C422" s="968"/>
      <c r="D422" s="917"/>
      <c r="E422" s="886"/>
      <c r="F422" s="886"/>
      <c r="G422" s="917"/>
      <c r="H422" s="917"/>
      <c r="I422" s="891"/>
      <c r="J422" s="886"/>
      <c r="K422" s="970"/>
      <c r="L422" s="886"/>
      <c r="M422" s="895"/>
      <c r="N422" s="148" t="s">
        <v>1818</v>
      </c>
    </row>
    <row r="423" spans="1:14">
      <c r="A423" s="123">
        <v>19</v>
      </c>
      <c r="B423" s="86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1"/>
      <c r="C424" s="915" t="s">
        <v>1820</v>
      </c>
      <c r="D424" s="915" t="s">
        <v>700</v>
      </c>
      <c r="E424" s="885" t="s">
        <v>320</v>
      </c>
      <c r="F424" s="885" t="s">
        <v>709</v>
      </c>
      <c r="G424" s="885" t="s">
        <v>1768</v>
      </c>
      <c r="H424" s="915" t="s">
        <v>1821</v>
      </c>
      <c r="I424" s="149" t="s">
        <v>1822</v>
      </c>
      <c r="J424" s="885" t="s">
        <v>638</v>
      </c>
      <c r="K424" s="885" t="s">
        <v>692</v>
      </c>
      <c r="L424" s="885" t="s">
        <v>309</v>
      </c>
      <c r="M424" s="894" t="s">
        <v>1535</v>
      </c>
      <c r="N424" s="890" t="s">
        <v>1824</v>
      </c>
    </row>
    <row r="425" spans="1:14">
      <c r="A425" s="123">
        <v>19</v>
      </c>
      <c r="B425" s="861"/>
      <c r="C425" s="917"/>
      <c r="D425" s="917"/>
      <c r="E425" s="886"/>
      <c r="F425" s="886"/>
      <c r="G425" s="886"/>
      <c r="H425" s="917"/>
      <c r="I425" s="149" t="s">
        <v>1823</v>
      </c>
      <c r="J425" s="886"/>
      <c r="K425" s="886"/>
      <c r="L425" s="886"/>
      <c r="M425" s="895"/>
      <c r="N425" s="891"/>
    </row>
    <row r="426" spans="1:14">
      <c r="A426" s="123">
        <v>19</v>
      </c>
      <c r="B426" s="86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0" t="s">
        <v>2078</v>
      </c>
      <c r="C452" s="243" t="s">
        <v>1906</v>
      </c>
      <c r="D452" s="866" t="s">
        <v>306</v>
      </c>
      <c r="E452" s="866" t="s">
        <v>322</v>
      </c>
      <c r="F452" s="866" t="s">
        <v>307</v>
      </c>
      <c r="G452" s="866">
        <v>3306</v>
      </c>
      <c r="H452" s="866" t="s">
        <v>1153</v>
      </c>
      <c r="I452" s="866" t="s">
        <v>1907</v>
      </c>
      <c r="J452" s="866" t="s">
        <v>1111</v>
      </c>
      <c r="K452" s="866" t="s">
        <v>692</v>
      </c>
      <c r="L452" s="866" t="s">
        <v>324</v>
      </c>
      <c r="M452" s="872" t="s">
        <v>1908</v>
      </c>
      <c r="N452" s="866" t="s">
        <v>665</v>
      </c>
    </row>
    <row r="453" spans="1:14">
      <c r="A453" s="123">
        <v>23</v>
      </c>
      <c r="B453" s="861"/>
      <c r="C453" s="243" t="s">
        <v>1909</v>
      </c>
      <c r="D453" s="867"/>
      <c r="E453" s="867"/>
      <c r="F453" s="867"/>
      <c r="G453" s="867"/>
      <c r="H453" s="867"/>
      <c r="I453" s="867"/>
      <c r="J453" s="867"/>
      <c r="K453" s="867"/>
      <c r="L453" s="867"/>
      <c r="M453" s="873"/>
      <c r="N453" s="867"/>
    </row>
    <row r="454" spans="1:14">
      <c r="A454" s="123">
        <v>23</v>
      </c>
      <c r="B454" s="861"/>
      <c r="C454" s="243" t="s">
        <v>1910</v>
      </c>
      <c r="D454" s="866" t="s">
        <v>306</v>
      </c>
      <c r="E454" s="866" t="s">
        <v>322</v>
      </c>
      <c r="F454" s="866" t="s">
        <v>307</v>
      </c>
      <c r="G454" s="870" t="s">
        <v>1418</v>
      </c>
      <c r="H454" s="866" t="s">
        <v>1911</v>
      </c>
      <c r="I454" s="870" t="s">
        <v>1154</v>
      </c>
      <c r="J454" s="866" t="s">
        <v>664</v>
      </c>
      <c r="K454" s="971" t="s">
        <v>1763</v>
      </c>
      <c r="L454" s="866" t="s">
        <v>324</v>
      </c>
      <c r="M454" s="872" t="s">
        <v>1535</v>
      </c>
      <c r="N454" s="866" t="s">
        <v>665</v>
      </c>
    </row>
    <row r="455" spans="1:14">
      <c r="A455" s="123">
        <v>23</v>
      </c>
      <c r="B455" s="861"/>
      <c r="C455" s="243" t="s">
        <v>1909</v>
      </c>
      <c r="D455" s="867"/>
      <c r="E455" s="867"/>
      <c r="F455" s="867"/>
      <c r="G455" s="871"/>
      <c r="H455" s="867"/>
      <c r="I455" s="871"/>
      <c r="J455" s="867"/>
      <c r="K455" s="972"/>
      <c r="L455" s="867"/>
      <c r="M455" s="873"/>
      <c r="N455" s="867"/>
    </row>
    <row r="456" spans="1:14">
      <c r="A456" s="123">
        <v>23</v>
      </c>
      <c r="B456" s="86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1"/>
      <c r="C457" s="243" t="s">
        <v>1917</v>
      </c>
      <c r="D457" s="866" t="s">
        <v>306</v>
      </c>
      <c r="E457" s="866" t="s">
        <v>322</v>
      </c>
      <c r="F457" s="866" t="s">
        <v>307</v>
      </c>
      <c r="G457" s="870">
        <v>4267</v>
      </c>
      <c r="H457" s="866" t="s">
        <v>640</v>
      </c>
      <c r="I457" s="870" t="s">
        <v>1154</v>
      </c>
      <c r="J457" s="866" t="s">
        <v>664</v>
      </c>
      <c r="K457" s="971" t="s">
        <v>1763</v>
      </c>
      <c r="L457" s="866" t="s">
        <v>324</v>
      </c>
      <c r="M457" s="872" t="s">
        <v>1535</v>
      </c>
      <c r="N457" s="866" t="s">
        <v>665</v>
      </c>
    </row>
    <row r="458" spans="1:14">
      <c r="A458" s="123">
        <v>23</v>
      </c>
      <c r="B458" s="861"/>
      <c r="C458" s="243" t="s">
        <v>1918</v>
      </c>
      <c r="D458" s="867"/>
      <c r="E458" s="867"/>
      <c r="F458" s="867"/>
      <c r="G458" s="871"/>
      <c r="H458" s="867"/>
      <c r="I458" s="871"/>
      <c r="J458" s="867"/>
      <c r="K458" s="972"/>
      <c r="L458" s="867"/>
      <c r="M458" s="873"/>
      <c r="N458" s="867"/>
    </row>
    <row r="459" spans="1:14">
      <c r="A459" s="123">
        <v>23</v>
      </c>
      <c r="B459" s="861"/>
      <c r="C459" s="243" t="s">
        <v>1917</v>
      </c>
      <c r="D459" s="866" t="s">
        <v>306</v>
      </c>
      <c r="E459" s="866" t="s">
        <v>322</v>
      </c>
      <c r="F459" s="866" t="s">
        <v>307</v>
      </c>
      <c r="G459" s="870" t="s">
        <v>1919</v>
      </c>
      <c r="H459" s="866" t="s">
        <v>662</v>
      </c>
      <c r="I459" s="870" t="s">
        <v>1920</v>
      </c>
      <c r="J459" s="866" t="s">
        <v>349</v>
      </c>
      <c r="K459" s="973" t="s">
        <v>1916</v>
      </c>
      <c r="L459" s="866" t="s">
        <v>324</v>
      </c>
      <c r="M459" s="872" t="s">
        <v>1535</v>
      </c>
      <c r="N459" s="866" t="s">
        <v>425</v>
      </c>
    </row>
    <row r="460" spans="1:14">
      <c r="A460" s="123">
        <v>23</v>
      </c>
      <c r="B460" s="862"/>
      <c r="C460" s="244" t="s">
        <v>1918</v>
      </c>
      <c r="D460" s="867"/>
      <c r="E460" s="867"/>
      <c r="F460" s="867"/>
      <c r="G460" s="871"/>
      <c r="H460" s="867"/>
      <c r="I460" s="871"/>
      <c r="J460" s="867"/>
      <c r="K460" s="974"/>
      <c r="L460" s="867"/>
      <c r="M460" s="873"/>
      <c r="N460" s="867"/>
    </row>
    <row r="461" spans="1:14">
      <c r="A461" s="123">
        <v>23</v>
      </c>
      <c r="B461" s="86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1"/>
      <c r="C462" s="866" t="s">
        <v>1921</v>
      </c>
      <c r="D462" s="866" t="s">
        <v>311</v>
      </c>
      <c r="E462" s="866" t="s">
        <v>675</v>
      </c>
      <c r="F462" s="866" t="s">
        <v>1926</v>
      </c>
      <c r="G462" s="866" t="s">
        <v>1927</v>
      </c>
      <c r="H462" s="868" t="s">
        <v>347</v>
      </c>
      <c r="I462" s="242" t="s">
        <v>1928</v>
      </c>
      <c r="J462" s="866"/>
      <c r="K462" s="870" t="s">
        <v>1924</v>
      </c>
      <c r="L462" s="866" t="s">
        <v>309</v>
      </c>
      <c r="M462" s="872" t="s">
        <v>1828</v>
      </c>
      <c r="N462" s="870" t="s">
        <v>1925</v>
      </c>
    </row>
    <row r="463" spans="1:14">
      <c r="A463" s="123">
        <v>23</v>
      </c>
      <c r="B463" s="861"/>
      <c r="C463" s="867"/>
      <c r="D463" s="867"/>
      <c r="E463" s="867"/>
      <c r="F463" s="867"/>
      <c r="G463" s="867"/>
      <c r="H463" s="869"/>
      <c r="I463" s="242" t="s">
        <v>1929</v>
      </c>
      <c r="J463" s="867"/>
      <c r="K463" s="871"/>
      <c r="L463" s="867"/>
      <c r="M463" s="873"/>
      <c r="N463" s="871"/>
    </row>
    <row r="464" spans="1:14" ht="24">
      <c r="A464" s="123">
        <v>23</v>
      </c>
      <c r="B464" s="86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1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1"/>
      <c r="C687" s="148" t="s">
        <v>2726</v>
      </c>
      <c r="D687" s="885" t="s">
        <v>306</v>
      </c>
      <c r="E687" s="885" t="s">
        <v>322</v>
      </c>
      <c r="F687" s="885" t="s">
        <v>307</v>
      </c>
      <c r="G687" s="890" t="s">
        <v>2719</v>
      </c>
      <c r="H687" s="885" t="s">
        <v>1047</v>
      </c>
      <c r="I687" s="890" t="s">
        <v>704</v>
      </c>
      <c r="J687" s="885" t="s">
        <v>664</v>
      </c>
      <c r="K687" s="979" t="s">
        <v>1763</v>
      </c>
      <c r="L687" s="885"/>
      <c r="M687" s="894" t="s">
        <v>458</v>
      </c>
      <c r="N687" s="885" t="s">
        <v>665</v>
      </c>
    </row>
    <row r="688" spans="1:14">
      <c r="A688" s="123">
        <v>8</v>
      </c>
      <c r="B688" s="861"/>
      <c r="C688" s="148" t="s">
        <v>2727</v>
      </c>
      <c r="D688" s="886"/>
      <c r="E688" s="886"/>
      <c r="F688" s="886"/>
      <c r="G688" s="891"/>
      <c r="H688" s="886"/>
      <c r="I688" s="891"/>
      <c r="J688" s="886"/>
      <c r="K688" s="980"/>
      <c r="L688" s="886"/>
      <c r="M688" s="895"/>
      <c r="N688" s="886"/>
    </row>
    <row r="689" spans="1:14">
      <c r="A689" s="123">
        <v>8</v>
      </c>
      <c r="B689" s="86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1"/>
      <c r="C690" s="148" t="s">
        <v>2730</v>
      </c>
      <c r="D690" s="885" t="s">
        <v>306</v>
      </c>
      <c r="E690" s="885" t="s">
        <v>322</v>
      </c>
      <c r="F690" s="885" t="s">
        <v>307</v>
      </c>
      <c r="G690" s="890" t="s">
        <v>2731</v>
      </c>
      <c r="H690" s="885" t="s">
        <v>640</v>
      </c>
      <c r="I690" s="890" t="s">
        <v>668</v>
      </c>
      <c r="J690" s="885" t="s">
        <v>349</v>
      </c>
      <c r="K690" s="981" t="s">
        <v>2732</v>
      </c>
      <c r="L690" s="885"/>
      <c r="M690" s="894" t="s">
        <v>2769</v>
      </c>
      <c r="N690" s="885" t="s">
        <v>425</v>
      </c>
    </row>
    <row r="691" spans="1:14">
      <c r="A691" s="123">
        <v>8</v>
      </c>
      <c r="B691" s="862"/>
      <c r="C691" s="148" t="s">
        <v>2723</v>
      </c>
      <c r="D691" s="886"/>
      <c r="E691" s="886"/>
      <c r="F691" s="886"/>
      <c r="G691" s="891"/>
      <c r="H691" s="886"/>
      <c r="I691" s="891"/>
      <c r="J691" s="886"/>
      <c r="K691" s="982"/>
      <c r="L691" s="886"/>
      <c r="M691" s="895"/>
      <c r="N691" s="886"/>
    </row>
    <row r="692" spans="1:14">
      <c r="A692" s="123">
        <v>8</v>
      </c>
      <c r="B692" s="86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1"/>
      <c r="C693" s="885" t="s">
        <v>2768</v>
      </c>
      <c r="D693" s="885" t="s">
        <v>311</v>
      </c>
      <c r="E693" s="885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5" t="s">
        <v>309</v>
      </c>
      <c r="M693" s="894" t="s">
        <v>672</v>
      </c>
      <c r="N693" s="885" t="s">
        <v>2740</v>
      </c>
    </row>
    <row r="694" spans="1:14">
      <c r="A694" s="123">
        <v>8</v>
      </c>
      <c r="B694" s="862"/>
      <c r="C694" s="886"/>
      <c r="D694" s="886"/>
      <c r="E694" s="886"/>
      <c r="F694" s="149" t="s">
        <v>2738</v>
      </c>
      <c r="G694" s="891"/>
      <c r="H694" s="891"/>
      <c r="I694" s="891"/>
      <c r="J694" s="891"/>
      <c r="K694" s="891"/>
      <c r="L694" s="886"/>
      <c r="M694" s="895"/>
      <c r="N694" s="913"/>
    </row>
    <row r="695" spans="1:14">
      <c r="A695" s="123">
        <v>9</v>
      </c>
      <c r="B695" s="86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1"/>
      <c r="C697" s="243" t="s">
        <v>2745</v>
      </c>
      <c r="D697" s="866" t="s">
        <v>306</v>
      </c>
      <c r="E697" s="866" t="s">
        <v>322</v>
      </c>
      <c r="F697" s="866" t="s">
        <v>307</v>
      </c>
      <c r="G697" s="870" t="s">
        <v>2746</v>
      </c>
      <c r="H697" s="866" t="s">
        <v>405</v>
      </c>
      <c r="I697" s="870" t="s">
        <v>2747</v>
      </c>
      <c r="J697" s="866" t="s">
        <v>664</v>
      </c>
      <c r="K697" s="983" t="s">
        <v>1757</v>
      </c>
      <c r="L697" s="866"/>
      <c r="M697" s="872">
        <v>750000</v>
      </c>
      <c r="N697" s="866" t="s">
        <v>665</v>
      </c>
    </row>
    <row r="698" spans="1:14">
      <c r="A698" s="123">
        <v>9</v>
      </c>
      <c r="B698" s="861"/>
      <c r="C698" s="243" t="s">
        <v>2748</v>
      </c>
      <c r="D698" s="867"/>
      <c r="E698" s="867"/>
      <c r="F698" s="867"/>
      <c r="G698" s="871"/>
      <c r="H698" s="867"/>
      <c r="I698" s="871"/>
      <c r="J698" s="867"/>
      <c r="K698" s="984"/>
      <c r="L698" s="867"/>
      <c r="M698" s="873"/>
      <c r="N698" s="867"/>
    </row>
    <row r="699" spans="1:14">
      <c r="A699" s="123">
        <v>9</v>
      </c>
      <c r="B699" s="861"/>
      <c r="C699" s="243" t="s">
        <v>2745</v>
      </c>
      <c r="D699" s="866" t="s">
        <v>306</v>
      </c>
      <c r="E699" s="866" t="s">
        <v>322</v>
      </c>
      <c r="F699" s="866" t="s">
        <v>307</v>
      </c>
      <c r="G699" s="870" t="s">
        <v>2749</v>
      </c>
      <c r="H699" s="866" t="s">
        <v>662</v>
      </c>
      <c r="I699" s="870" t="s">
        <v>668</v>
      </c>
      <c r="J699" s="866" t="s">
        <v>349</v>
      </c>
      <c r="K699" s="985" t="s">
        <v>2732</v>
      </c>
      <c r="L699" s="866"/>
      <c r="M699" s="872">
        <v>1000000</v>
      </c>
      <c r="N699" s="866" t="s">
        <v>425</v>
      </c>
    </row>
    <row r="700" spans="1:14">
      <c r="A700" s="123">
        <v>9</v>
      </c>
      <c r="B700" s="861"/>
      <c r="C700" s="243" t="s">
        <v>2750</v>
      </c>
      <c r="D700" s="867"/>
      <c r="E700" s="867"/>
      <c r="F700" s="867"/>
      <c r="G700" s="871"/>
      <c r="H700" s="867"/>
      <c r="I700" s="871"/>
      <c r="J700" s="867"/>
      <c r="K700" s="986"/>
      <c r="L700" s="867"/>
      <c r="M700" s="873"/>
      <c r="N700" s="867"/>
    </row>
    <row r="701" spans="1:14">
      <c r="A701" s="123">
        <v>9</v>
      </c>
      <c r="B701" s="86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1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7" t="s">
        <v>2821</v>
      </c>
    </row>
    <row r="734" spans="1:14" ht="27">
      <c r="A734" s="123">
        <v>15</v>
      </c>
      <c r="B734" s="86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8"/>
    </row>
    <row r="735" spans="1:14">
      <c r="A735" s="123">
        <v>15</v>
      </c>
      <c r="B735" s="86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2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0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2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0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1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1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2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0" t="s">
        <v>3097</v>
      </c>
      <c r="C835" s="148" t="s">
        <v>3079</v>
      </c>
      <c r="D835" s="885" t="s">
        <v>306</v>
      </c>
      <c r="E835" s="885" t="s">
        <v>322</v>
      </c>
      <c r="F835" s="885" t="s">
        <v>307</v>
      </c>
      <c r="G835" s="890" t="s">
        <v>3051</v>
      </c>
      <c r="H835" s="885" t="s">
        <v>1993</v>
      </c>
      <c r="I835" s="890" t="s">
        <v>3052</v>
      </c>
      <c r="J835" s="885" t="s">
        <v>664</v>
      </c>
      <c r="K835" s="148" t="s">
        <v>3081</v>
      </c>
      <c r="L835" s="885"/>
      <c r="M835" s="990" t="s">
        <v>3082</v>
      </c>
      <c r="N835" s="148" t="s">
        <v>3083</v>
      </c>
    </row>
    <row r="836" spans="1:14">
      <c r="A836" s="123">
        <v>29</v>
      </c>
      <c r="B836" s="861"/>
      <c r="C836" s="148" t="s">
        <v>3080</v>
      </c>
      <c r="D836" s="913"/>
      <c r="E836" s="913"/>
      <c r="F836" s="913"/>
      <c r="G836" s="989"/>
      <c r="H836" s="913"/>
      <c r="I836" s="989"/>
      <c r="J836" s="913"/>
      <c r="K836" s="148" t="s">
        <v>707</v>
      </c>
      <c r="L836" s="913"/>
      <c r="M836" s="991"/>
      <c r="N836" s="148"/>
    </row>
    <row r="837" spans="1:14">
      <c r="A837" s="123">
        <v>29</v>
      </c>
      <c r="B837" s="861"/>
      <c r="C837" s="148"/>
      <c r="D837" s="886"/>
      <c r="E837" s="886"/>
      <c r="F837" s="886"/>
      <c r="G837" s="891"/>
      <c r="H837" s="886"/>
      <c r="I837" s="891"/>
      <c r="J837" s="886"/>
      <c r="K837" s="148"/>
      <c r="L837" s="886"/>
      <c r="M837" s="992"/>
      <c r="N837" s="148" t="s">
        <v>3084</v>
      </c>
    </row>
    <row r="838" spans="1:14">
      <c r="A838" s="123">
        <v>29</v>
      </c>
      <c r="B838" s="86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0" t="s">
        <v>21</v>
      </c>
      <c r="C840" s="111" t="s">
        <v>3087</v>
      </c>
      <c r="D840" s="885" t="s">
        <v>311</v>
      </c>
      <c r="E840" s="885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5" t="s">
        <v>309</v>
      </c>
      <c r="M840" s="990" t="s">
        <v>1816</v>
      </c>
      <c r="N840" s="885" t="s">
        <v>3088</v>
      </c>
    </row>
    <row r="841" spans="1:14">
      <c r="A841" s="123">
        <v>29</v>
      </c>
      <c r="B841" s="861"/>
      <c r="C841" s="111" t="s">
        <v>3065</v>
      </c>
      <c r="D841" s="886"/>
      <c r="E841" s="886"/>
      <c r="F841" s="891"/>
      <c r="G841" s="891"/>
      <c r="H841" s="891"/>
      <c r="I841" s="891"/>
      <c r="J841" s="891"/>
      <c r="K841" s="891"/>
      <c r="L841" s="886"/>
      <c r="M841" s="992"/>
      <c r="N841" s="886"/>
    </row>
    <row r="842" spans="1:14">
      <c r="A842" s="123">
        <v>29</v>
      </c>
      <c r="B842" s="86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1"/>
      <c r="C844" s="111" t="s">
        <v>3079</v>
      </c>
      <c r="D844" s="885" t="s">
        <v>311</v>
      </c>
      <c r="E844" s="885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5" t="s">
        <v>309</v>
      </c>
      <c r="M844" s="993" t="s">
        <v>3092</v>
      </c>
      <c r="N844" s="885" t="s">
        <v>1206</v>
      </c>
    </row>
    <row r="845" spans="1:14">
      <c r="A845" s="123">
        <v>29</v>
      </c>
      <c r="B845" s="861"/>
      <c r="C845" s="111" t="s">
        <v>3089</v>
      </c>
      <c r="D845" s="886"/>
      <c r="E845" s="886"/>
      <c r="F845" s="891"/>
      <c r="G845" s="891"/>
      <c r="H845" s="891"/>
      <c r="I845" s="149" t="s">
        <v>3091</v>
      </c>
      <c r="J845" s="891"/>
      <c r="K845" s="891"/>
      <c r="L845" s="886"/>
      <c r="M845" s="994"/>
      <c r="N845" s="886"/>
    </row>
    <row r="846" spans="1:14">
      <c r="A846" s="123">
        <v>29</v>
      </c>
      <c r="B846" s="861"/>
      <c r="C846" s="111" t="s">
        <v>3079</v>
      </c>
      <c r="D846" s="885" t="s">
        <v>311</v>
      </c>
      <c r="E846" s="885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5" t="s">
        <v>309</v>
      </c>
      <c r="M846" s="990" t="s">
        <v>3094</v>
      </c>
      <c r="N846" s="885" t="s">
        <v>3095</v>
      </c>
    </row>
    <row r="847" spans="1:14">
      <c r="A847" s="123">
        <v>29</v>
      </c>
      <c r="B847" s="861"/>
      <c r="C847" s="111"/>
      <c r="D847" s="913"/>
      <c r="E847" s="913"/>
      <c r="F847" s="989"/>
      <c r="G847" s="989"/>
      <c r="H847" s="989"/>
      <c r="I847" s="989"/>
      <c r="J847" s="989"/>
      <c r="K847" s="989"/>
      <c r="L847" s="913"/>
      <c r="M847" s="991"/>
      <c r="N847" s="913"/>
    </row>
    <row r="848" spans="1:14">
      <c r="A848" s="123">
        <v>29</v>
      </c>
      <c r="B848" s="861"/>
      <c r="C848" s="111" t="s">
        <v>3093</v>
      </c>
      <c r="D848" s="886"/>
      <c r="E848" s="886"/>
      <c r="F848" s="891"/>
      <c r="G848" s="891"/>
      <c r="H848" s="891"/>
      <c r="I848" s="891"/>
      <c r="J848" s="891"/>
      <c r="K848" s="891"/>
      <c r="L848" s="886"/>
      <c r="M848" s="992"/>
      <c r="N848" s="886"/>
    </row>
    <row r="849" spans="1:14">
      <c r="A849" s="123">
        <v>29</v>
      </c>
      <c r="B849" s="861"/>
      <c r="C849" s="111" t="s">
        <v>3096</v>
      </c>
      <c r="D849" s="885" t="s">
        <v>311</v>
      </c>
      <c r="E849" s="885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5" t="s">
        <v>309</v>
      </c>
      <c r="M849" s="990" t="s">
        <v>1816</v>
      </c>
      <c r="N849" s="885" t="s">
        <v>3095</v>
      </c>
    </row>
    <row r="850" spans="1:14">
      <c r="A850" s="123">
        <v>29</v>
      </c>
      <c r="B850" s="862"/>
      <c r="C850" s="111" t="s">
        <v>3089</v>
      </c>
      <c r="D850" s="886"/>
      <c r="E850" s="886"/>
      <c r="F850" s="891"/>
      <c r="G850" s="891"/>
      <c r="H850" s="891"/>
      <c r="I850" s="891"/>
      <c r="J850" s="891"/>
      <c r="K850" s="891"/>
      <c r="L850" s="886"/>
      <c r="M850" s="992"/>
      <c r="N850" s="886"/>
    </row>
    <row r="851" spans="1:14">
      <c r="A851" s="123">
        <v>30</v>
      </c>
      <c r="B851" s="99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8"/>
      <c r="C853" s="148" t="s">
        <v>3106</v>
      </c>
      <c r="D853" s="885" t="s">
        <v>306</v>
      </c>
      <c r="E853" s="885" t="s">
        <v>322</v>
      </c>
      <c r="F853" s="885" t="s">
        <v>307</v>
      </c>
      <c r="G853" s="890" t="s">
        <v>3051</v>
      </c>
      <c r="H853" s="885" t="s">
        <v>1993</v>
      </c>
      <c r="I853" s="890" t="s">
        <v>3108</v>
      </c>
      <c r="J853" s="885" t="s">
        <v>664</v>
      </c>
      <c r="K853" s="148" t="s">
        <v>3109</v>
      </c>
      <c r="L853" s="885"/>
      <c r="M853" s="894" t="s">
        <v>3110</v>
      </c>
      <c r="N853" s="885" t="s">
        <v>665</v>
      </c>
    </row>
    <row r="854" spans="1:14">
      <c r="A854" s="123">
        <v>30</v>
      </c>
      <c r="B854" s="998"/>
      <c r="C854" s="148" t="s">
        <v>3107</v>
      </c>
      <c r="D854" s="886"/>
      <c r="E854" s="886"/>
      <c r="F854" s="886"/>
      <c r="G854" s="891"/>
      <c r="H854" s="886"/>
      <c r="I854" s="891"/>
      <c r="J854" s="886"/>
      <c r="K854" s="148" t="s">
        <v>655</v>
      </c>
      <c r="L854" s="886"/>
      <c r="M854" s="895"/>
      <c r="N854" s="886"/>
    </row>
    <row r="855" spans="1:14">
      <c r="A855" s="123">
        <v>30</v>
      </c>
      <c r="B855" s="99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0" t="s">
        <v>3116</v>
      </c>
      <c r="C856" s="995" t="s">
        <v>3117</v>
      </c>
      <c r="D856" s="885" t="s">
        <v>311</v>
      </c>
      <c r="E856" s="885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5" t="s">
        <v>309</v>
      </c>
      <c r="M856" s="894" t="s">
        <v>1810</v>
      </c>
      <c r="N856" s="148" t="s">
        <v>3119</v>
      </c>
    </row>
    <row r="857" spans="1:14">
      <c r="A857" s="123">
        <v>30</v>
      </c>
      <c r="B857" s="861"/>
      <c r="C857" s="996"/>
      <c r="D857" s="886"/>
      <c r="E857" s="886"/>
      <c r="F857" s="891"/>
      <c r="G857" s="891"/>
      <c r="H857" s="891"/>
      <c r="I857" s="891"/>
      <c r="J857" s="891"/>
      <c r="K857" s="891"/>
      <c r="L857" s="886"/>
      <c r="M857" s="895"/>
      <c r="N857" s="148" t="s">
        <v>3120</v>
      </c>
    </row>
    <row r="858" spans="1:14" ht="16.5" customHeight="1">
      <c r="A858" s="123">
        <v>30</v>
      </c>
      <c r="B858" s="861"/>
      <c r="C858" s="995" t="s">
        <v>3117</v>
      </c>
      <c r="D858" s="885" t="s">
        <v>311</v>
      </c>
      <c r="E858" s="885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5" t="s">
        <v>309</v>
      </c>
      <c r="M858" s="894" t="s">
        <v>1535</v>
      </c>
      <c r="N858" s="885" t="s">
        <v>1772</v>
      </c>
    </row>
    <row r="859" spans="1:14">
      <c r="A859" s="123">
        <v>30</v>
      </c>
      <c r="B859" s="861"/>
      <c r="C859" s="996"/>
      <c r="D859" s="886"/>
      <c r="E859" s="886"/>
      <c r="F859" s="891"/>
      <c r="G859" s="149">
        <v>2651</v>
      </c>
      <c r="H859" s="891"/>
      <c r="I859" s="891"/>
      <c r="J859" s="891"/>
      <c r="K859" s="891"/>
      <c r="L859" s="886"/>
      <c r="M859" s="895"/>
      <c r="N859" s="886"/>
    </row>
    <row r="860" spans="1:14">
      <c r="A860" s="123">
        <v>30</v>
      </c>
      <c r="B860" s="861"/>
      <c r="C860" s="995" t="s">
        <v>3123</v>
      </c>
      <c r="D860" s="885" t="s">
        <v>311</v>
      </c>
      <c r="E860" s="885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5" t="s">
        <v>309</v>
      </c>
      <c r="M860" s="894" t="s">
        <v>1933</v>
      </c>
      <c r="N860" s="885" t="s">
        <v>1206</v>
      </c>
    </row>
    <row r="861" spans="1:14">
      <c r="A861" s="123">
        <v>30</v>
      </c>
      <c r="B861" s="861"/>
      <c r="C861" s="996"/>
      <c r="D861" s="886"/>
      <c r="E861" s="886"/>
      <c r="F861" s="891"/>
      <c r="G861" s="891"/>
      <c r="H861" s="891"/>
      <c r="I861" s="149" t="s">
        <v>3125</v>
      </c>
      <c r="J861" s="891"/>
      <c r="K861" s="891"/>
      <c r="L861" s="886"/>
      <c r="M861" s="895"/>
      <c r="N861" s="886"/>
    </row>
    <row r="862" spans="1:14">
      <c r="A862" s="123">
        <v>30</v>
      </c>
      <c r="B862" s="861"/>
      <c r="C862" s="111" t="s">
        <v>3127</v>
      </c>
      <c r="D862" s="885" t="s">
        <v>311</v>
      </c>
      <c r="E862" s="885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5" t="s">
        <v>309</v>
      </c>
      <c r="M862" s="894" t="s">
        <v>1535</v>
      </c>
      <c r="N862" s="885" t="s">
        <v>1206</v>
      </c>
    </row>
    <row r="863" spans="1:14">
      <c r="A863" s="123">
        <v>30</v>
      </c>
      <c r="B863" s="861"/>
      <c r="C863" s="111" t="s">
        <v>3128</v>
      </c>
      <c r="D863" s="886"/>
      <c r="E863" s="886"/>
      <c r="F863" s="891"/>
      <c r="G863" s="891"/>
      <c r="H863" s="891"/>
      <c r="I863" s="891"/>
      <c r="J863" s="891"/>
      <c r="K863" s="891"/>
      <c r="L863" s="886"/>
      <c r="M863" s="895"/>
      <c r="N863" s="886"/>
    </row>
    <row r="864" spans="1:14">
      <c r="A864" s="123">
        <v>30</v>
      </c>
      <c r="B864" s="861"/>
      <c r="C864" s="111" t="s">
        <v>3130</v>
      </c>
      <c r="D864" s="885" t="s">
        <v>311</v>
      </c>
      <c r="E864" s="885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5" t="s">
        <v>309</v>
      </c>
      <c r="M864" s="894" t="s">
        <v>1810</v>
      </c>
      <c r="N864" s="885" t="s">
        <v>1206</v>
      </c>
    </row>
    <row r="865" spans="1:14">
      <c r="A865" s="123">
        <v>30</v>
      </c>
      <c r="B865" s="861"/>
      <c r="C865" s="111" t="s">
        <v>3107</v>
      </c>
      <c r="D865" s="886"/>
      <c r="E865" s="886"/>
      <c r="F865" s="891"/>
      <c r="G865" s="891"/>
      <c r="H865" s="891"/>
      <c r="I865" s="891"/>
      <c r="J865" s="891"/>
      <c r="K865" s="891"/>
      <c r="L865" s="886"/>
      <c r="M865" s="895"/>
      <c r="N865" s="886"/>
    </row>
    <row r="866" spans="1:14" ht="25.5">
      <c r="A866" s="123">
        <v>30</v>
      </c>
      <c r="B866" s="86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1"/>
      <c r="C867" s="995" t="s">
        <v>3111</v>
      </c>
      <c r="D867" s="885" t="s">
        <v>311</v>
      </c>
      <c r="E867" s="885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5" t="s">
        <v>309</v>
      </c>
      <c r="M867" s="894" t="s">
        <v>1828</v>
      </c>
      <c r="N867" s="885" t="s">
        <v>3136</v>
      </c>
    </row>
    <row r="868" spans="1:14">
      <c r="A868" s="123">
        <v>30</v>
      </c>
      <c r="B868" s="862"/>
      <c r="C868" s="996"/>
      <c r="D868" s="886"/>
      <c r="E868" s="886"/>
      <c r="F868" s="891"/>
      <c r="G868" s="891"/>
      <c r="H868" s="891"/>
      <c r="I868" s="149" t="s">
        <v>3135</v>
      </c>
      <c r="J868" s="891"/>
      <c r="K868" s="891"/>
      <c r="L868" s="886"/>
      <c r="M868" s="895"/>
      <c r="N868" s="886"/>
    </row>
    <row r="869" spans="1:14">
      <c r="A869" s="123">
        <v>31</v>
      </c>
      <c r="B869" s="86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1"/>
      <c r="C870" s="148" t="s">
        <v>3140</v>
      </c>
      <c r="D870" s="885" t="s">
        <v>306</v>
      </c>
      <c r="E870" s="885" t="s">
        <v>322</v>
      </c>
      <c r="F870" s="885" t="s">
        <v>307</v>
      </c>
      <c r="G870" s="890">
        <v>1566</v>
      </c>
      <c r="H870" s="885" t="s">
        <v>1911</v>
      </c>
      <c r="I870" s="890" t="s">
        <v>3142</v>
      </c>
      <c r="J870" s="885" t="s">
        <v>664</v>
      </c>
      <c r="K870" s="885" t="s">
        <v>3143</v>
      </c>
      <c r="L870" s="885"/>
      <c r="M870" s="894" t="s">
        <v>3144</v>
      </c>
      <c r="N870" s="885" t="s">
        <v>665</v>
      </c>
    </row>
    <row r="871" spans="1:14">
      <c r="A871" s="123">
        <v>31</v>
      </c>
      <c r="B871" s="861"/>
      <c r="C871" s="148" t="s">
        <v>3141</v>
      </c>
      <c r="D871" s="886"/>
      <c r="E871" s="886"/>
      <c r="F871" s="886"/>
      <c r="G871" s="891"/>
      <c r="H871" s="886"/>
      <c r="I871" s="891"/>
      <c r="J871" s="886"/>
      <c r="K871" s="886"/>
      <c r="L871" s="886"/>
      <c r="M871" s="895"/>
      <c r="N871" s="886"/>
    </row>
    <row r="872" spans="1:14">
      <c r="A872" s="123">
        <v>31</v>
      </c>
      <c r="B872" s="86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1"/>
      <c r="C873" s="388" t="s">
        <v>3140</v>
      </c>
      <c r="D873" s="885" t="s">
        <v>306</v>
      </c>
      <c r="E873" s="885" t="s">
        <v>322</v>
      </c>
      <c r="F873" s="885" t="s">
        <v>307</v>
      </c>
      <c r="G873" s="890" t="s">
        <v>3147</v>
      </c>
      <c r="H873" s="885" t="s">
        <v>3148</v>
      </c>
      <c r="I873" s="890" t="s">
        <v>332</v>
      </c>
      <c r="J873" s="885" t="s">
        <v>1534</v>
      </c>
      <c r="K873" s="885" t="s">
        <v>1157</v>
      </c>
      <c r="L873" s="885"/>
      <c r="M873" s="894" t="s">
        <v>3149</v>
      </c>
      <c r="N873" s="885" t="s">
        <v>425</v>
      </c>
    </row>
    <row r="874" spans="1:14">
      <c r="A874" s="123">
        <v>31</v>
      </c>
      <c r="B874" s="862"/>
      <c r="C874" s="388" t="s">
        <v>3146</v>
      </c>
      <c r="D874" s="886"/>
      <c r="E874" s="886"/>
      <c r="F874" s="886"/>
      <c r="G874" s="891"/>
      <c r="H874" s="886"/>
      <c r="I874" s="891"/>
      <c r="J874" s="886"/>
      <c r="K874" s="886"/>
      <c r="L874" s="886"/>
      <c r="M874" s="895"/>
      <c r="N874" s="886"/>
    </row>
    <row r="875" spans="1:14">
      <c r="A875" s="123">
        <v>31</v>
      </c>
      <c r="B875" s="86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1"/>
      <c r="C876" s="885" t="s">
        <v>3128</v>
      </c>
      <c r="D876" s="885" t="s">
        <v>311</v>
      </c>
      <c r="E876" s="885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5" t="s">
        <v>309</v>
      </c>
      <c r="M876" s="894" t="s">
        <v>3139</v>
      </c>
      <c r="N876" s="885" t="s">
        <v>3152</v>
      </c>
    </row>
    <row r="877" spans="1:14">
      <c r="A877" s="123">
        <v>31</v>
      </c>
      <c r="B877" s="861"/>
      <c r="C877" s="886"/>
      <c r="D877" s="886"/>
      <c r="E877" s="886"/>
      <c r="F877" s="891"/>
      <c r="G877" s="891"/>
      <c r="H877" s="891"/>
      <c r="I877" s="149" t="s">
        <v>3135</v>
      </c>
      <c r="J877" s="891"/>
      <c r="K877" s="891"/>
      <c r="L877" s="886"/>
      <c r="M877" s="895"/>
      <c r="N877" s="886"/>
    </row>
    <row r="878" spans="1:14" ht="16.5" customHeight="1">
      <c r="A878" s="123">
        <v>31</v>
      </c>
      <c r="B878" s="861"/>
      <c r="C878" s="148" t="s">
        <v>3153</v>
      </c>
      <c r="D878" s="885" t="s">
        <v>311</v>
      </c>
      <c r="E878" s="885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5" t="s">
        <v>309</v>
      </c>
      <c r="M878" s="894" t="s">
        <v>3156</v>
      </c>
      <c r="N878" s="885" t="s">
        <v>3151</v>
      </c>
    </row>
    <row r="879" spans="1:14">
      <c r="A879" s="123">
        <v>31</v>
      </c>
      <c r="B879" s="861"/>
      <c r="C879" s="148" t="s">
        <v>3111</v>
      </c>
      <c r="D879" s="886"/>
      <c r="E879" s="886"/>
      <c r="F879" s="891"/>
      <c r="G879" s="891"/>
      <c r="H879" s="891"/>
      <c r="I879" s="891"/>
      <c r="J879" s="891"/>
      <c r="K879" s="891"/>
      <c r="L879" s="886"/>
      <c r="M879" s="895"/>
      <c r="N879" s="886"/>
    </row>
    <row r="880" spans="1:14">
      <c r="A880" s="123">
        <v>31</v>
      </c>
      <c r="B880" s="86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1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1"/>
      <c r="C883" s="111" t="s">
        <v>3166</v>
      </c>
      <c r="D883" s="885" t="s">
        <v>311</v>
      </c>
      <c r="E883" s="885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5" t="s">
        <v>309</v>
      </c>
      <c r="M883" s="894" t="s">
        <v>3173</v>
      </c>
      <c r="N883" s="885" t="s">
        <v>3136</v>
      </c>
    </row>
    <row r="884" spans="1:14">
      <c r="A884" s="123">
        <v>31</v>
      </c>
      <c r="B884" s="862"/>
      <c r="C884" s="111" t="s">
        <v>3167</v>
      </c>
      <c r="D884" s="886"/>
      <c r="E884" s="886"/>
      <c r="F884" s="891"/>
      <c r="G884" s="891"/>
      <c r="H884" s="891"/>
      <c r="I884" s="891"/>
      <c r="J884" s="891"/>
      <c r="K884" s="891"/>
      <c r="L884" s="886"/>
      <c r="M884" s="895"/>
      <c r="N884" s="886"/>
    </row>
    <row r="885" spans="1:14" ht="27">
      <c r="A885" s="123">
        <v>32</v>
      </c>
      <c r="B885" s="100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5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5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5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5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5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5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5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5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5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5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5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5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5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5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5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5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5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5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5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5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5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5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5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5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5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5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5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5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5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5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5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5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5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5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5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5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5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5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5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5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5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5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5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5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5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5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5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5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5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5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5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5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5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5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5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5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5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5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5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5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5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5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5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5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5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5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5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5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5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5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5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5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5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5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5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5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5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5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5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5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5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5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5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5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5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5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5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5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5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5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5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5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5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5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5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5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5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5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5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5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5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5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5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5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5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5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5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5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5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5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5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5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5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5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5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5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5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5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5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5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5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5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5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5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5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5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5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5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5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5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5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5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5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5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5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5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5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5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5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5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5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5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5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5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5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5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5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5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5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5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5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5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5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5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5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5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5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5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5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5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5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5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5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5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5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5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5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5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5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5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5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5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5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5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5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5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5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5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5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5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5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5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5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5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5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5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5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5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5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5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5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5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3"/>
      <c r="C1208" s="851" t="s">
        <v>5007</v>
      </c>
      <c r="D1208" s="844" t="s">
        <v>311</v>
      </c>
      <c r="E1208" s="844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44" t="s">
        <v>309</v>
      </c>
      <c r="M1208" s="854">
        <v>250000</v>
      </c>
      <c r="N1208" s="844" t="s">
        <v>4990</v>
      </c>
    </row>
    <row r="1209" spans="1:14">
      <c r="A1209" s="123">
        <v>2</v>
      </c>
      <c r="B1209" s="843"/>
      <c r="C1209" s="851"/>
      <c r="D1209" s="844"/>
      <c r="E1209" s="844"/>
      <c r="F1209" s="851"/>
      <c r="G1209" s="851"/>
      <c r="H1209" s="851"/>
      <c r="I1209" s="476" t="s">
        <v>5010</v>
      </c>
      <c r="J1209" s="851"/>
      <c r="K1209" s="851"/>
      <c r="L1209" s="844"/>
      <c r="M1209" s="854"/>
      <c r="N1209" s="844"/>
    </row>
    <row r="1210" spans="1:14">
      <c r="A1210" s="123">
        <v>2</v>
      </c>
      <c r="B1210" s="84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3"/>
      <c r="C1222" s="851" t="s">
        <v>5033</v>
      </c>
      <c r="D1222" s="844" t="s">
        <v>311</v>
      </c>
      <c r="E1222" s="844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44" t="s">
        <v>309</v>
      </c>
      <c r="M1222" s="854">
        <v>500000</v>
      </c>
      <c r="N1222" s="844" t="s">
        <v>5032</v>
      </c>
    </row>
    <row r="1223" spans="1:14">
      <c r="A1223" s="123">
        <v>3</v>
      </c>
      <c r="B1223" s="843"/>
      <c r="C1223" s="851"/>
      <c r="D1223" s="844"/>
      <c r="E1223" s="844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44"/>
      <c r="M1223" s="854"/>
      <c r="N1223" s="844"/>
    </row>
    <row r="1224" spans="1:14">
      <c r="A1224" s="123">
        <v>3</v>
      </c>
      <c r="B1224" s="84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3"/>
      <c r="C1250" s="851" t="s">
        <v>5098</v>
      </c>
      <c r="D1250" s="844" t="s">
        <v>311</v>
      </c>
      <c r="E1250" s="844" t="s">
        <v>675</v>
      </c>
      <c r="F1250" s="844" t="s">
        <v>4986</v>
      </c>
      <c r="G1250" s="844">
        <v>1017</v>
      </c>
      <c r="H1250" s="844" t="s">
        <v>347</v>
      </c>
      <c r="I1250" s="149" t="s">
        <v>5099</v>
      </c>
      <c r="J1250" s="851"/>
      <c r="K1250" s="851" t="s">
        <v>692</v>
      </c>
      <c r="L1250" s="844" t="s">
        <v>309</v>
      </c>
      <c r="M1250" s="854">
        <v>500000</v>
      </c>
      <c r="N1250" s="844" t="s">
        <v>5032</v>
      </c>
    </row>
    <row r="1251" spans="1:14">
      <c r="A1251" s="123">
        <v>5</v>
      </c>
      <c r="B1251" s="843"/>
      <c r="C1251" s="851"/>
      <c r="D1251" s="844"/>
      <c r="E1251" s="844"/>
      <c r="F1251" s="844"/>
      <c r="G1251" s="844"/>
      <c r="H1251" s="844"/>
      <c r="I1251" s="149" t="s">
        <v>5100</v>
      </c>
      <c r="J1251" s="851"/>
      <c r="K1251" s="851"/>
      <c r="L1251" s="844"/>
      <c r="M1251" s="854"/>
      <c r="N1251" s="844"/>
    </row>
    <row r="1252" spans="1:14">
      <c r="A1252" s="123">
        <v>5</v>
      </c>
      <c r="B1252" s="84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3"/>
      <c r="C1254" s="851" t="s">
        <v>5103</v>
      </c>
      <c r="D1254" s="844" t="s">
        <v>311</v>
      </c>
      <c r="E1254" s="844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44" t="s">
        <v>309</v>
      </c>
      <c r="M1254" s="854">
        <v>500000</v>
      </c>
      <c r="N1254" s="844" t="s">
        <v>5032</v>
      </c>
    </row>
    <row r="1255" spans="1:14">
      <c r="A1255" s="123">
        <v>5</v>
      </c>
      <c r="B1255" s="843"/>
      <c r="C1255" s="851"/>
      <c r="D1255" s="844"/>
      <c r="E1255" s="844"/>
      <c r="F1255" s="851"/>
      <c r="G1255" s="851"/>
      <c r="H1255" s="851"/>
      <c r="I1255" s="476" t="s">
        <v>5105</v>
      </c>
      <c r="J1255" s="851"/>
      <c r="K1255" s="851"/>
      <c r="L1255" s="844"/>
      <c r="M1255" s="854"/>
      <c r="N1255" s="844"/>
    </row>
    <row r="1256" spans="1:14">
      <c r="A1256" s="123">
        <v>5</v>
      </c>
      <c r="B1256" s="843"/>
      <c r="C1256" s="851" t="s">
        <v>5103</v>
      </c>
      <c r="D1256" s="844" t="s">
        <v>311</v>
      </c>
      <c r="E1256" s="844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44" t="s">
        <v>309</v>
      </c>
      <c r="M1256" s="854">
        <v>600000</v>
      </c>
      <c r="N1256" s="844" t="s">
        <v>5032</v>
      </c>
    </row>
    <row r="1257" spans="1:14">
      <c r="A1257" s="123">
        <v>5</v>
      </c>
      <c r="B1257" s="843"/>
      <c r="C1257" s="851"/>
      <c r="D1257" s="844"/>
      <c r="E1257" s="844"/>
      <c r="F1257" s="851"/>
      <c r="G1257" s="851"/>
      <c r="H1257" s="851"/>
      <c r="I1257" s="476" t="s">
        <v>5105</v>
      </c>
      <c r="J1257" s="851"/>
      <c r="K1257" s="851"/>
      <c r="L1257" s="844"/>
      <c r="M1257" s="854"/>
      <c r="N1257" s="844"/>
    </row>
    <row r="1258" spans="1:14">
      <c r="A1258" s="123">
        <v>5</v>
      </c>
      <c r="B1258" s="84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3"/>
      <c r="C1268" s="851" t="s">
        <v>5122</v>
      </c>
      <c r="D1268" s="844" t="s">
        <v>311</v>
      </c>
      <c r="E1268" s="844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44" t="s">
        <v>309</v>
      </c>
      <c r="M1268" s="854">
        <v>500000</v>
      </c>
      <c r="N1268" s="844" t="s">
        <v>1772</v>
      </c>
    </row>
    <row r="1269" spans="1:14">
      <c r="A1269" s="123">
        <v>6</v>
      </c>
      <c r="B1269" s="843"/>
      <c r="C1269" s="851"/>
      <c r="D1269" s="844"/>
      <c r="E1269" s="844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44"/>
      <c r="M1269" s="854"/>
      <c r="N1269" s="844"/>
    </row>
    <row r="1270" spans="1:14" ht="24">
      <c r="A1270" s="123">
        <v>6</v>
      </c>
      <c r="B1270" s="84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3"/>
      <c r="C1289" s="850" t="s">
        <v>5158</v>
      </c>
      <c r="D1289" s="852" t="s">
        <v>311</v>
      </c>
      <c r="E1289" s="852" t="s">
        <v>675</v>
      </c>
      <c r="F1289" s="506" t="s">
        <v>5123</v>
      </c>
      <c r="G1289" s="507" t="s">
        <v>5125</v>
      </c>
      <c r="H1289" s="507" t="s">
        <v>347</v>
      </c>
      <c r="I1289" s="850" t="s">
        <v>5128</v>
      </c>
      <c r="J1289" s="850"/>
      <c r="K1289" s="850" t="s">
        <v>692</v>
      </c>
      <c r="L1289" s="852" t="s">
        <v>309</v>
      </c>
      <c r="M1289" s="853">
        <v>500000</v>
      </c>
      <c r="N1289" s="844" t="s">
        <v>5032</v>
      </c>
    </row>
    <row r="1290" spans="1:14" ht="19.5">
      <c r="A1290" s="123">
        <v>8</v>
      </c>
      <c r="B1290" s="843"/>
      <c r="C1290" s="851"/>
      <c r="D1290" s="844"/>
      <c r="E1290" s="844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44"/>
      <c r="M1290" s="854"/>
      <c r="N1290" s="844"/>
    </row>
    <row r="1291" spans="1:14">
      <c r="A1291" s="123">
        <v>8</v>
      </c>
      <c r="B1291" s="843"/>
      <c r="C1291" s="850" t="s">
        <v>5159</v>
      </c>
      <c r="D1291" s="852" t="s">
        <v>311</v>
      </c>
      <c r="E1291" s="852" t="s">
        <v>320</v>
      </c>
      <c r="F1291" s="857" t="s">
        <v>709</v>
      </c>
      <c r="G1291" s="850" t="s">
        <v>3098</v>
      </c>
      <c r="H1291" s="850" t="s">
        <v>3099</v>
      </c>
      <c r="I1291" s="506" t="s">
        <v>5312</v>
      </c>
      <c r="J1291" s="850" t="s">
        <v>638</v>
      </c>
      <c r="K1291" s="850" t="s">
        <v>713</v>
      </c>
      <c r="L1291" s="852" t="s">
        <v>309</v>
      </c>
      <c r="M1291" s="853">
        <v>250000</v>
      </c>
      <c r="N1291" s="844" t="s">
        <v>5032</v>
      </c>
    </row>
    <row r="1292" spans="1:14">
      <c r="A1292" s="123">
        <v>8</v>
      </c>
      <c r="B1292" s="843"/>
      <c r="C1292" s="851"/>
      <c r="D1292" s="844"/>
      <c r="E1292" s="844"/>
      <c r="F1292" s="858"/>
      <c r="G1292" s="851"/>
      <c r="H1292" s="851"/>
      <c r="I1292" s="149" t="s">
        <v>5160</v>
      </c>
      <c r="J1292" s="851"/>
      <c r="K1292" s="851"/>
      <c r="L1292" s="844"/>
      <c r="M1292" s="854"/>
      <c r="N1292" s="844"/>
    </row>
    <row r="1293" spans="1:14">
      <c r="A1293" s="123">
        <v>8</v>
      </c>
      <c r="B1293" s="843"/>
      <c r="C1293" s="850" t="s">
        <v>5161</v>
      </c>
      <c r="D1293" s="852" t="s">
        <v>311</v>
      </c>
      <c r="E1293" s="852" t="s">
        <v>320</v>
      </c>
      <c r="F1293" s="850" t="s">
        <v>337</v>
      </c>
      <c r="G1293" s="850" t="s">
        <v>3168</v>
      </c>
      <c r="H1293" s="850" t="s">
        <v>3057</v>
      </c>
      <c r="I1293" s="506" t="s">
        <v>5313</v>
      </c>
      <c r="J1293" s="850" t="s">
        <v>638</v>
      </c>
      <c r="K1293" s="850" t="s">
        <v>692</v>
      </c>
      <c r="L1293" s="852" t="s">
        <v>309</v>
      </c>
      <c r="M1293" s="853">
        <v>500000</v>
      </c>
      <c r="N1293" s="844" t="s">
        <v>1206</v>
      </c>
    </row>
    <row r="1294" spans="1:14">
      <c r="A1294" s="123">
        <v>8</v>
      </c>
      <c r="B1294" s="843"/>
      <c r="C1294" s="851"/>
      <c r="D1294" s="844"/>
      <c r="E1294" s="844"/>
      <c r="F1294" s="851"/>
      <c r="G1294" s="851"/>
      <c r="H1294" s="851"/>
      <c r="I1294" s="149" t="s">
        <v>5162</v>
      </c>
      <c r="J1294" s="851"/>
      <c r="K1294" s="851"/>
      <c r="L1294" s="844"/>
      <c r="M1294" s="854"/>
      <c r="N1294" s="844"/>
    </row>
    <row r="1295" spans="1:14">
      <c r="A1295" s="123">
        <v>9</v>
      </c>
      <c r="B1295" s="84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3"/>
      <c r="C1304" s="850" t="s">
        <v>5175</v>
      </c>
      <c r="D1304" s="852" t="s">
        <v>311</v>
      </c>
      <c r="E1304" s="852" t="s">
        <v>320</v>
      </c>
      <c r="F1304" s="850" t="s">
        <v>337</v>
      </c>
      <c r="G1304" s="850" t="s">
        <v>3168</v>
      </c>
      <c r="H1304" s="850" t="s">
        <v>3057</v>
      </c>
      <c r="I1304" s="510" t="s">
        <v>5176</v>
      </c>
      <c r="J1304" s="850" t="s">
        <v>638</v>
      </c>
      <c r="K1304" s="850" t="s">
        <v>713</v>
      </c>
      <c r="L1304" s="852" t="s">
        <v>309</v>
      </c>
      <c r="M1304" s="853">
        <v>250000</v>
      </c>
      <c r="N1304" s="844" t="s">
        <v>5032</v>
      </c>
    </row>
    <row r="1305" spans="1:14">
      <c r="A1305" s="123">
        <v>9</v>
      </c>
      <c r="B1305" s="843"/>
      <c r="C1305" s="851"/>
      <c r="D1305" s="844"/>
      <c r="E1305" s="844"/>
      <c r="F1305" s="851"/>
      <c r="G1305" s="851"/>
      <c r="H1305" s="851"/>
      <c r="I1305" s="476" t="s">
        <v>5177</v>
      </c>
      <c r="J1305" s="851"/>
      <c r="K1305" s="851"/>
      <c r="L1305" s="844"/>
      <c r="M1305" s="854"/>
      <c r="N1305" s="844"/>
    </row>
    <row r="1306" spans="1:14">
      <c r="A1306" s="123">
        <v>9</v>
      </c>
      <c r="B1306" s="843"/>
      <c r="C1306" s="850" t="s">
        <v>5175</v>
      </c>
      <c r="D1306" s="852" t="s">
        <v>311</v>
      </c>
      <c r="E1306" s="852" t="s">
        <v>320</v>
      </c>
      <c r="F1306" s="850" t="s">
        <v>5178</v>
      </c>
      <c r="G1306" s="506" t="s">
        <v>689</v>
      </c>
      <c r="H1306" s="850" t="s">
        <v>5180</v>
      </c>
      <c r="I1306" s="506" t="s">
        <v>5315</v>
      </c>
      <c r="J1306" s="850"/>
      <c r="K1306" s="850" t="s">
        <v>713</v>
      </c>
      <c r="L1306" s="852" t="s">
        <v>309</v>
      </c>
      <c r="M1306" s="853">
        <v>250000</v>
      </c>
      <c r="N1306" s="844" t="s">
        <v>5032</v>
      </c>
    </row>
    <row r="1307" spans="1:14">
      <c r="A1307" s="123">
        <v>9</v>
      </c>
      <c r="B1307" s="843"/>
      <c r="C1307" s="851"/>
      <c r="D1307" s="844"/>
      <c r="E1307" s="844"/>
      <c r="F1307" s="851"/>
      <c r="G1307" s="149" t="s">
        <v>5179</v>
      </c>
      <c r="H1307" s="851"/>
      <c r="I1307" s="149" t="s">
        <v>5181</v>
      </c>
      <c r="J1307" s="851"/>
      <c r="K1307" s="851"/>
      <c r="L1307" s="844"/>
      <c r="M1307" s="854"/>
      <c r="N1307" s="844"/>
    </row>
    <row r="1308" spans="1:14">
      <c r="A1308" s="123">
        <v>9</v>
      </c>
      <c r="B1308" s="84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3"/>
      <c r="C1309" s="850" t="s">
        <v>5183</v>
      </c>
      <c r="D1309" s="852" t="s">
        <v>311</v>
      </c>
      <c r="E1309" s="852" t="s">
        <v>320</v>
      </c>
      <c r="F1309" s="850" t="s">
        <v>337</v>
      </c>
      <c r="G1309" s="506" t="s">
        <v>3401</v>
      </c>
      <c r="H1309" s="850" t="s">
        <v>5029</v>
      </c>
      <c r="I1309" s="850" t="s">
        <v>5316</v>
      </c>
      <c r="J1309" s="850"/>
      <c r="K1309" s="850" t="s">
        <v>692</v>
      </c>
      <c r="L1309" s="852" t="s">
        <v>309</v>
      </c>
      <c r="M1309" s="853">
        <v>500000</v>
      </c>
      <c r="N1309" s="844" t="s">
        <v>5032</v>
      </c>
    </row>
    <row r="1310" spans="1:14">
      <c r="A1310" s="123">
        <v>9</v>
      </c>
      <c r="B1310" s="843"/>
      <c r="C1310" s="851"/>
      <c r="D1310" s="844"/>
      <c r="E1310" s="844"/>
      <c r="F1310" s="851"/>
      <c r="G1310" s="149" t="s">
        <v>5184</v>
      </c>
      <c r="H1310" s="851"/>
      <c r="I1310" s="851"/>
      <c r="J1310" s="851"/>
      <c r="K1310" s="851"/>
      <c r="L1310" s="844"/>
      <c r="M1310" s="854"/>
      <c r="N1310" s="844"/>
    </row>
    <row r="1311" spans="1:14" ht="24">
      <c r="A1311" s="123">
        <v>9</v>
      </c>
      <c r="B1311" s="84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3"/>
      <c r="C1312" s="850" t="s">
        <v>5187</v>
      </c>
      <c r="D1312" s="852" t="s">
        <v>311</v>
      </c>
      <c r="E1312" s="852" t="s">
        <v>675</v>
      </c>
      <c r="F1312" s="850" t="s">
        <v>5188</v>
      </c>
      <c r="G1312" s="507" t="s">
        <v>1919</v>
      </c>
      <c r="H1312" s="850" t="s">
        <v>347</v>
      </c>
      <c r="I1312" s="850" t="s">
        <v>5319</v>
      </c>
      <c r="J1312" s="850"/>
      <c r="K1312" s="850" t="s">
        <v>692</v>
      </c>
      <c r="L1312" s="852" t="s">
        <v>309</v>
      </c>
      <c r="M1312" s="855">
        <v>500000</v>
      </c>
      <c r="N1312" s="844" t="s">
        <v>1925</v>
      </c>
    </row>
    <row r="1313" spans="1:14">
      <c r="A1313" s="123">
        <v>9</v>
      </c>
      <c r="B1313" s="843"/>
      <c r="C1313" s="851"/>
      <c r="D1313" s="844"/>
      <c r="E1313" s="844"/>
      <c r="F1313" s="851"/>
      <c r="G1313" s="475" t="s">
        <v>5189</v>
      </c>
      <c r="H1313" s="851"/>
      <c r="I1313" s="851"/>
      <c r="J1313" s="851"/>
      <c r="K1313" s="851"/>
      <c r="L1313" s="844"/>
      <c r="M1313" s="856"/>
      <c r="N1313" s="844"/>
    </row>
    <row r="1314" spans="1:14">
      <c r="A1314" s="123">
        <v>10</v>
      </c>
      <c r="B1314" s="84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3"/>
      <c r="C1321" s="851" t="s">
        <v>5201</v>
      </c>
      <c r="D1321" s="844" t="s">
        <v>311</v>
      </c>
      <c r="E1321" s="844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44" t="s">
        <v>309</v>
      </c>
      <c r="M1321" s="854">
        <v>500000</v>
      </c>
      <c r="N1321" s="844" t="s">
        <v>1206</v>
      </c>
    </row>
    <row r="1322" spans="1:14">
      <c r="A1322" s="123">
        <v>10</v>
      </c>
      <c r="B1322" s="843"/>
      <c r="C1322" s="851"/>
      <c r="D1322" s="844"/>
      <c r="E1322" s="844"/>
      <c r="F1322" s="851"/>
      <c r="G1322" s="851"/>
      <c r="H1322" s="851"/>
      <c r="I1322" s="476" t="s">
        <v>5177</v>
      </c>
      <c r="J1322" s="851"/>
      <c r="K1322" s="851"/>
      <c r="L1322" s="844"/>
      <c r="M1322" s="854"/>
      <c r="N1322" s="844"/>
    </row>
    <row r="1323" spans="1:14">
      <c r="A1323" s="123">
        <v>10</v>
      </c>
      <c r="B1323" s="84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3"/>
      <c r="C1326" s="851" t="s">
        <v>5202</v>
      </c>
      <c r="D1326" s="844" t="s">
        <v>311</v>
      </c>
      <c r="E1326" s="844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44" t="s">
        <v>309</v>
      </c>
      <c r="M1326" s="854">
        <v>500000</v>
      </c>
      <c r="N1326" s="844" t="s">
        <v>1206</v>
      </c>
    </row>
    <row r="1327" spans="1:14">
      <c r="A1327" s="123">
        <v>10</v>
      </c>
      <c r="B1327" s="843"/>
      <c r="C1327" s="851"/>
      <c r="D1327" s="844"/>
      <c r="E1327" s="844"/>
      <c r="F1327" s="851"/>
      <c r="G1327" s="851"/>
      <c r="H1327" s="851"/>
      <c r="I1327" s="476" t="s">
        <v>5177</v>
      </c>
      <c r="J1327" s="851"/>
      <c r="K1327" s="851"/>
      <c r="L1327" s="844"/>
      <c r="M1327" s="854"/>
      <c r="N1327" s="844"/>
    </row>
    <row r="1328" spans="1:14" ht="25.5">
      <c r="A1328" s="123">
        <v>10</v>
      </c>
      <c r="B1328" s="84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3"/>
      <c r="C1329" s="850" t="s">
        <v>5209</v>
      </c>
      <c r="D1329" s="852" t="s">
        <v>311</v>
      </c>
      <c r="E1329" s="852" t="s">
        <v>675</v>
      </c>
      <c r="F1329" s="506" t="s">
        <v>5210</v>
      </c>
      <c r="G1329" s="850" t="s">
        <v>5212</v>
      </c>
      <c r="H1329" s="850" t="s">
        <v>662</v>
      </c>
      <c r="I1329" s="850" t="s">
        <v>5321</v>
      </c>
      <c r="J1329" s="850" t="s">
        <v>638</v>
      </c>
      <c r="K1329" s="850" t="s">
        <v>713</v>
      </c>
      <c r="L1329" s="852" t="s">
        <v>309</v>
      </c>
      <c r="M1329" s="853">
        <v>250000</v>
      </c>
      <c r="N1329" s="844" t="s">
        <v>5032</v>
      </c>
    </row>
    <row r="1330" spans="1:14">
      <c r="A1330" s="123">
        <v>10</v>
      </c>
      <c r="B1330" s="843"/>
      <c r="C1330" s="851"/>
      <c r="D1330" s="844"/>
      <c r="E1330" s="844"/>
      <c r="F1330" s="149" t="s">
        <v>5211</v>
      </c>
      <c r="G1330" s="851"/>
      <c r="H1330" s="851"/>
      <c r="I1330" s="851"/>
      <c r="J1330" s="851"/>
      <c r="K1330" s="851"/>
      <c r="L1330" s="844"/>
      <c r="M1330" s="854"/>
      <c r="N1330" s="844"/>
    </row>
    <row r="1331" spans="1:14">
      <c r="A1331" s="123">
        <v>10</v>
      </c>
      <c r="B1331" s="843"/>
      <c r="C1331" s="850" t="s">
        <v>5213</v>
      </c>
      <c r="D1331" s="852" t="s">
        <v>311</v>
      </c>
      <c r="E1331" s="852" t="s">
        <v>675</v>
      </c>
      <c r="F1331" s="850" t="s">
        <v>5214</v>
      </c>
      <c r="G1331" s="507" t="s">
        <v>5126</v>
      </c>
      <c r="H1331" s="845" t="s">
        <v>347</v>
      </c>
      <c r="I1331" s="506" t="s">
        <v>5322</v>
      </c>
      <c r="J1331" s="850"/>
      <c r="K1331" s="850" t="s">
        <v>692</v>
      </c>
      <c r="L1331" s="852" t="s">
        <v>309</v>
      </c>
      <c r="M1331" s="853">
        <v>500000</v>
      </c>
      <c r="N1331" s="844" t="s">
        <v>5032</v>
      </c>
    </row>
    <row r="1332" spans="1:14">
      <c r="A1332" s="123">
        <v>10</v>
      </c>
      <c r="B1332" s="843"/>
      <c r="C1332" s="851"/>
      <c r="D1332" s="844"/>
      <c r="E1332" s="844"/>
      <c r="F1332" s="851"/>
      <c r="G1332" s="475" t="s">
        <v>5215</v>
      </c>
      <c r="H1332" s="846"/>
      <c r="I1332" s="149" t="s">
        <v>5217</v>
      </c>
      <c r="J1332" s="851"/>
      <c r="K1332" s="851"/>
      <c r="L1332" s="844"/>
      <c r="M1332" s="854"/>
      <c r="N1332" s="844"/>
    </row>
    <row r="1333" spans="1:14">
      <c r="A1333" s="123">
        <v>11</v>
      </c>
      <c r="B1333" s="84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3" t="s">
        <v>5163</v>
      </c>
      <c r="C1339" s="845" t="s">
        <v>5218</v>
      </c>
      <c r="D1339" s="847" t="s">
        <v>311</v>
      </c>
      <c r="E1339" s="847" t="s">
        <v>675</v>
      </c>
      <c r="F1339" s="845" t="s">
        <v>5214</v>
      </c>
      <c r="G1339" s="510" t="s">
        <v>5126</v>
      </c>
      <c r="H1339" s="845" t="s">
        <v>347</v>
      </c>
      <c r="I1339" s="510" t="s">
        <v>5216</v>
      </c>
      <c r="J1339" s="845"/>
      <c r="K1339" s="845" t="s">
        <v>692</v>
      </c>
      <c r="L1339" s="847" t="s">
        <v>309</v>
      </c>
      <c r="M1339" s="848">
        <v>500000</v>
      </c>
      <c r="N1339" s="846" t="s">
        <v>5225</v>
      </c>
    </row>
    <row r="1340" spans="1:14">
      <c r="A1340" s="123">
        <v>11</v>
      </c>
      <c r="B1340" s="843"/>
      <c r="C1340" s="846"/>
      <c r="D1340" s="841"/>
      <c r="E1340" s="841"/>
      <c r="F1340" s="846"/>
      <c r="G1340" s="476" t="s">
        <v>5215</v>
      </c>
      <c r="H1340" s="846"/>
      <c r="I1340" s="476" t="s">
        <v>5217</v>
      </c>
      <c r="J1340" s="846"/>
      <c r="K1340" s="846"/>
      <c r="L1340" s="841"/>
      <c r="M1340" s="849"/>
      <c r="N1340" s="846"/>
    </row>
    <row r="1341" spans="1:14">
      <c r="A1341" s="123">
        <v>11</v>
      </c>
      <c r="B1341" s="84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1" t="s">
        <v>5443</v>
      </c>
    </row>
    <row r="1370" spans="1:14">
      <c r="A1370" s="123">
        <v>14</v>
      </c>
      <c r="B1370" s="84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1"/>
    </row>
    <row r="1371" spans="1:14">
      <c r="A1371" s="123">
        <v>14</v>
      </c>
      <c r="B1371" s="84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5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5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5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5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5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5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5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5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5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5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5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5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5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5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0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1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1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1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2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0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1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1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1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2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0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1"/>
      <c r="C1439" s="1016" t="s">
        <v>5860</v>
      </c>
      <c r="D1439" s="1017" t="s">
        <v>311</v>
      </c>
      <c r="E1439" s="1017" t="s">
        <v>320</v>
      </c>
      <c r="F1439" s="1018" t="s">
        <v>5188</v>
      </c>
      <c r="G1439" s="658" t="s">
        <v>1919</v>
      </c>
      <c r="H1439" s="1018" t="s">
        <v>347</v>
      </c>
      <c r="I1439" s="1018" t="s">
        <v>5870</v>
      </c>
      <c r="J1439" s="1018"/>
      <c r="K1439" s="1018" t="s">
        <v>692</v>
      </c>
      <c r="L1439" s="1017" t="s">
        <v>309</v>
      </c>
      <c r="M1439" s="1019">
        <v>500000</v>
      </c>
      <c r="N1439" s="1003"/>
    </row>
    <row r="1440" spans="1:14">
      <c r="A1440" s="694">
        <v>20</v>
      </c>
      <c r="B1440" s="861"/>
      <c r="C1440" s="1016"/>
      <c r="D1440" s="1017"/>
      <c r="E1440" s="1017"/>
      <c r="F1440" s="1018"/>
      <c r="G1440" s="658" t="s">
        <v>5189</v>
      </c>
      <c r="H1440" s="1018"/>
      <c r="I1440" s="1018"/>
      <c r="J1440" s="1018"/>
      <c r="K1440" s="1018"/>
      <c r="L1440" s="1017"/>
      <c r="M1440" s="1019"/>
      <c r="N1440" s="1003"/>
    </row>
    <row r="1441" spans="1:14" ht="24">
      <c r="A1441" s="694">
        <v>20</v>
      </c>
      <c r="B1441" s="862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6" t="s">
        <v>5942</v>
      </c>
    </row>
    <row r="1454" spans="1:14">
      <c r="A1454" s="696">
        <v>22</v>
      </c>
      <c r="B1454" s="100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7"/>
    </row>
    <row r="1455" spans="1:14">
      <c r="A1455" s="696">
        <v>22</v>
      </c>
      <c r="B1455" s="100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09" t="s">
        <v>3274</v>
      </c>
      <c r="K1459" s="1009" t="s">
        <v>3454</v>
      </c>
      <c r="L1459" s="646" t="s">
        <v>3265</v>
      </c>
      <c r="M1459" s="1011">
        <v>250000</v>
      </c>
      <c r="N1459" s="693" t="s">
        <v>5964</v>
      </c>
    </row>
    <row r="1460" spans="1:14">
      <c r="A1460" s="696">
        <v>22</v>
      </c>
      <c r="B1460" s="100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0"/>
      <c r="K1460" s="1010"/>
      <c r="L1460" s="646" t="s">
        <v>3265</v>
      </c>
      <c r="M1460" s="1012"/>
      <c r="N1460" s="693" t="s">
        <v>5965</v>
      </c>
    </row>
    <row r="1461" spans="1:14">
      <c r="A1461" s="696">
        <v>22</v>
      </c>
      <c r="B1461" s="100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3" t="s">
        <v>5920</v>
      </c>
      <c r="L1464" s="646" t="s">
        <v>15</v>
      </c>
      <c r="M1464" s="1011">
        <v>500000</v>
      </c>
      <c r="N1464" s="693" t="s">
        <v>5969</v>
      </c>
    </row>
    <row r="1465" spans="1:14">
      <c r="A1465" s="696">
        <v>22</v>
      </c>
      <c r="B1465" s="100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4"/>
      <c r="L1465" s="646" t="s">
        <v>15</v>
      </c>
      <c r="M1465" s="1012"/>
      <c r="N1465" s="693" t="s">
        <v>5970</v>
      </c>
    </row>
    <row r="1466" spans="1:14">
      <c r="A1466" s="694">
        <v>23</v>
      </c>
      <c r="B1466" s="83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2" t="s">
        <v>90</v>
      </c>
      <c r="K1474" s="1022" t="s">
        <v>6007</v>
      </c>
      <c r="L1474" s="136" t="s">
        <v>15</v>
      </c>
      <c r="M1474" s="1023">
        <v>250000</v>
      </c>
      <c r="N1474" s="646"/>
    </row>
    <row r="1475" spans="1:14" ht="27">
      <c r="A1475" s="694">
        <v>23</v>
      </c>
      <c r="B1475" s="83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2"/>
      <c r="K1475" s="1022"/>
      <c r="L1475" s="136" t="s">
        <v>15</v>
      </c>
      <c r="M1475" s="1023"/>
      <c r="N1475" s="646"/>
    </row>
    <row r="1476" spans="1:14">
      <c r="A1476" s="694">
        <v>23</v>
      </c>
      <c r="B1476" s="83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0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1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1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1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1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1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0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1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1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1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1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1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1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1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1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1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1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1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0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1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1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1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1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1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6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6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6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6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6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6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8" t="s">
        <v>6410</v>
      </c>
      <c r="L1553" s="632" t="s">
        <v>6349</v>
      </c>
      <c r="M1553" s="1011">
        <v>250000</v>
      </c>
      <c r="N1553" s="693" t="s">
        <v>6437</v>
      </c>
    </row>
    <row r="1554" spans="1:14">
      <c r="A1554" s="696">
        <v>27</v>
      </c>
      <c r="B1554" s="83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29"/>
      <c r="L1554" s="632" t="s">
        <v>15</v>
      </c>
      <c r="M1554" s="1012"/>
      <c r="N1554" s="693" t="s">
        <v>6438</v>
      </c>
    </row>
    <row r="1555" spans="1:14">
      <c r="A1555" s="696">
        <v>27</v>
      </c>
      <c r="B1555" s="83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0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1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1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1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0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1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1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4" t="s">
        <v>686</v>
      </c>
      <c r="L1563" s="125" t="s">
        <v>15</v>
      </c>
      <c r="M1563" s="1011">
        <v>250000</v>
      </c>
      <c r="N1563" s="693" t="s">
        <v>393</v>
      </c>
    </row>
    <row r="1564" spans="1:14">
      <c r="A1564" s="694">
        <v>28</v>
      </c>
      <c r="B1564" s="1021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5"/>
      <c r="L1564" s="125" t="s">
        <v>15</v>
      </c>
      <c r="M1564" s="1027"/>
      <c r="N1564" s="693" t="s">
        <v>128</v>
      </c>
    </row>
    <row r="1565" spans="1:14" ht="27">
      <c r="A1565" s="694">
        <v>28</v>
      </c>
      <c r="B1565" s="1021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6"/>
      <c r="L1565" s="125" t="s">
        <v>15</v>
      </c>
      <c r="M1565" s="1012"/>
      <c r="N1565" s="693" t="s">
        <v>393</v>
      </c>
    </row>
    <row r="1566" spans="1:14">
      <c r="A1566" s="694">
        <v>28</v>
      </c>
      <c r="B1566" s="1021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1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1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1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4" t="s">
        <v>1113</v>
      </c>
      <c r="L1571" s="125" t="s">
        <v>15</v>
      </c>
      <c r="M1571" s="1011">
        <v>750000</v>
      </c>
      <c r="N1571" s="837" t="s">
        <v>6608</v>
      </c>
    </row>
    <row r="1572" spans="1:14">
      <c r="A1572" s="694">
        <v>29</v>
      </c>
      <c r="B1572" s="100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6"/>
      <c r="L1572" s="125" t="s">
        <v>15</v>
      </c>
      <c r="M1572" s="1012"/>
      <c r="N1572" s="838"/>
    </row>
    <row r="1573" spans="1:14" ht="27">
      <c r="A1573" s="694">
        <v>29</v>
      </c>
      <c r="B1573" s="100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0" t="s">
        <v>41</v>
      </c>
      <c r="L1576" s="136" t="s">
        <v>15</v>
      </c>
      <c r="M1576" s="1011">
        <v>250000</v>
      </c>
      <c r="N1576" s="646" t="s">
        <v>6615</v>
      </c>
    </row>
    <row r="1577" spans="1:14">
      <c r="A1577" s="694">
        <v>29</v>
      </c>
      <c r="B1577" s="100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1"/>
      <c r="L1577" s="136" t="s">
        <v>15</v>
      </c>
      <c r="M1577" s="1012"/>
      <c r="N1577" s="646" t="s">
        <v>6616</v>
      </c>
    </row>
    <row r="1578" spans="1:14">
      <c r="A1578" s="694">
        <v>29</v>
      </c>
      <c r="B1578" s="100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4" t="s">
        <v>686</v>
      </c>
      <c r="L1581" s="125" t="s">
        <v>15</v>
      </c>
      <c r="M1581" s="1011">
        <v>250000</v>
      </c>
      <c r="N1581" s="646" t="s">
        <v>6737</v>
      </c>
    </row>
    <row r="1582" spans="1:14">
      <c r="A1582" s="694">
        <v>29</v>
      </c>
      <c r="B1582" s="100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6"/>
      <c r="L1582" s="125" t="s">
        <v>15</v>
      </c>
      <c r="M1582" s="1012"/>
      <c r="N1582" s="646" t="s">
        <v>6620</v>
      </c>
    </row>
    <row r="1583" spans="1:14">
      <c r="A1583" s="694">
        <v>29</v>
      </c>
      <c r="B1583" s="100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4" t="s">
        <v>686</v>
      </c>
      <c r="L1583" s="125" t="s">
        <v>15</v>
      </c>
      <c r="M1583" s="1011">
        <v>250000</v>
      </c>
      <c r="N1583" s="646" t="s">
        <v>6737</v>
      </c>
    </row>
    <row r="1584" spans="1:14">
      <c r="A1584" s="694">
        <v>29</v>
      </c>
      <c r="B1584" s="100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6"/>
      <c r="L1584" s="125" t="s">
        <v>15</v>
      </c>
      <c r="M1584" s="1012"/>
      <c r="N1584" s="646" t="s">
        <v>6621</v>
      </c>
    </row>
    <row r="1585" spans="1:14">
      <c r="A1585" s="694">
        <v>30</v>
      </c>
      <c r="B1585" s="836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6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7" t="s">
        <v>6721</v>
      </c>
    </row>
    <row r="1595" spans="1:14">
      <c r="A1595" s="694">
        <v>31</v>
      </c>
      <c r="B1595" s="83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2"/>
    </row>
    <row r="1596" spans="1:14">
      <c r="A1596" s="694">
        <v>31</v>
      </c>
      <c r="B1596" s="83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2"/>
    </row>
    <row r="1597" spans="1:14">
      <c r="A1597" s="694">
        <v>31</v>
      </c>
      <c r="B1597" s="836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2"/>
    </row>
    <row r="1598" spans="1:14">
      <c r="A1598" s="694">
        <v>31</v>
      </c>
      <c r="B1598" s="836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8"/>
    </row>
    <row r="1599" spans="1:14">
      <c r="A1599" s="694">
        <v>31</v>
      </c>
      <c r="B1599" s="83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6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6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6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6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6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6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6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6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6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6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6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6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6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6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6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6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6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6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6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6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6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6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6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6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6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6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6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6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6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6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6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6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6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6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6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6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6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7" t="s">
        <v>7021</v>
      </c>
    </row>
    <row r="1637" spans="1:14">
      <c r="A1637" s="811">
        <v>35</v>
      </c>
      <c r="B1637" s="836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8"/>
    </row>
    <row r="1638" spans="1:14">
      <c r="A1638" s="811">
        <v>35</v>
      </c>
      <c r="B1638" s="836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6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6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6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6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6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6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6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8">
        <v>36</v>
      </c>
      <c r="B1646" s="836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4" t="s">
        <v>7110</v>
      </c>
      <c r="H1646" s="814" t="s">
        <v>7111</v>
      </c>
      <c r="I1646" s="822" t="s">
        <v>3715</v>
      </c>
      <c r="J1646" s="633" t="s">
        <v>4918</v>
      </c>
      <c r="K1646" s="822" t="s">
        <v>3775</v>
      </c>
      <c r="L1646" s="703" t="s">
        <v>1356</v>
      </c>
      <c r="M1646" s="817">
        <f>250000</f>
        <v>250000</v>
      </c>
      <c r="N1646" s="646" t="s">
        <v>7136</v>
      </c>
    </row>
    <row r="1647" spans="1:14">
      <c r="A1647" s="1128">
        <v>36</v>
      </c>
      <c r="B1647" s="836"/>
      <c r="C1647" s="399" t="s">
        <v>7106</v>
      </c>
      <c r="D1647" s="726" t="s">
        <v>6707</v>
      </c>
      <c r="E1647" s="632" t="s">
        <v>25</v>
      </c>
      <c r="F1647" s="633" t="s">
        <v>5254</v>
      </c>
      <c r="G1647" s="814" t="s">
        <v>7110</v>
      </c>
      <c r="H1647" s="814" t="s">
        <v>7111</v>
      </c>
      <c r="I1647" s="822" t="s">
        <v>3715</v>
      </c>
      <c r="J1647" s="633" t="s">
        <v>4918</v>
      </c>
      <c r="K1647" s="822" t="s">
        <v>4944</v>
      </c>
      <c r="L1647" s="703" t="s">
        <v>1356</v>
      </c>
      <c r="M1647" s="817">
        <f>250000*3</f>
        <v>750000</v>
      </c>
      <c r="N1647" s="646"/>
    </row>
    <row r="1648" spans="1:14" ht="27">
      <c r="A1648" s="1128">
        <v>36</v>
      </c>
      <c r="B1648" s="836"/>
      <c r="C1648" s="399" t="s">
        <v>7115</v>
      </c>
      <c r="D1648" s="726" t="s">
        <v>6707</v>
      </c>
      <c r="E1648" s="632" t="s">
        <v>25</v>
      </c>
      <c r="F1648" s="633" t="s">
        <v>5254</v>
      </c>
      <c r="G1648" s="814" t="s">
        <v>7110</v>
      </c>
      <c r="H1648" s="814" t="s">
        <v>3758</v>
      </c>
      <c r="I1648" s="822" t="s">
        <v>3715</v>
      </c>
      <c r="J1648" s="633" t="s">
        <v>4918</v>
      </c>
      <c r="K1648" s="822" t="s">
        <v>3702</v>
      </c>
      <c r="L1648" s="703" t="s">
        <v>1356</v>
      </c>
      <c r="M1648" s="817">
        <f>250000*2</f>
        <v>500000</v>
      </c>
      <c r="N1648" s="646"/>
    </row>
    <row r="1649" spans="1:14">
      <c r="A1649" s="1128">
        <v>36</v>
      </c>
      <c r="B1649" s="836"/>
      <c r="C1649" s="399" t="s">
        <v>7125</v>
      </c>
      <c r="D1649" s="726" t="s">
        <v>6707</v>
      </c>
      <c r="E1649" s="632" t="s">
        <v>25</v>
      </c>
      <c r="F1649" s="633" t="s">
        <v>5254</v>
      </c>
      <c r="G1649" s="814">
        <v>7065</v>
      </c>
      <c r="H1649" s="814" t="s">
        <v>6889</v>
      </c>
      <c r="I1649" s="822" t="s">
        <v>3743</v>
      </c>
      <c r="J1649" s="633" t="s">
        <v>3748</v>
      </c>
      <c r="K1649" s="822" t="s">
        <v>7124</v>
      </c>
      <c r="L1649" s="703" t="s">
        <v>1356</v>
      </c>
      <c r="M1649" s="817">
        <f>250000*2</f>
        <v>500000</v>
      </c>
      <c r="N1649" s="646"/>
    </row>
    <row r="1650" spans="1:14">
      <c r="A1650" s="1128">
        <v>36</v>
      </c>
      <c r="B1650" s="836"/>
      <c r="C1650" s="399" t="s">
        <v>7126</v>
      </c>
      <c r="D1650" s="726" t="s">
        <v>6707</v>
      </c>
      <c r="E1650" s="632" t="s">
        <v>25</v>
      </c>
      <c r="F1650" s="633" t="s">
        <v>5254</v>
      </c>
      <c r="G1650" s="814">
        <v>7065</v>
      </c>
      <c r="H1650" s="814" t="s">
        <v>7019</v>
      </c>
      <c r="I1650" s="822" t="s">
        <v>3743</v>
      </c>
      <c r="J1650" s="633" t="s">
        <v>3748</v>
      </c>
      <c r="K1650" s="822" t="s">
        <v>7128</v>
      </c>
      <c r="L1650" s="703" t="s">
        <v>1356</v>
      </c>
      <c r="M1650" s="817">
        <f>250000*3</f>
        <v>750000</v>
      </c>
      <c r="N1650" s="646"/>
    </row>
    <row r="1651" spans="1:14">
      <c r="A1651" s="1128">
        <v>36</v>
      </c>
      <c r="B1651" s="836"/>
      <c r="C1651" s="399" t="s">
        <v>7134</v>
      </c>
      <c r="D1651" s="726" t="s">
        <v>6707</v>
      </c>
      <c r="E1651" s="632" t="s">
        <v>25</v>
      </c>
      <c r="F1651" s="633" t="s">
        <v>5254</v>
      </c>
      <c r="G1651" s="814" t="s">
        <v>6448</v>
      </c>
      <c r="H1651" s="814" t="s">
        <v>7130</v>
      </c>
      <c r="I1651" s="822" t="s">
        <v>7131</v>
      </c>
      <c r="J1651" s="633" t="s">
        <v>3748</v>
      </c>
      <c r="K1651" s="822" t="s">
        <v>3716</v>
      </c>
      <c r="L1651" s="703" t="s">
        <v>1356</v>
      </c>
      <c r="M1651" s="817">
        <f>250000*4</f>
        <v>1000000</v>
      </c>
      <c r="N1651" s="646"/>
    </row>
    <row r="1652" spans="1:14" ht="21">
      <c r="A1652" s="1128">
        <v>36</v>
      </c>
      <c r="B1652" s="836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7097</v>
      </c>
      <c r="J1652" s="454"/>
      <c r="K1652" s="813" t="s">
        <v>641</v>
      </c>
      <c r="L1652" s="125" t="s">
        <v>15</v>
      </c>
      <c r="M1652" s="757">
        <v>500000</v>
      </c>
      <c r="N1652" s="825" t="s">
        <v>7098</v>
      </c>
    </row>
    <row r="1653" spans="1:14">
      <c r="A1653" s="1128">
        <v>36</v>
      </c>
      <c r="B1653" s="836"/>
      <c r="C1653" s="399">
        <v>46272</v>
      </c>
      <c r="D1653" s="4" t="s">
        <v>21</v>
      </c>
      <c r="E1653" s="4" t="s">
        <v>14</v>
      </c>
      <c r="F1653" s="813" t="s">
        <v>140</v>
      </c>
      <c r="G1653" s="813" t="s">
        <v>2959</v>
      </c>
      <c r="H1653" s="16" t="s">
        <v>143</v>
      </c>
      <c r="I1653" s="823" t="s">
        <v>6949</v>
      </c>
      <c r="J1653" s="813" t="s">
        <v>90</v>
      </c>
      <c r="K1653" s="813" t="s">
        <v>3708</v>
      </c>
      <c r="L1653" s="125" t="s">
        <v>15</v>
      </c>
      <c r="M1653" s="757">
        <v>250000</v>
      </c>
      <c r="N1653" s="812" t="s">
        <v>5969</v>
      </c>
    </row>
    <row r="1654" spans="1:14">
      <c r="A1654" s="1128">
        <v>36</v>
      </c>
      <c r="B1654" s="836"/>
      <c r="C1654" s="399">
        <v>46273</v>
      </c>
      <c r="D1654" s="4" t="s">
        <v>21</v>
      </c>
      <c r="E1654" s="4" t="s">
        <v>14</v>
      </c>
      <c r="F1654" s="813" t="s">
        <v>140</v>
      </c>
      <c r="G1654" s="813" t="s">
        <v>2959</v>
      </c>
      <c r="H1654" s="16" t="s">
        <v>143</v>
      </c>
      <c r="I1654" s="823" t="s">
        <v>6949</v>
      </c>
      <c r="J1654" s="813" t="s">
        <v>90</v>
      </c>
      <c r="K1654" s="1024" t="s">
        <v>3708</v>
      </c>
      <c r="L1654" s="125" t="s">
        <v>15</v>
      </c>
      <c r="M1654" s="1011">
        <v>250000</v>
      </c>
      <c r="N1654" s="646" t="s">
        <v>5969</v>
      </c>
    </row>
    <row r="1655" spans="1:14">
      <c r="A1655" s="1128">
        <v>36</v>
      </c>
      <c r="B1655" s="836"/>
      <c r="C1655" s="399">
        <v>46273</v>
      </c>
      <c r="D1655" s="4" t="s">
        <v>21</v>
      </c>
      <c r="E1655" s="4" t="s">
        <v>14</v>
      </c>
      <c r="F1655" s="813" t="s">
        <v>107</v>
      </c>
      <c r="G1655" s="813" t="s">
        <v>2959</v>
      </c>
      <c r="H1655" s="16" t="s">
        <v>3742</v>
      </c>
      <c r="I1655" s="823" t="s">
        <v>7055</v>
      </c>
      <c r="J1655" s="813" t="s">
        <v>90</v>
      </c>
      <c r="K1655" s="1026"/>
      <c r="L1655" s="125" t="s">
        <v>15</v>
      </c>
      <c r="M1655" s="1012"/>
      <c r="N1655" s="646" t="s">
        <v>3779</v>
      </c>
    </row>
    <row r="1656" spans="1:14">
      <c r="A1656" s="1128">
        <v>36</v>
      </c>
      <c r="B1656" s="836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3" t="s">
        <v>7048</v>
      </c>
      <c r="J1656" s="813" t="s">
        <v>7049</v>
      </c>
      <c r="K1656" s="823" t="s">
        <v>2828</v>
      </c>
      <c r="L1656" s="125" t="s">
        <v>1356</v>
      </c>
      <c r="M1656" s="757">
        <v>250000</v>
      </c>
      <c r="N1656" s="646" t="s">
        <v>7101</v>
      </c>
    </row>
    <row r="1657" spans="1:14">
      <c r="A1657" s="1128">
        <v>36</v>
      </c>
      <c r="B1657" s="836"/>
      <c r="C1657" s="399">
        <v>46274</v>
      </c>
      <c r="D1657" s="4" t="s">
        <v>21</v>
      </c>
      <c r="E1657" s="4" t="s">
        <v>14</v>
      </c>
      <c r="F1657" s="813" t="s">
        <v>107</v>
      </c>
      <c r="G1657" s="813" t="s">
        <v>2959</v>
      </c>
      <c r="H1657" s="16" t="s">
        <v>3742</v>
      </c>
      <c r="I1657" s="823" t="s">
        <v>7054</v>
      </c>
      <c r="J1657" s="813" t="s">
        <v>90</v>
      </c>
      <c r="K1657" s="1024" t="s">
        <v>3708</v>
      </c>
      <c r="L1657" s="125" t="s">
        <v>15</v>
      </c>
      <c r="M1657" s="1011">
        <v>250000</v>
      </c>
      <c r="N1657" s="646" t="s">
        <v>3779</v>
      </c>
    </row>
    <row r="1658" spans="1:14">
      <c r="A1658" s="1128">
        <v>36</v>
      </c>
      <c r="B1658" s="836"/>
      <c r="C1658" s="399">
        <v>46274</v>
      </c>
      <c r="D1658" s="4" t="s">
        <v>21</v>
      </c>
      <c r="E1658" s="4" t="s">
        <v>14</v>
      </c>
      <c r="F1658" s="813" t="s">
        <v>107</v>
      </c>
      <c r="G1658" s="813" t="s">
        <v>2959</v>
      </c>
      <c r="H1658" s="16" t="s">
        <v>3728</v>
      </c>
      <c r="I1658" s="823" t="s">
        <v>7092</v>
      </c>
      <c r="J1658" s="813" t="s">
        <v>90</v>
      </c>
      <c r="K1658" s="1026"/>
      <c r="L1658" s="125" t="s">
        <v>15</v>
      </c>
      <c r="M1658" s="1012"/>
      <c r="N1658" s="646" t="s">
        <v>3779</v>
      </c>
    </row>
    <row r="1659" spans="1:14">
      <c r="A1659" s="1128">
        <v>36</v>
      </c>
      <c r="B1659" s="836"/>
      <c r="C1659" s="399">
        <v>46276</v>
      </c>
      <c r="D1659" s="4" t="s">
        <v>21</v>
      </c>
      <c r="E1659" s="4" t="s">
        <v>14</v>
      </c>
      <c r="F1659" s="813" t="s">
        <v>1787</v>
      </c>
      <c r="G1659" s="813" t="s">
        <v>2978</v>
      </c>
      <c r="H1659" s="16" t="s">
        <v>23</v>
      </c>
      <c r="I1659" s="823" t="s">
        <v>7088</v>
      </c>
      <c r="J1659" s="813"/>
      <c r="K1659" s="813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5" t="s">
        <v>4857</v>
      </c>
      <c r="D10" s="1035"/>
    </row>
    <row r="11" spans="1:4">
      <c r="A11" s="589" t="s">
        <v>4858</v>
      </c>
      <c r="B11" s="589">
        <v>5</v>
      </c>
      <c r="C11" s="1036">
        <f>'사전품의양식 (12)'!L10</f>
        <v>3750000</v>
      </c>
      <c r="D11" s="1036"/>
    </row>
    <row r="12" spans="1:4">
      <c r="A12" s="589" t="s">
        <v>4859</v>
      </c>
      <c r="B12" s="589">
        <v>7</v>
      </c>
      <c r="C12" s="1036">
        <f>'사전품의양식 (12)'!L19</f>
        <v>2000000</v>
      </c>
      <c r="D12" s="1036"/>
    </row>
    <row r="13" spans="1:4">
      <c r="A13" s="591" t="s">
        <v>53</v>
      </c>
      <c r="B13" s="591">
        <f>SUM(B11:B12)</f>
        <v>12</v>
      </c>
      <c r="C13" s="1037">
        <f>SUM(C11:C12)</f>
        <v>5750000</v>
      </c>
      <c r="D13" s="103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8" t="s">
        <v>4872</v>
      </c>
      <c r="D24" s="1039"/>
      <c r="E24" s="667"/>
    </row>
    <row r="25" spans="1:5">
      <c r="A25" s="589" t="s">
        <v>4873</v>
      </c>
      <c r="B25" s="589" t="s">
        <v>4874</v>
      </c>
      <c r="C25" s="1033" t="s">
        <v>4875</v>
      </c>
      <c r="D25" s="1034"/>
      <c r="E25" s="667"/>
    </row>
    <row r="26" spans="1:5">
      <c r="A26" s="794" t="s">
        <v>7025</v>
      </c>
      <c r="B26" s="794" t="s">
        <v>7026</v>
      </c>
      <c r="C26" s="1033" t="s">
        <v>7027</v>
      </c>
      <c r="D26" s="1034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0" t="s">
        <v>7105</v>
      </c>
      <c r="B2" s="1040" t="s">
        <v>1</v>
      </c>
      <c r="C2" s="1040" t="s">
        <v>2</v>
      </c>
      <c r="D2" s="1040" t="s">
        <v>3</v>
      </c>
      <c r="E2" s="782" t="s">
        <v>2623</v>
      </c>
      <c r="F2" s="1040" t="s">
        <v>5</v>
      </c>
      <c r="G2" s="1040" t="s">
        <v>6</v>
      </c>
      <c r="H2" s="1040" t="s">
        <v>2624</v>
      </c>
      <c r="I2" s="1040" t="s">
        <v>55</v>
      </c>
      <c r="J2" s="1040" t="s">
        <v>9</v>
      </c>
      <c r="K2" s="1041" t="s">
        <v>56</v>
      </c>
      <c r="L2" s="1040" t="s">
        <v>57</v>
      </c>
      <c r="M2" s="1040" t="s">
        <v>58</v>
      </c>
    </row>
    <row r="3" spans="1:13">
      <c r="A3" s="1040"/>
      <c r="B3" s="1040"/>
      <c r="C3" s="1040"/>
      <c r="D3" s="1040"/>
      <c r="E3" s="782" t="s">
        <v>1724</v>
      </c>
      <c r="F3" s="1040"/>
      <c r="G3" s="1040"/>
      <c r="H3" s="1040"/>
      <c r="I3" s="1040"/>
      <c r="J3" s="1040"/>
      <c r="K3" s="1041"/>
      <c r="L3" s="1040"/>
      <c r="M3" s="1040"/>
    </row>
    <row r="4" spans="1:13" s="685" customFormat="1" ht="17.100000000000001" customHeight="1">
      <c r="A4" s="836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36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6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6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6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6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6"/>
      <c r="B10" s="836" t="s">
        <v>1136</v>
      </c>
      <c r="C10" s="836"/>
      <c r="D10" s="836"/>
      <c r="E10" s="836"/>
      <c r="F10" s="836"/>
      <c r="G10" s="836"/>
      <c r="H10" s="836"/>
      <c r="I10" s="836"/>
      <c r="J10" s="836"/>
      <c r="K10" s="836"/>
      <c r="L10" s="729">
        <f>SUM(L4:L9)</f>
        <v>3750000</v>
      </c>
      <c r="M10" s="646"/>
    </row>
    <row r="11" spans="1:13" ht="27" customHeight="1">
      <c r="A11" s="836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825" t="s">
        <v>7098</v>
      </c>
    </row>
    <row r="12" spans="1:13" ht="18" customHeight="1">
      <c r="A12" s="836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36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1024" t="s">
        <v>7083</v>
      </c>
      <c r="K13" s="125" t="s">
        <v>15</v>
      </c>
      <c r="L13" s="1011">
        <v>250000</v>
      </c>
      <c r="M13" s="646" t="s">
        <v>7099</v>
      </c>
    </row>
    <row r="14" spans="1:13" ht="13.5">
      <c r="A14" s="836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1026"/>
      <c r="K14" s="125" t="s">
        <v>15</v>
      </c>
      <c r="L14" s="1012"/>
      <c r="M14" s="646" t="s">
        <v>7100</v>
      </c>
    </row>
    <row r="15" spans="1:13" ht="13.5">
      <c r="A15" s="836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36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1024" t="s">
        <v>7056</v>
      </c>
      <c r="K16" s="125" t="s">
        <v>15</v>
      </c>
      <c r="L16" s="1011">
        <v>250000</v>
      </c>
      <c r="M16" s="646" t="s">
        <v>7102</v>
      </c>
    </row>
    <row r="17" spans="1:13" ht="13.5">
      <c r="A17" s="836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1026"/>
      <c r="K17" s="125" t="s">
        <v>15</v>
      </c>
      <c r="L17" s="1012"/>
      <c r="M17" s="646" t="s">
        <v>7103</v>
      </c>
    </row>
    <row r="18" spans="1:13" ht="13.5">
      <c r="A18" s="836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36"/>
      <c r="B19" s="836" t="s">
        <v>4879</v>
      </c>
      <c r="C19" s="836"/>
      <c r="D19" s="836"/>
      <c r="E19" s="836"/>
      <c r="F19" s="836"/>
      <c r="G19" s="836"/>
      <c r="H19" s="836"/>
      <c r="I19" s="836"/>
      <c r="J19" s="836"/>
      <c r="K19" s="836"/>
      <c r="L19" s="729">
        <f>SUM(L11:L18)</f>
        <v>2000000</v>
      </c>
      <c r="M19" s="646"/>
    </row>
    <row r="20" spans="1:13" ht="25.5" customHeight="1">
      <c r="A20" s="1042" t="s">
        <v>62</v>
      </c>
      <c r="B20" s="1042"/>
      <c r="C20" s="1042"/>
      <c r="D20" s="1042"/>
      <c r="E20" s="1042"/>
      <c r="F20" s="1042"/>
      <c r="G20" s="1042"/>
      <c r="H20" s="1042"/>
      <c r="I20" s="1042"/>
      <c r="J20" s="1042"/>
      <c r="K20" s="1042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4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824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3" t="s">
        <v>53</v>
      </c>
      <c r="B21" s="843"/>
      <c r="C21" s="843"/>
      <c r="D21" s="843"/>
      <c r="E21" s="843"/>
      <c r="F21" s="843"/>
      <c r="G21" s="843"/>
      <c r="H21" s="843"/>
      <c r="I21" s="84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3" t="s">
        <v>53</v>
      </c>
      <c r="B26" s="1064"/>
      <c r="C26" s="1064"/>
      <c r="D26" s="1064"/>
      <c r="E26" s="1064"/>
      <c r="F26" s="1064"/>
      <c r="G26" s="1064"/>
      <c r="H26" s="1064"/>
      <c r="I26" s="106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3" t="s">
        <v>53</v>
      </c>
      <c r="B35" s="1064"/>
      <c r="C35" s="1064"/>
      <c r="D35" s="1064"/>
      <c r="E35" s="1064"/>
      <c r="F35" s="1064"/>
      <c r="G35" s="1064"/>
      <c r="H35" s="1064"/>
      <c r="I35" s="106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3" t="s">
        <v>53</v>
      </c>
      <c r="B42" s="1064"/>
      <c r="C42" s="1064"/>
      <c r="D42" s="1064"/>
      <c r="E42" s="1064"/>
      <c r="F42" s="1064"/>
      <c r="G42" s="1064"/>
      <c r="H42" s="1064"/>
      <c r="I42" s="106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3" t="s">
        <v>53</v>
      </c>
      <c r="B48" s="1064"/>
      <c r="C48" s="1064"/>
      <c r="D48" s="1064"/>
      <c r="E48" s="1064"/>
      <c r="F48" s="1064"/>
      <c r="G48" s="1064"/>
      <c r="H48" s="1064"/>
      <c r="I48" s="106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3" t="s">
        <v>53</v>
      </c>
      <c r="B54" s="1064"/>
      <c r="C54" s="1064"/>
      <c r="D54" s="1064"/>
      <c r="E54" s="1064"/>
      <c r="F54" s="1064"/>
      <c r="G54" s="1064"/>
      <c r="H54" s="1064"/>
      <c r="I54" s="106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8"/>
      <c r="B61" s="10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8"/>
      <c r="B62" s="10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8"/>
      <c r="B63" s="10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3" t="s">
        <v>53</v>
      </c>
      <c r="B64" s="1064"/>
      <c r="C64" s="1064"/>
      <c r="D64" s="1064"/>
      <c r="E64" s="1064"/>
      <c r="F64" s="1064"/>
      <c r="G64" s="1064"/>
      <c r="H64" s="1064"/>
      <c r="I64" s="106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3" t="s">
        <v>53</v>
      </c>
      <c r="B70" s="1064"/>
      <c r="C70" s="1064"/>
      <c r="D70" s="1064"/>
      <c r="E70" s="1064"/>
      <c r="F70" s="1064"/>
      <c r="G70" s="1064"/>
      <c r="H70" s="1064"/>
      <c r="I70" s="106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3" t="s">
        <v>53</v>
      </c>
      <c r="B78" s="843"/>
      <c r="C78" s="843"/>
      <c r="D78" s="843"/>
      <c r="E78" s="843"/>
      <c r="F78" s="843"/>
      <c r="G78" s="843"/>
      <c r="H78" s="843"/>
      <c r="I78" s="84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3" t="s">
        <v>53</v>
      </c>
      <c r="B86" s="1064"/>
      <c r="C86" s="1064"/>
      <c r="D86" s="1064"/>
      <c r="E86" s="1064"/>
      <c r="F86" s="1064"/>
      <c r="G86" s="1064"/>
      <c r="H86" s="1064"/>
      <c r="I86" s="106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3" t="s">
        <v>53</v>
      </c>
      <c r="B92" s="1064"/>
      <c r="C92" s="1064"/>
      <c r="D92" s="1064"/>
      <c r="E92" s="1064"/>
      <c r="F92" s="1064"/>
      <c r="G92" s="1064"/>
      <c r="H92" s="1064"/>
      <c r="I92" s="106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3" t="s">
        <v>53</v>
      </c>
      <c r="B101" s="1064"/>
      <c r="C101" s="1064"/>
      <c r="D101" s="1064"/>
      <c r="E101" s="1064"/>
      <c r="F101" s="1064"/>
      <c r="G101" s="1064"/>
      <c r="H101" s="1064"/>
      <c r="I101" s="106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8"/>
      <c r="B107" s="108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8"/>
      <c r="B108" s="108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3" t="s">
        <v>53</v>
      </c>
      <c r="B112" s="843"/>
      <c r="C112" s="843"/>
      <c r="D112" s="843"/>
      <c r="E112" s="843"/>
      <c r="F112" s="843"/>
      <c r="G112" s="843"/>
      <c r="H112" s="843"/>
      <c r="I112" s="84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0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1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3" t="s">
        <v>53</v>
      </c>
      <c r="B121" s="843"/>
      <c r="C121" s="843"/>
      <c r="D121" s="843"/>
      <c r="E121" s="843"/>
      <c r="F121" s="843"/>
      <c r="G121" s="843"/>
      <c r="H121" s="843"/>
      <c r="I121" s="84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1"/>
      <c r="B129" s="10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7" t="s">
        <v>90</v>
      </c>
      <c r="J129" s="1080">
        <v>2</v>
      </c>
      <c r="K129" s="25" t="s">
        <v>52</v>
      </c>
      <c r="L129" s="25" t="s">
        <v>51</v>
      </c>
    </row>
    <row r="130" spans="1:12">
      <c r="A130" s="861"/>
      <c r="B130" s="10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7"/>
      <c r="J130" s="1082"/>
      <c r="K130" s="25" t="s">
        <v>52</v>
      </c>
      <c r="L130" s="25" t="s">
        <v>51</v>
      </c>
    </row>
    <row r="131" spans="1:12">
      <c r="A131" s="86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1"/>
      <c r="B133" s="8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6" t="s">
        <v>1277</v>
      </c>
      <c r="J133" s="1080">
        <v>1</v>
      </c>
      <c r="K133" s="25" t="s">
        <v>52</v>
      </c>
      <c r="L133" s="25" t="s">
        <v>51</v>
      </c>
    </row>
    <row r="134" spans="1:12">
      <c r="A134" s="861"/>
      <c r="B134" s="89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6"/>
      <c r="J134" s="1082"/>
      <c r="K134" s="25" t="s">
        <v>52</v>
      </c>
      <c r="L134" s="25" t="s">
        <v>51</v>
      </c>
    </row>
    <row r="135" spans="1:12">
      <c r="A135" s="86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3" t="s">
        <v>53</v>
      </c>
      <c r="B137" s="843"/>
      <c r="C137" s="843"/>
      <c r="D137" s="843"/>
      <c r="E137" s="843"/>
      <c r="F137" s="843"/>
      <c r="G137" s="843"/>
      <c r="H137" s="843"/>
      <c r="I137" s="84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1" t="s">
        <v>1007</v>
      </c>
      <c r="B142" s="8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1"/>
      <c r="B143" s="89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3" t="s">
        <v>53</v>
      </c>
      <c r="B145" s="843"/>
      <c r="C145" s="843"/>
      <c r="D145" s="843"/>
      <c r="E145" s="843"/>
      <c r="F145" s="843"/>
      <c r="G145" s="843"/>
      <c r="H145" s="843"/>
      <c r="I145" s="84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2" t="s">
        <v>53</v>
      </c>
      <c r="B154" s="1022"/>
      <c r="C154" s="1022"/>
      <c r="D154" s="1022"/>
      <c r="E154" s="1022"/>
      <c r="F154" s="1022"/>
      <c r="G154" s="1022"/>
      <c r="H154" s="1022"/>
      <c r="I154" s="102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3" t="s">
        <v>53</v>
      </c>
      <c r="B163" s="843"/>
      <c r="C163" s="843"/>
      <c r="D163" s="843"/>
      <c r="E163" s="843"/>
      <c r="F163" s="843"/>
      <c r="G163" s="843"/>
      <c r="H163" s="843"/>
      <c r="I163" s="84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2" t="s">
        <v>53</v>
      </c>
      <c r="B167" s="1022"/>
      <c r="C167" s="1022"/>
      <c r="D167" s="1022"/>
      <c r="E167" s="1022"/>
      <c r="F167" s="1022"/>
      <c r="G167" s="1022"/>
      <c r="H167" s="1022"/>
      <c r="I167" s="102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3" t="s">
        <v>53</v>
      </c>
      <c r="B183" s="843"/>
      <c r="C183" s="843"/>
      <c r="D183" s="843"/>
      <c r="E183" s="843"/>
      <c r="F183" s="843"/>
      <c r="G183" s="843"/>
      <c r="H183" s="843"/>
      <c r="I183" s="84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6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7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7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7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3" t="s">
        <v>53</v>
      </c>
      <c r="B193" s="843"/>
      <c r="C193" s="843"/>
      <c r="D193" s="843"/>
      <c r="E193" s="843"/>
      <c r="F193" s="843"/>
      <c r="G193" s="843"/>
      <c r="H193" s="843"/>
      <c r="I193" s="84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2" t="s">
        <v>53</v>
      </c>
      <c r="B203" s="1022"/>
      <c r="C203" s="1022"/>
      <c r="D203" s="1022"/>
      <c r="E203" s="1022"/>
      <c r="F203" s="1022"/>
      <c r="G203" s="1022"/>
      <c r="H203" s="1022"/>
      <c r="I203" s="102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2" t="s">
        <v>53</v>
      </c>
      <c r="B214" s="1022"/>
      <c r="C214" s="1022"/>
      <c r="D214" s="1022"/>
      <c r="E214" s="1022"/>
      <c r="F214" s="1022"/>
      <c r="G214" s="1022"/>
      <c r="H214" s="1022"/>
      <c r="I214" s="102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2" t="s">
        <v>1458</v>
      </c>
      <c r="B226" s="1022"/>
      <c r="C226" s="1022"/>
      <c r="D226" s="1022"/>
      <c r="E226" s="1022"/>
      <c r="F226" s="1022"/>
      <c r="G226" s="1022"/>
      <c r="H226" s="1022"/>
      <c r="I226" s="102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2" t="s">
        <v>1499</v>
      </c>
      <c r="B236" s="1022"/>
      <c r="C236" s="1022"/>
      <c r="D236" s="1022"/>
      <c r="E236" s="1022"/>
      <c r="F236" s="1022"/>
      <c r="G236" s="1022"/>
      <c r="H236" s="1022"/>
      <c r="I236" s="102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3" t="s">
        <v>53</v>
      </c>
      <c r="B244" s="1064"/>
      <c r="C244" s="1064"/>
      <c r="D244" s="1064"/>
      <c r="E244" s="1064"/>
      <c r="F244" s="1064"/>
      <c r="G244" s="1064"/>
      <c r="H244" s="1064"/>
      <c r="I244" s="106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3" t="s">
        <v>53</v>
      </c>
      <c r="B250" s="1064"/>
      <c r="C250" s="1064"/>
      <c r="D250" s="1064"/>
      <c r="E250" s="1064"/>
      <c r="F250" s="1064"/>
      <c r="G250" s="1064"/>
      <c r="H250" s="1064"/>
      <c r="I250" s="106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3" t="s">
        <v>53</v>
      </c>
      <c r="B257" s="1064"/>
      <c r="C257" s="1064"/>
      <c r="D257" s="1064"/>
      <c r="E257" s="1064"/>
      <c r="F257" s="1064"/>
      <c r="G257" s="1064"/>
      <c r="H257" s="1064"/>
      <c r="I257" s="106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3" t="s">
        <v>53</v>
      </c>
      <c r="B262" s="1064"/>
      <c r="C262" s="1064"/>
      <c r="D262" s="1064"/>
      <c r="E262" s="1064"/>
      <c r="F262" s="1064"/>
      <c r="G262" s="1064"/>
      <c r="H262" s="1064"/>
      <c r="I262" s="106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3" t="s">
        <v>53</v>
      </c>
      <c r="B271" s="1064"/>
      <c r="C271" s="1064"/>
      <c r="D271" s="1064"/>
      <c r="E271" s="1064"/>
      <c r="F271" s="1064"/>
      <c r="G271" s="1064"/>
      <c r="H271" s="1064"/>
      <c r="I271" s="106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3" t="s">
        <v>53</v>
      </c>
      <c r="B275" s="1064"/>
      <c r="C275" s="1064"/>
      <c r="D275" s="1064"/>
      <c r="E275" s="1064"/>
      <c r="F275" s="1064"/>
      <c r="G275" s="1064"/>
      <c r="H275" s="1064"/>
      <c r="I275" s="106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3" t="s">
        <v>1646</v>
      </c>
      <c r="B296" s="1064"/>
      <c r="C296" s="1064"/>
      <c r="D296" s="1064"/>
      <c r="E296" s="1064"/>
      <c r="F296" s="1064"/>
      <c r="G296" s="1064"/>
      <c r="H296" s="1064"/>
      <c r="I296" s="106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2" t="s">
        <v>1659</v>
      </c>
      <c r="B305" s="1022"/>
      <c r="C305" s="1022"/>
      <c r="D305" s="1022"/>
      <c r="E305" s="1022"/>
      <c r="F305" s="1022"/>
      <c r="G305" s="1022"/>
      <c r="H305" s="1022"/>
      <c r="I305" s="102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2" t="s">
        <v>53</v>
      </c>
      <c r="B309" s="1022"/>
      <c r="C309" s="1022"/>
      <c r="D309" s="1022"/>
      <c r="E309" s="1022"/>
      <c r="F309" s="1022"/>
      <c r="G309" s="1022"/>
      <c r="H309" s="1022"/>
      <c r="I309" s="102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2" t="s">
        <v>1659</v>
      </c>
      <c r="B314" s="1022"/>
      <c r="C314" s="1022"/>
      <c r="D314" s="1022"/>
      <c r="E314" s="1022"/>
      <c r="F314" s="1022"/>
      <c r="G314" s="1022"/>
      <c r="H314" s="1022"/>
      <c r="I314" s="102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2" t="s">
        <v>1659</v>
      </c>
      <c r="B321" s="1022"/>
      <c r="C321" s="1022"/>
      <c r="D321" s="1022"/>
      <c r="E321" s="1022"/>
      <c r="F321" s="1022"/>
      <c r="G321" s="1022"/>
      <c r="H321" s="1022"/>
      <c r="I321" s="102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2" t="s">
        <v>1659</v>
      </c>
      <c r="B330" s="1022"/>
      <c r="C330" s="1022"/>
      <c r="D330" s="1022"/>
      <c r="E330" s="1022"/>
      <c r="F330" s="1022"/>
      <c r="G330" s="1022"/>
      <c r="H330" s="1022"/>
      <c r="I330" s="102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2" t="s">
        <v>1659</v>
      </c>
      <c r="B338" s="1022"/>
      <c r="C338" s="1022"/>
      <c r="D338" s="1022"/>
      <c r="E338" s="1022"/>
      <c r="F338" s="1022"/>
      <c r="G338" s="1022"/>
      <c r="H338" s="1022"/>
      <c r="I338" s="102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1" t="s">
        <v>1521</v>
      </c>
      <c r="B343" s="128" t="s">
        <v>1531</v>
      </c>
      <c r="C343" s="903" t="s">
        <v>306</v>
      </c>
      <c r="D343" s="903" t="s">
        <v>322</v>
      </c>
      <c r="E343" s="885" t="s">
        <v>307</v>
      </c>
      <c r="F343" s="1070">
        <v>4266</v>
      </c>
      <c r="G343" s="903" t="s">
        <v>640</v>
      </c>
      <c r="H343" s="1070" t="s">
        <v>1533</v>
      </c>
      <c r="I343" s="903" t="s">
        <v>1534</v>
      </c>
      <c r="J343" s="885">
        <v>2</v>
      </c>
      <c r="K343" s="1068" t="s">
        <v>50</v>
      </c>
      <c r="L343" s="1068" t="s">
        <v>51</v>
      </c>
    </row>
    <row r="344" spans="1:13">
      <c r="A344" s="1072"/>
      <c r="B344" s="129" t="s">
        <v>1532</v>
      </c>
      <c r="C344" s="886"/>
      <c r="D344" s="886"/>
      <c r="E344" s="886"/>
      <c r="F344" s="891"/>
      <c r="G344" s="886"/>
      <c r="H344" s="891"/>
      <c r="I344" s="886"/>
      <c r="J344" s="886"/>
      <c r="K344" s="1069"/>
      <c r="L344" s="1069"/>
    </row>
    <row r="345" spans="1:13">
      <c r="A345" s="1072"/>
      <c r="B345" s="128" t="s">
        <v>1536</v>
      </c>
      <c r="C345" s="885" t="s">
        <v>306</v>
      </c>
      <c r="D345" s="885" t="s">
        <v>322</v>
      </c>
      <c r="E345" s="885" t="s">
        <v>307</v>
      </c>
      <c r="F345" s="890">
        <v>3306</v>
      </c>
      <c r="G345" s="885" t="s">
        <v>1153</v>
      </c>
      <c r="H345" s="890" t="s">
        <v>1538</v>
      </c>
      <c r="I345" s="885" t="s">
        <v>1534</v>
      </c>
      <c r="J345" s="885">
        <v>2</v>
      </c>
      <c r="K345" s="1068" t="s">
        <v>50</v>
      </c>
      <c r="L345" s="1068" t="s">
        <v>51</v>
      </c>
    </row>
    <row r="346" spans="1:13">
      <c r="A346" s="1073"/>
      <c r="B346" s="129" t="s">
        <v>1537</v>
      </c>
      <c r="C346" s="886"/>
      <c r="D346" s="886"/>
      <c r="E346" s="886"/>
      <c r="F346" s="891"/>
      <c r="G346" s="886"/>
      <c r="H346" s="891"/>
      <c r="I346" s="886"/>
      <c r="J346" s="886"/>
      <c r="K346" s="1069"/>
      <c r="L346" s="1069"/>
    </row>
    <row r="347" spans="1:13">
      <c r="A347" s="1063" t="s">
        <v>53</v>
      </c>
      <c r="B347" s="1064"/>
      <c r="C347" s="1064"/>
      <c r="D347" s="1064"/>
      <c r="E347" s="1064"/>
      <c r="F347" s="1064"/>
      <c r="G347" s="1064"/>
      <c r="H347" s="1064"/>
      <c r="I347" s="106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3" t="s">
        <v>53</v>
      </c>
      <c r="B357" s="843"/>
      <c r="C357" s="843"/>
      <c r="D357" s="843"/>
      <c r="E357" s="843"/>
      <c r="F357" s="843"/>
      <c r="G357" s="843"/>
      <c r="H357" s="843"/>
      <c r="I357" s="84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2" t="s">
        <v>1458</v>
      </c>
      <c r="B361" s="1022"/>
      <c r="C361" s="1022"/>
      <c r="D361" s="1022"/>
      <c r="E361" s="1022"/>
      <c r="F361" s="1022"/>
      <c r="G361" s="1022"/>
      <c r="H361" s="1022"/>
      <c r="I361" s="102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2" t="s">
        <v>1659</v>
      </c>
      <c r="B370" s="1022"/>
      <c r="C370" s="1022"/>
      <c r="D370" s="1022"/>
      <c r="E370" s="1022"/>
      <c r="F370" s="1022"/>
      <c r="G370" s="1022"/>
      <c r="H370" s="1022"/>
      <c r="I370" s="102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3" t="s">
        <v>1646</v>
      </c>
      <c r="B378" s="843"/>
      <c r="C378" s="843"/>
      <c r="D378" s="843"/>
      <c r="E378" s="843"/>
      <c r="F378" s="843"/>
      <c r="G378" s="843"/>
      <c r="H378" s="843"/>
      <c r="I378" s="843"/>
      <c r="J378" s="843"/>
      <c r="K378" s="4">
        <v>25</v>
      </c>
      <c r="L378" s="55"/>
    </row>
    <row r="381" spans="1:12">
      <c r="B381" s="1091" t="s">
        <v>1</v>
      </c>
      <c r="C381" s="1091" t="s">
        <v>2</v>
      </c>
      <c r="D381" s="1091" t="s">
        <v>3</v>
      </c>
      <c r="E381" s="36" t="s">
        <v>54</v>
      </c>
      <c r="F381" s="1091" t="s">
        <v>5</v>
      </c>
      <c r="G381" s="1091" t="s">
        <v>6</v>
      </c>
      <c r="H381" s="1091" t="s">
        <v>7</v>
      </c>
      <c r="I381" s="1091" t="s">
        <v>55</v>
      </c>
      <c r="J381" s="1091" t="s">
        <v>9</v>
      </c>
      <c r="K381" s="1093" t="s">
        <v>56</v>
      </c>
      <c r="L381" s="1091" t="s">
        <v>57</v>
      </c>
    </row>
    <row r="382" spans="1:12">
      <c r="B382" s="1092"/>
      <c r="C382" s="1092"/>
      <c r="D382" s="1092"/>
      <c r="E382" s="37" t="s">
        <v>59</v>
      </c>
      <c r="F382" s="1092"/>
      <c r="G382" s="1092"/>
      <c r="H382" s="1092"/>
      <c r="I382" s="1092"/>
      <c r="J382" s="1092"/>
      <c r="K382" s="1094"/>
      <c r="L382" s="109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2" t="s">
        <v>53</v>
      </c>
      <c r="B394" s="1022"/>
      <c r="C394" s="1022"/>
      <c r="D394" s="1022"/>
      <c r="E394" s="1022"/>
      <c r="F394" s="1022"/>
      <c r="G394" s="1022"/>
      <c r="H394" s="1022"/>
      <c r="I394" s="102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2" t="s">
        <v>53</v>
      </c>
      <c r="B401" s="1022"/>
      <c r="C401" s="1022"/>
      <c r="D401" s="1022"/>
      <c r="E401" s="1022"/>
      <c r="F401" s="1022"/>
      <c r="G401" s="1022"/>
      <c r="H401" s="1022"/>
      <c r="I401" s="102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2" t="s">
        <v>229</v>
      </c>
      <c r="B405" s="1066" t="s">
        <v>1805</v>
      </c>
      <c r="C405" s="1066" t="s">
        <v>700</v>
      </c>
      <c r="D405" s="1095" t="s">
        <v>675</v>
      </c>
      <c r="E405" s="1066" t="s">
        <v>1806</v>
      </c>
      <c r="F405" s="1066" t="s">
        <v>1807</v>
      </c>
      <c r="G405" s="1066" t="s">
        <v>662</v>
      </c>
      <c r="H405" s="1096" t="s">
        <v>1808</v>
      </c>
      <c r="I405" s="1095"/>
      <c r="J405" s="1096">
        <v>1</v>
      </c>
      <c r="K405" s="1068" t="s">
        <v>631</v>
      </c>
      <c r="L405" s="1000" t="s">
        <v>51</v>
      </c>
    </row>
    <row r="406" spans="1:12" ht="13.5" customHeight="1">
      <c r="A406" s="1062"/>
      <c r="B406" s="1066"/>
      <c r="C406" s="1066"/>
      <c r="D406" s="1095"/>
      <c r="E406" s="1066"/>
      <c r="F406" s="1066"/>
      <c r="G406" s="1066"/>
      <c r="H406" s="1096"/>
      <c r="I406" s="1095"/>
      <c r="J406" s="1096"/>
      <c r="K406" s="1069"/>
      <c r="L406" s="1002"/>
    </row>
    <row r="407" spans="1:12" ht="27" customHeight="1">
      <c r="A407" s="106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2" t="s">
        <v>1646</v>
      </c>
      <c r="B409" s="1062"/>
      <c r="C409" s="1062"/>
      <c r="D409" s="1062"/>
      <c r="E409" s="1062"/>
      <c r="F409" s="1062"/>
      <c r="G409" s="1062"/>
      <c r="H409" s="1062"/>
      <c r="I409" s="106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2" t="s">
        <v>2008</v>
      </c>
      <c r="B412" s="1097" t="s">
        <v>2009</v>
      </c>
      <c r="C412" s="1068" t="s">
        <v>21</v>
      </c>
      <c r="D412" s="898" t="s">
        <v>14</v>
      </c>
      <c r="E412" s="1068" t="s">
        <v>78</v>
      </c>
      <c r="F412" s="1066" t="s">
        <v>2010</v>
      </c>
      <c r="G412" s="1066" t="s">
        <v>40</v>
      </c>
      <c r="H412" s="1096" t="s">
        <v>614</v>
      </c>
      <c r="I412" s="1095"/>
      <c r="J412" s="1096">
        <v>1</v>
      </c>
      <c r="K412" s="1068" t="s">
        <v>2011</v>
      </c>
      <c r="L412" s="1000" t="s">
        <v>1997</v>
      </c>
    </row>
    <row r="413" spans="1:12" ht="20.100000000000001" customHeight="1">
      <c r="A413" s="1062"/>
      <c r="B413" s="1066"/>
      <c r="C413" s="1069"/>
      <c r="D413" s="899"/>
      <c r="E413" s="1069"/>
      <c r="F413" s="1066"/>
      <c r="G413" s="1066"/>
      <c r="H413" s="1096"/>
      <c r="I413" s="1095"/>
      <c r="J413" s="1096"/>
      <c r="K413" s="1069"/>
      <c r="L413" s="1002"/>
    </row>
    <row r="414" spans="1:12" ht="20.100000000000001" customHeight="1">
      <c r="A414" s="1062" t="s">
        <v>1646</v>
      </c>
      <c r="B414" s="1062"/>
      <c r="C414" s="1062"/>
      <c r="D414" s="1062"/>
      <c r="E414" s="1062"/>
      <c r="F414" s="1062"/>
      <c r="G414" s="1062"/>
      <c r="H414" s="1062"/>
      <c r="I414" s="106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1"/>
      <c r="B418" s="78" t="s">
        <v>1748</v>
      </c>
      <c r="C418" s="1095" t="s">
        <v>306</v>
      </c>
      <c r="D418" s="1095" t="s">
        <v>322</v>
      </c>
      <c r="E418" s="1095" t="s">
        <v>307</v>
      </c>
      <c r="F418" s="1096">
        <v>3306</v>
      </c>
      <c r="G418" s="1095" t="s">
        <v>1153</v>
      </c>
      <c r="H418" s="1096" t="s">
        <v>1749</v>
      </c>
      <c r="I418" s="1095" t="s">
        <v>664</v>
      </c>
      <c r="J418" s="1095">
        <v>4</v>
      </c>
      <c r="K418" s="1068" t="s">
        <v>631</v>
      </c>
      <c r="L418" s="1000" t="s">
        <v>51</v>
      </c>
    </row>
    <row r="419" spans="1:12" ht="13.5" customHeight="1">
      <c r="A419" s="1001"/>
      <c r="B419" s="79" t="s">
        <v>1751</v>
      </c>
      <c r="C419" s="1095"/>
      <c r="D419" s="1095"/>
      <c r="E419" s="1095"/>
      <c r="F419" s="1096"/>
      <c r="G419" s="1095"/>
      <c r="H419" s="1096"/>
      <c r="I419" s="1095"/>
      <c r="J419" s="1095"/>
      <c r="K419" s="1069"/>
      <c r="L419" s="1002"/>
    </row>
    <row r="420" spans="1:12" ht="13.5" customHeight="1">
      <c r="A420" s="1001"/>
      <c r="B420" s="78" t="s">
        <v>1800</v>
      </c>
      <c r="C420" s="1095" t="s">
        <v>306</v>
      </c>
      <c r="D420" s="1095" t="s">
        <v>322</v>
      </c>
      <c r="E420" s="1095" t="s">
        <v>307</v>
      </c>
      <c r="F420" s="1096" t="s">
        <v>1801</v>
      </c>
      <c r="G420" s="1095" t="s">
        <v>1802</v>
      </c>
      <c r="H420" s="1096" t="s">
        <v>1803</v>
      </c>
      <c r="I420" s="1095" t="s">
        <v>664</v>
      </c>
      <c r="J420" s="1095">
        <v>5</v>
      </c>
      <c r="K420" s="1068" t="s">
        <v>631</v>
      </c>
      <c r="L420" s="1000" t="s">
        <v>51</v>
      </c>
    </row>
    <row r="421" spans="1:12" ht="13.5" customHeight="1">
      <c r="A421" s="1001"/>
      <c r="B421" s="79" t="s">
        <v>1795</v>
      </c>
      <c r="C421" s="1095"/>
      <c r="D421" s="1095"/>
      <c r="E421" s="1095"/>
      <c r="F421" s="1096"/>
      <c r="G421" s="1095"/>
      <c r="H421" s="1096"/>
      <c r="I421" s="1095"/>
      <c r="J421" s="1095"/>
      <c r="K421" s="1069"/>
      <c r="L421" s="1002"/>
    </row>
    <row r="422" spans="1:12" ht="27" customHeight="1">
      <c r="A422" s="100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2" t="s">
        <v>1646</v>
      </c>
      <c r="B423" s="1062"/>
      <c r="C423" s="1062"/>
      <c r="D423" s="1062"/>
      <c r="E423" s="1062"/>
      <c r="F423" s="1062"/>
      <c r="G423" s="1062"/>
      <c r="H423" s="1062"/>
      <c r="I423" s="106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2" t="s">
        <v>1646</v>
      </c>
      <c r="B431" s="1022"/>
      <c r="C431" s="1022"/>
      <c r="D431" s="1022"/>
      <c r="E431" s="1022"/>
      <c r="F431" s="1022"/>
      <c r="G431" s="1022"/>
      <c r="H431" s="1022"/>
      <c r="I431" s="102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2" t="s">
        <v>1646</v>
      </c>
      <c r="B435" s="1022"/>
      <c r="C435" s="1022"/>
      <c r="D435" s="1022"/>
      <c r="E435" s="1022"/>
      <c r="F435" s="1022"/>
      <c r="G435" s="1022"/>
      <c r="H435" s="1022"/>
      <c r="I435" s="102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56" t="s">
        <v>306</v>
      </c>
      <c r="D438" s="956" t="s">
        <v>322</v>
      </c>
      <c r="E438" s="956" t="s">
        <v>307</v>
      </c>
      <c r="F438" s="1098" t="s">
        <v>1761</v>
      </c>
      <c r="G438" s="956" t="s">
        <v>329</v>
      </c>
      <c r="H438" s="1080" t="s">
        <v>1762</v>
      </c>
      <c r="I438" s="904" t="s">
        <v>664</v>
      </c>
      <c r="J438" s="1100">
        <v>2</v>
      </c>
      <c r="K438" s="1068" t="s">
        <v>1996</v>
      </c>
      <c r="L438" s="1068" t="s">
        <v>51</v>
      </c>
    </row>
    <row r="439" spans="1:12" ht="13.5" customHeight="1">
      <c r="A439" s="864"/>
      <c r="B439" s="253" t="s">
        <v>2028</v>
      </c>
      <c r="C439" s="957"/>
      <c r="D439" s="957"/>
      <c r="E439" s="957"/>
      <c r="F439" s="1099"/>
      <c r="G439" s="957"/>
      <c r="H439" s="1082"/>
      <c r="I439" s="905"/>
      <c r="J439" s="1101"/>
      <c r="K439" s="1069"/>
      <c r="L439" s="1069"/>
    </row>
    <row r="440" spans="1:12" ht="13.5" customHeight="1">
      <c r="A440" s="864"/>
      <c r="B440" s="254" t="s">
        <v>1794</v>
      </c>
      <c r="C440" s="844" t="s">
        <v>306</v>
      </c>
      <c r="D440" s="844" t="s">
        <v>322</v>
      </c>
      <c r="E440" s="844" t="s">
        <v>307</v>
      </c>
      <c r="F440" s="851" t="s">
        <v>1796</v>
      </c>
      <c r="G440" s="844" t="s">
        <v>1797</v>
      </c>
      <c r="H440" s="851" t="s">
        <v>1792</v>
      </c>
      <c r="I440" s="844" t="s">
        <v>664</v>
      </c>
      <c r="J440" s="885">
        <v>4</v>
      </c>
      <c r="K440" s="1068" t="s">
        <v>631</v>
      </c>
      <c r="L440" s="1068" t="s">
        <v>1997</v>
      </c>
    </row>
    <row r="441" spans="1:12" ht="13.5" customHeight="1">
      <c r="A441" s="864"/>
      <c r="B441" s="255" t="s">
        <v>1795</v>
      </c>
      <c r="C441" s="844"/>
      <c r="D441" s="844"/>
      <c r="E441" s="844"/>
      <c r="F441" s="851"/>
      <c r="G441" s="844"/>
      <c r="H441" s="851"/>
      <c r="I441" s="844"/>
      <c r="J441" s="886"/>
      <c r="K441" s="1069"/>
      <c r="L441" s="1069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3" t="s">
        <v>1646</v>
      </c>
      <c r="B450" s="1064"/>
      <c r="C450" s="1064"/>
      <c r="D450" s="1064"/>
      <c r="E450" s="1064"/>
      <c r="F450" s="1064"/>
      <c r="G450" s="1064"/>
      <c r="H450" s="1064"/>
      <c r="I450" s="106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3" t="s">
        <v>2059</v>
      </c>
      <c r="B459" s="843"/>
      <c r="C459" s="843"/>
      <c r="D459" s="843"/>
      <c r="E459" s="843"/>
      <c r="F459" s="843"/>
      <c r="G459" s="843"/>
      <c r="H459" s="843"/>
      <c r="I459" s="84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5"/>
      <c r="B463" s="1102" t="s">
        <v>1767</v>
      </c>
      <c r="C463" s="1103" t="s">
        <v>311</v>
      </c>
      <c r="D463" s="1103" t="s">
        <v>320</v>
      </c>
      <c r="E463" s="1103" t="s">
        <v>709</v>
      </c>
      <c r="F463" s="1103" t="s">
        <v>1768</v>
      </c>
      <c r="G463" s="1102" t="s">
        <v>1769</v>
      </c>
      <c r="H463" s="258" t="s">
        <v>1770</v>
      </c>
      <c r="I463" s="1103"/>
      <c r="J463" s="1103">
        <v>1</v>
      </c>
      <c r="K463" s="898" t="s">
        <v>631</v>
      </c>
      <c r="L463" s="928" t="s">
        <v>51</v>
      </c>
    </row>
    <row r="464" spans="1:12" ht="13.5" customHeight="1">
      <c r="A464" s="1025"/>
      <c r="B464" s="1102"/>
      <c r="C464" s="1103"/>
      <c r="D464" s="1103"/>
      <c r="E464" s="1103"/>
      <c r="F464" s="1103"/>
      <c r="G464" s="1102"/>
      <c r="H464" s="259" t="s">
        <v>1773</v>
      </c>
      <c r="I464" s="1103"/>
      <c r="J464" s="1103"/>
      <c r="K464" s="899"/>
      <c r="L464" s="929"/>
    </row>
    <row r="465" spans="1:12" ht="13.5" customHeight="1">
      <c r="A465" s="1025"/>
      <c r="B465" s="1104" t="s">
        <v>1813</v>
      </c>
      <c r="C465" s="1066" t="s">
        <v>700</v>
      </c>
      <c r="D465" s="1095" t="s">
        <v>320</v>
      </c>
      <c r="E465" s="1095" t="s">
        <v>337</v>
      </c>
      <c r="F465" s="1066" t="s">
        <v>353</v>
      </c>
      <c r="G465" s="1066" t="s">
        <v>1814</v>
      </c>
      <c r="H465" s="1096" t="s">
        <v>1815</v>
      </c>
      <c r="I465" s="1095" t="s">
        <v>638</v>
      </c>
      <c r="J465" s="1096">
        <v>2</v>
      </c>
      <c r="K465" s="1068" t="s">
        <v>631</v>
      </c>
      <c r="L465" s="1068" t="s">
        <v>51</v>
      </c>
    </row>
    <row r="466" spans="1:12" ht="13.5" customHeight="1">
      <c r="A466" s="1025"/>
      <c r="B466" s="1104"/>
      <c r="C466" s="1066"/>
      <c r="D466" s="1095"/>
      <c r="E466" s="1095"/>
      <c r="F466" s="1066"/>
      <c r="G466" s="1066"/>
      <c r="H466" s="1096"/>
      <c r="I466" s="1095"/>
      <c r="J466" s="1096"/>
      <c r="K466" s="1069"/>
      <c r="L466" s="1069"/>
    </row>
    <row r="467" spans="1:12" ht="27" customHeight="1">
      <c r="A467" s="102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5"/>
      <c r="B468" s="1066" t="s">
        <v>1820</v>
      </c>
      <c r="C468" s="1066" t="s">
        <v>700</v>
      </c>
      <c r="D468" s="1095" t="s">
        <v>320</v>
      </c>
      <c r="E468" s="1095" t="s">
        <v>709</v>
      </c>
      <c r="F468" s="1095" t="s">
        <v>1768</v>
      </c>
      <c r="G468" s="1066" t="s">
        <v>1821</v>
      </c>
      <c r="H468" s="261" t="s">
        <v>1822</v>
      </c>
      <c r="I468" s="1095" t="s">
        <v>638</v>
      </c>
      <c r="J468" s="1095">
        <v>2</v>
      </c>
      <c r="K468" s="1068" t="s">
        <v>631</v>
      </c>
      <c r="L468" s="1068" t="s">
        <v>51</v>
      </c>
    </row>
    <row r="469" spans="1:12" ht="13.5" customHeight="1">
      <c r="A469" s="1025"/>
      <c r="B469" s="1066"/>
      <c r="C469" s="1066"/>
      <c r="D469" s="1095"/>
      <c r="E469" s="1095"/>
      <c r="F469" s="1095"/>
      <c r="G469" s="1066"/>
      <c r="H469" s="262" t="s">
        <v>1823</v>
      </c>
      <c r="I469" s="1095"/>
      <c r="J469" s="1095"/>
      <c r="K469" s="1069"/>
      <c r="L469" s="1069"/>
    </row>
    <row r="470" spans="1:12" ht="27" customHeight="1">
      <c r="A470" s="102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2" t="s">
        <v>53</v>
      </c>
      <c r="B472" s="1022"/>
      <c r="C472" s="1022"/>
      <c r="D472" s="1022"/>
      <c r="E472" s="1022"/>
      <c r="F472" s="1022"/>
      <c r="G472" s="1022"/>
      <c r="H472" s="1022"/>
      <c r="I472" s="102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2" t="s">
        <v>228</v>
      </c>
      <c r="B476" s="1102" t="s">
        <v>1767</v>
      </c>
      <c r="C476" s="1103" t="s">
        <v>311</v>
      </c>
      <c r="D476" s="1103" t="s">
        <v>320</v>
      </c>
      <c r="E476" s="1103" t="s">
        <v>709</v>
      </c>
      <c r="F476" s="1103" t="s">
        <v>1768</v>
      </c>
      <c r="G476" s="1102" t="s">
        <v>1769</v>
      </c>
      <c r="H476" s="258" t="s">
        <v>1770</v>
      </c>
      <c r="I476" s="1103"/>
      <c r="J476" s="1103">
        <v>1</v>
      </c>
      <c r="K476" s="898" t="s">
        <v>631</v>
      </c>
      <c r="L476" s="928" t="s">
        <v>51</v>
      </c>
    </row>
    <row r="477" spans="1:12" ht="13.5" customHeight="1">
      <c r="A477" s="1022"/>
      <c r="B477" s="1102"/>
      <c r="C477" s="1103"/>
      <c r="D477" s="1103"/>
      <c r="E477" s="1103"/>
      <c r="F477" s="1103"/>
      <c r="G477" s="1102"/>
      <c r="H477" s="259" t="s">
        <v>1773</v>
      </c>
      <c r="I477" s="1103"/>
      <c r="J477" s="1103"/>
      <c r="K477" s="899"/>
      <c r="L477" s="929"/>
    </row>
    <row r="478" spans="1:12" ht="27" customHeight="1">
      <c r="A478" s="102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2" t="s">
        <v>1646</v>
      </c>
      <c r="B479" s="1022"/>
      <c r="C479" s="1022"/>
      <c r="D479" s="1022"/>
      <c r="E479" s="1022"/>
      <c r="F479" s="1022"/>
      <c r="G479" s="1022"/>
      <c r="H479" s="1022"/>
      <c r="I479" s="102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3" t="s">
        <v>53</v>
      </c>
      <c r="B487" s="1064"/>
      <c r="C487" s="1064"/>
      <c r="D487" s="1064"/>
      <c r="E487" s="1064"/>
      <c r="F487" s="1064"/>
      <c r="G487" s="1064"/>
      <c r="H487" s="1064"/>
      <c r="I487" s="106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8"/>
      <c r="B494" s="1105" t="s">
        <v>2182</v>
      </c>
      <c r="C494" s="1105" t="s">
        <v>306</v>
      </c>
      <c r="D494" s="1105" t="s">
        <v>322</v>
      </c>
      <c r="E494" s="1105" t="s">
        <v>307</v>
      </c>
      <c r="F494" s="1106" t="s">
        <v>1919</v>
      </c>
      <c r="G494" s="1105" t="s">
        <v>662</v>
      </c>
      <c r="H494" s="1106" t="s">
        <v>1920</v>
      </c>
      <c r="I494" s="1105" t="s">
        <v>349</v>
      </c>
      <c r="J494" s="1105">
        <v>2</v>
      </c>
      <c r="K494" s="1066" t="s">
        <v>50</v>
      </c>
      <c r="L494" s="222">
        <v>23</v>
      </c>
    </row>
    <row r="495" spans="1:12" ht="12.6" customHeight="1">
      <c r="A495" s="1058"/>
      <c r="B495" s="1105"/>
      <c r="C495" s="1105"/>
      <c r="D495" s="1105"/>
      <c r="E495" s="1105"/>
      <c r="F495" s="1106"/>
      <c r="G495" s="1105"/>
      <c r="H495" s="1106"/>
      <c r="I495" s="1105"/>
      <c r="J495" s="1105"/>
      <c r="K495" s="1066"/>
    </row>
    <row r="496" spans="1:12" ht="24.95" customHeight="1">
      <c r="A496" s="105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2" t="s">
        <v>53</v>
      </c>
      <c r="B500" s="1022"/>
      <c r="C500" s="1022"/>
      <c r="D500" s="1022"/>
      <c r="E500" s="1022"/>
      <c r="F500" s="1022"/>
      <c r="G500" s="1022"/>
      <c r="H500" s="1022"/>
      <c r="I500" s="102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2" t="s">
        <v>2217</v>
      </c>
      <c r="B511" s="1022"/>
      <c r="C511" s="1022"/>
      <c r="D511" s="1022"/>
      <c r="E511" s="1022"/>
      <c r="F511" s="1022"/>
      <c r="G511" s="1022"/>
      <c r="H511" s="1022"/>
      <c r="I511" s="102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3" t="s">
        <v>2233</v>
      </c>
      <c r="B522" s="843"/>
      <c r="C522" s="843"/>
      <c r="D522" s="843"/>
      <c r="E522" s="843"/>
      <c r="F522" s="843"/>
      <c r="G522" s="843"/>
      <c r="H522" s="843"/>
      <c r="I522" s="84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2" t="s">
        <v>2238</v>
      </c>
      <c r="B528" s="1022"/>
      <c r="C528" s="1022"/>
      <c r="D528" s="1022"/>
      <c r="E528" s="1022"/>
      <c r="F528" s="1022"/>
      <c r="G528" s="1022"/>
      <c r="H528" s="1022"/>
      <c r="I528" s="102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2" t="s">
        <v>2233</v>
      </c>
      <c r="B535" s="1022"/>
      <c r="C535" s="1022"/>
      <c r="D535" s="1022"/>
      <c r="E535" s="1022"/>
      <c r="F535" s="1022"/>
      <c r="G535" s="1022"/>
      <c r="H535" s="1022"/>
      <c r="I535" s="102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3" t="s">
        <v>2238</v>
      </c>
      <c r="B540" s="1064"/>
      <c r="C540" s="1064"/>
      <c r="D540" s="1064"/>
      <c r="E540" s="1064"/>
      <c r="F540" s="1064"/>
      <c r="G540" s="1064"/>
      <c r="H540" s="1064"/>
      <c r="I540" s="106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2" t="s">
        <v>2233</v>
      </c>
      <c r="B546" s="1062"/>
      <c r="C546" s="1062"/>
      <c r="D546" s="1062"/>
      <c r="E546" s="1062"/>
      <c r="F546" s="1062"/>
      <c r="G546" s="1062"/>
      <c r="H546" s="1062"/>
      <c r="I546" s="106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2" t="s">
        <v>2233</v>
      </c>
      <c r="B550" s="1022"/>
      <c r="C550" s="1022"/>
      <c r="D550" s="1022"/>
      <c r="E550" s="1022"/>
      <c r="F550" s="1022"/>
      <c r="G550" s="1022"/>
      <c r="H550" s="1022"/>
      <c r="I550" s="102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2" t="s">
        <v>2233</v>
      </c>
      <c r="B565" s="1022"/>
      <c r="C565" s="1022"/>
      <c r="D565" s="1022"/>
      <c r="E565" s="1022"/>
      <c r="F565" s="1022"/>
      <c r="G565" s="1022"/>
      <c r="H565" s="1022"/>
      <c r="I565" s="102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6" t="s">
        <v>306</v>
      </c>
      <c r="D569" s="866" t="s">
        <v>322</v>
      </c>
      <c r="E569" s="866" t="s">
        <v>307</v>
      </c>
      <c r="F569" s="866">
        <v>3306</v>
      </c>
      <c r="G569" s="866" t="s">
        <v>1153</v>
      </c>
      <c r="H569" s="866" t="s">
        <v>1907</v>
      </c>
      <c r="I569" s="866" t="s">
        <v>1111</v>
      </c>
      <c r="J569" s="866" t="s">
        <v>692</v>
      </c>
      <c r="K569" s="1060" t="s">
        <v>2291</v>
      </c>
    </row>
    <row r="570" spans="1:12">
      <c r="B570" s="243" t="s">
        <v>1909</v>
      </c>
      <c r="C570" s="867"/>
      <c r="D570" s="867"/>
      <c r="E570" s="867"/>
      <c r="F570" s="867"/>
      <c r="G570" s="867"/>
      <c r="H570" s="867"/>
      <c r="I570" s="867"/>
      <c r="J570" s="867"/>
      <c r="K570" s="106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2" t="s">
        <v>1458</v>
      </c>
      <c r="B582" s="1022"/>
      <c r="C582" s="1022"/>
      <c r="D582" s="1022"/>
      <c r="E582" s="1022"/>
      <c r="F582" s="1022"/>
      <c r="G582" s="1022"/>
      <c r="H582" s="1022"/>
      <c r="I582" s="102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2" t="s">
        <v>2393</v>
      </c>
      <c r="B588" s="1022"/>
      <c r="C588" s="1022"/>
      <c r="D588" s="1022"/>
      <c r="E588" s="1022"/>
      <c r="F588" s="1022"/>
      <c r="G588" s="1022"/>
      <c r="H588" s="1022"/>
      <c r="I588" s="102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3" t="s">
        <v>2406</v>
      </c>
      <c r="B592" s="843"/>
      <c r="C592" s="843"/>
      <c r="D592" s="843"/>
      <c r="E592" s="843"/>
      <c r="F592" s="843"/>
      <c r="G592" s="843"/>
      <c r="H592" s="843"/>
      <c r="I592" s="84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3" t="s">
        <v>2406</v>
      </c>
      <c r="B601" s="843"/>
      <c r="C601" s="843"/>
      <c r="D601" s="843"/>
      <c r="E601" s="843"/>
      <c r="F601" s="843"/>
      <c r="G601" s="843"/>
      <c r="H601" s="843"/>
      <c r="I601" s="84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2" t="s">
        <v>2437</v>
      </c>
      <c r="B606" s="1022"/>
      <c r="C606" s="1022"/>
      <c r="D606" s="1022"/>
      <c r="E606" s="1022"/>
      <c r="F606" s="1022"/>
      <c r="G606" s="1022"/>
      <c r="H606" s="1022"/>
      <c r="I606" s="102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2" t="s">
        <v>2406</v>
      </c>
      <c r="B613" s="1022"/>
      <c r="C613" s="1022"/>
      <c r="D613" s="1022"/>
      <c r="E613" s="1022"/>
      <c r="F613" s="1022"/>
      <c r="G613" s="1022"/>
      <c r="H613" s="1022"/>
      <c r="I613" s="102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2" t="s">
        <v>2406</v>
      </c>
      <c r="B627" s="1022"/>
      <c r="C627" s="1022"/>
      <c r="D627" s="1022"/>
      <c r="E627" s="1022"/>
      <c r="F627" s="1022"/>
      <c r="G627" s="1022"/>
      <c r="H627" s="1022"/>
      <c r="I627" s="102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0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0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0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0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1" t="s">
        <v>1646</v>
      </c>
      <c r="B655" s="1111"/>
      <c r="C655" s="1111"/>
      <c r="D655" s="1111"/>
      <c r="E655" s="1111"/>
      <c r="F655" s="1111"/>
      <c r="G655" s="1111"/>
      <c r="H655" s="1111"/>
      <c r="I655" s="111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1" t="s">
        <v>1646</v>
      </c>
      <c r="B674" s="1111"/>
      <c r="C674" s="1111"/>
      <c r="D674" s="1111"/>
      <c r="E674" s="1111"/>
      <c r="F674" s="1111"/>
      <c r="G674" s="1111"/>
      <c r="H674" s="1111"/>
      <c r="I674" s="111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1" t="s">
        <v>1646</v>
      </c>
      <c r="B681" s="1111"/>
      <c r="C681" s="1111"/>
      <c r="D681" s="1111"/>
      <c r="E681" s="1111"/>
      <c r="F681" s="1111"/>
      <c r="G681" s="1111"/>
      <c r="H681" s="1111"/>
      <c r="I681" s="111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5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5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59" t="s">
        <v>1646</v>
      </c>
      <c r="B688" s="1059"/>
      <c r="C688" s="1059"/>
      <c r="D688" s="1059"/>
      <c r="E688" s="1059"/>
      <c r="F688" s="1059"/>
      <c r="G688" s="1059"/>
      <c r="H688" s="1059"/>
      <c r="I688" s="105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59" t="s">
        <v>1646</v>
      </c>
      <c r="B699" s="1059"/>
      <c r="C699" s="1059"/>
      <c r="D699" s="1059"/>
      <c r="E699" s="1059"/>
      <c r="F699" s="1059"/>
      <c r="G699" s="1059"/>
      <c r="H699" s="1059"/>
      <c r="I699" s="105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5" t="s">
        <v>1646</v>
      </c>
      <c r="B717" s="1055"/>
      <c r="C717" s="1055"/>
      <c r="D717" s="1055"/>
      <c r="E717" s="1055"/>
      <c r="F717" s="1055"/>
      <c r="G717" s="1055"/>
      <c r="H717" s="1055"/>
      <c r="I717" s="105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5" t="s">
        <v>1646</v>
      </c>
      <c r="B731" s="1055"/>
      <c r="C731" s="1055"/>
      <c r="D731" s="1055"/>
      <c r="E731" s="1055"/>
      <c r="F731" s="1055"/>
      <c r="G731" s="1055"/>
      <c r="H731" s="1055"/>
      <c r="I731" s="105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5" t="s">
        <v>1646</v>
      </c>
      <c r="B749" s="1055"/>
      <c r="C749" s="1055"/>
      <c r="D749" s="1055"/>
      <c r="E749" s="1055"/>
      <c r="F749" s="1055"/>
      <c r="G749" s="1055"/>
      <c r="H749" s="1055"/>
      <c r="I749" s="105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3" t="s">
        <v>1646</v>
      </c>
      <c r="B762" s="1043"/>
      <c r="C762" s="1043"/>
      <c r="D762" s="1043"/>
      <c r="E762" s="1043"/>
      <c r="F762" s="1043"/>
      <c r="G762" s="1043"/>
      <c r="H762" s="1043"/>
      <c r="I762" s="104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3" t="s">
        <v>1646</v>
      </c>
      <c r="B770" s="1043"/>
      <c r="C770" s="1043"/>
      <c r="D770" s="1043"/>
      <c r="E770" s="1043"/>
      <c r="F770" s="1043"/>
      <c r="G770" s="1043"/>
      <c r="H770" s="1043"/>
      <c r="I770" s="104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3" t="s">
        <v>1646</v>
      </c>
      <c r="B778" s="1043"/>
      <c r="C778" s="1043"/>
      <c r="D778" s="1043"/>
      <c r="E778" s="1043"/>
      <c r="F778" s="1043"/>
      <c r="G778" s="1043"/>
      <c r="H778" s="1043"/>
      <c r="I778" s="104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3" t="s">
        <v>1646</v>
      </c>
      <c r="B790" s="1043"/>
      <c r="C790" s="1043"/>
      <c r="D790" s="1043"/>
      <c r="E790" s="1043"/>
      <c r="F790" s="1043"/>
      <c r="G790" s="1043"/>
      <c r="H790" s="1043"/>
      <c r="I790" s="104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3" t="s">
        <v>1646</v>
      </c>
      <c r="B802" s="1043"/>
      <c r="C802" s="1043"/>
      <c r="D802" s="1043"/>
      <c r="E802" s="1043"/>
      <c r="F802" s="1043"/>
      <c r="G802" s="1043"/>
      <c r="H802" s="1043"/>
      <c r="I802" s="104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0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1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1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1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1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1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3" t="s">
        <v>1646</v>
      </c>
      <c r="B812" s="1043"/>
      <c r="C812" s="1043"/>
      <c r="D812" s="1043"/>
      <c r="E812" s="1043"/>
      <c r="F812" s="1043"/>
      <c r="G812" s="1043"/>
      <c r="H812" s="1043"/>
      <c r="I812" s="104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3" t="s">
        <v>1646</v>
      </c>
      <c r="B819" s="1043"/>
      <c r="C819" s="1043"/>
      <c r="D819" s="1043"/>
      <c r="E819" s="1043"/>
      <c r="F819" s="1043"/>
      <c r="G819" s="1043"/>
      <c r="H819" s="1043"/>
      <c r="I819" s="1043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1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3" t="s">
        <v>1646</v>
      </c>
      <c r="B834" s="1043"/>
      <c r="C834" s="1043"/>
      <c r="D834" s="1043"/>
      <c r="E834" s="1043"/>
      <c r="F834" s="1043"/>
      <c r="G834" s="1043"/>
      <c r="H834" s="1043"/>
      <c r="I834" s="1043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1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3" t="s">
        <v>1646</v>
      </c>
      <c r="B841" s="1043"/>
      <c r="C841" s="1043"/>
      <c r="D841" s="1043"/>
      <c r="E841" s="1043"/>
      <c r="F841" s="1043"/>
      <c r="G841" s="1043"/>
      <c r="H841" s="1043"/>
      <c r="I841" s="1043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3" t="s">
        <v>1646</v>
      </c>
      <c r="B853" s="1043"/>
      <c r="C853" s="1043"/>
      <c r="D853" s="1043"/>
      <c r="E853" s="1043"/>
      <c r="F853" s="1043"/>
      <c r="G853" s="1043"/>
      <c r="H853" s="1043"/>
      <c r="I853" s="104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3" t="s">
        <v>1646</v>
      </c>
      <c r="B876" s="1043"/>
      <c r="C876" s="1043"/>
      <c r="D876" s="1043"/>
      <c r="E876" s="1043"/>
      <c r="F876" s="1043"/>
      <c r="G876" s="1043"/>
      <c r="H876" s="1043"/>
      <c r="I876" s="104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3" t="s">
        <v>1646</v>
      </c>
      <c r="B887" s="1043"/>
      <c r="C887" s="1043"/>
      <c r="D887" s="1043"/>
      <c r="E887" s="1043"/>
      <c r="F887" s="1043"/>
      <c r="G887" s="1043"/>
      <c r="H887" s="1043"/>
      <c r="I887" s="104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3" t="s">
        <v>1646</v>
      </c>
      <c r="B904" s="1043"/>
      <c r="C904" s="1043"/>
      <c r="D904" s="1043"/>
      <c r="E904" s="1043"/>
      <c r="F904" s="1043"/>
      <c r="G904" s="1043"/>
      <c r="H904" s="1043"/>
      <c r="I904" s="104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3" t="s">
        <v>1646</v>
      </c>
      <c r="B919" s="1043"/>
      <c r="C919" s="1043"/>
      <c r="D919" s="1043"/>
      <c r="E919" s="1043"/>
      <c r="F919" s="1043"/>
      <c r="G919" s="1043"/>
      <c r="H919" s="1043"/>
      <c r="I919" s="104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3" t="s">
        <v>1646</v>
      </c>
      <c r="B930" s="1043"/>
      <c r="C930" s="1043"/>
      <c r="D930" s="1043"/>
      <c r="E930" s="1043"/>
      <c r="F930" s="1043"/>
      <c r="G930" s="1043"/>
      <c r="H930" s="1043"/>
      <c r="I930" s="104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3" t="s">
        <v>1646</v>
      </c>
      <c r="B944" s="1043"/>
      <c r="C944" s="1043"/>
      <c r="D944" s="1043"/>
      <c r="E944" s="1043"/>
      <c r="F944" s="1043"/>
      <c r="G944" s="1043"/>
      <c r="H944" s="1043"/>
      <c r="I944" s="104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7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8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8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49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3" t="s">
        <v>1646</v>
      </c>
      <c r="B952" s="1043"/>
      <c r="C952" s="1043"/>
      <c r="D952" s="1043"/>
      <c r="E952" s="1043"/>
      <c r="F952" s="1043"/>
      <c r="G952" s="1043"/>
      <c r="H952" s="1043"/>
      <c r="I952" s="104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3" t="s">
        <v>1646</v>
      </c>
      <c r="B956" s="1043"/>
      <c r="C956" s="1043"/>
      <c r="D956" s="1043"/>
      <c r="E956" s="1043"/>
      <c r="F956" s="1043"/>
      <c r="G956" s="1043"/>
      <c r="H956" s="1043"/>
      <c r="I956" s="104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3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3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3" t="s">
        <v>1646</v>
      </c>
      <c r="B964" s="1043"/>
      <c r="C964" s="1043"/>
      <c r="D964" s="1043"/>
      <c r="E964" s="1043"/>
      <c r="F964" s="1043"/>
      <c r="G964" s="1043"/>
      <c r="H964" s="1043"/>
      <c r="I964" s="104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3" t="s">
        <v>1646</v>
      </c>
      <c r="B976" s="1043"/>
      <c r="C976" s="1043"/>
      <c r="D976" s="1043"/>
      <c r="E976" s="1043"/>
      <c r="F976" s="1043"/>
      <c r="G976" s="1043"/>
      <c r="H976" s="1043"/>
      <c r="I976" s="104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0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1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2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3" t="s">
        <v>1646</v>
      </c>
      <c r="B982" s="1043"/>
      <c r="C982" s="1043"/>
      <c r="D982" s="1043"/>
      <c r="E982" s="1043"/>
      <c r="F982" s="1043"/>
      <c r="G982" s="1043"/>
      <c r="H982" s="1043"/>
      <c r="I982" s="104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3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3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3" t="s">
        <v>1646</v>
      </c>
      <c r="B989" s="1043"/>
      <c r="C989" s="1043"/>
      <c r="D989" s="1043"/>
      <c r="E989" s="1043"/>
      <c r="F989" s="1043"/>
      <c r="G989" s="1043"/>
      <c r="H989" s="1043"/>
      <c r="I989" s="104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6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7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3" t="s">
        <v>1646</v>
      </c>
      <c r="B1003" s="1043"/>
      <c r="C1003" s="1043"/>
      <c r="D1003" s="1043"/>
      <c r="E1003" s="1043"/>
      <c r="F1003" s="1043"/>
      <c r="G1003" s="1043"/>
      <c r="H1003" s="1043"/>
      <c r="I1003" s="104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4" t="s">
        <v>7140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5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5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5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5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5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5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5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5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5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6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3" t="s">
        <v>1646</v>
      </c>
      <c r="B1018" s="1043"/>
      <c r="C1018" s="1043"/>
      <c r="D1018" s="1043"/>
      <c r="E1018" s="1043"/>
      <c r="F1018" s="1043"/>
      <c r="G1018" s="1043"/>
      <c r="H1018" s="1043"/>
      <c r="I1018" s="104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0" t="s">
        <v>7141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3" t="s">
        <v>3790</v>
      </c>
      <c r="G1023" s="814"/>
      <c r="H1023" s="822" t="s">
        <v>6662</v>
      </c>
      <c r="I1023" s="633" t="s">
        <v>4918</v>
      </c>
      <c r="J1023" s="822">
        <v>2</v>
      </c>
      <c r="K1023" s="618" t="s">
        <v>50</v>
      </c>
    </row>
    <row r="1024" spans="1:11">
      <c r="A1024" s="861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4" t="s">
        <v>145</v>
      </c>
      <c r="H1024" s="822" t="s">
        <v>6715</v>
      </c>
      <c r="I1024" s="633" t="s">
        <v>120</v>
      </c>
      <c r="J1024" s="822">
        <v>1</v>
      </c>
      <c r="K1024" s="618" t="s">
        <v>50</v>
      </c>
    </row>
    <row r="1025" spans="1:11">
      <c r="A1025" s="861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4" t="s">
        <v>3758</v>
      </c>
      <c r="H1025" s="822" t="s">
        <v>3715</v>
      </c>
      <c r="I1025" s="633" t="s">
        <v>4918</v>
      </c>
      <c r="J1025" s="822">
        <v>2</v>
      </c>
      <c r="K1025" s="618" t="s">
        <v>50</v>
      </c>
    </row>
    <row r="1026" spans="1:11">
      <c r="A1026" s="861"/>
      <c r="B1026" s="814" t="s">
        <v>6905</v>
      </c>
      <c r="C1026" s="815" t="s">
        <v>306</v>
      </c>
      <c r="D1026" s="815" t="s">
        <v>322</v>
      </c>
      <c r="E1026" s="816" t="s">
        <v>5400</v>
      </c>
      <c r="F1026" s="649" t="s">
        <v>6893</v>
      </c>
      <c r="G1026" s="814" t="s">
        <v>329</v>
      </c>
      <c r="H1026" s="816" t="s">
        <v>6906</v>
      </c>
      <c r="I1026" s="816" t="s">
        <v>1534</v>
      </c>
      <c r="J1026" s="816">
        <v>2</v>
      </c>
      <c r="K1026" s="618" t="s">
        <v>50</v>
      </c>
    </row>
    <row r="1027" spans="1:11">
      <c r="A1027" s="861"/>
      <c r="B1027" s="814" t="s">
        <v>6907</v>
      </c>
      <c r="C1027" s="815" t="s">
        <v>306</v>
      </c>
      <c r="D1027" s="815" t="s">
        <v>322</v>
      </c>
      <c r="E1027" s="816" t="s">
        <v>5400</v>
      </c>
      <c r="F1027" s="649" t="s">
        <v>5766</v>
      </c>
      <c r="G1027" s="814" t="s">
        <v>6908</v>
      </c>
      <c r="H1027" s="816" t="s">
        <v>4915</v>
      </c>
      <c r="I1027" s="816" t="s">
        <v>1534</v>
      </c>
      <c r="J1027" s="816">
        <v>2</v>
      </c>
      <c r="K1027" s="618" t="s">
        <v>50</v>
      </c>
    </row>
    <row r="1028" spans="1:11">
      <c r="A1028" s="861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4">
        <v>7062</v>
      </c>
      <c r="G1028" s="814" t="s">
        <v>143</v>
      </c>
      <c r="H1028" s="822" t="s">
        <v>1105</v>
      </c>
      <c r="I1028" s="633" t="s">
        <v>1259</v>
      </c>
      <c r="J1028" s="822">
        <v>4</v>
      </c>
      <c r="K1028" s="618" t="s">
        <v>50</v>
      </c>
    </row>
    <row r="1029" spans="1:11">
      <c r="A1029" s="861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4" t="s">
        <v>5754</v>
      </c>
      <c r="G1029" s="814" t="s">
        <v>18</v>
      </c>
      <c r="H1029" s="822" t="s">
        <v>3402</v>
      </c>
      <c r="I1029" s="633" t="s">
        <v>2172</v>
      </c>
      <c r="J1029" s="822">
        <v>1</v>
      </c>
      <c r="K1029" s="618" t="s">
        <v>50</v>
      </c>
    </row>
    <row r="1030" spans="1:11">
      <c r="A1030" s="861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4" t="s">
        <v>5754</v>
      </c>
      <c r="G1030" s="814" t="s">
        <v>18</v>
      </c>
      <c r="H1030" s="822" t="s">
        <v>3402</v>
      </c>
      <c r="I1030" s="633" t="s">
        <v>2172</v>
      </c>
      <c r="J1030" s="822">
        <v>2</v>
      </c>
      <c r="K1030" s="618" t="s">
        <v>50</v>
      </c>
    </row>
    <row r="1031" spans="1:11">
      <c r="A1031" s="862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4" t="s">
        <v>6075</v>
      </c>
      <c r="G1031" s="814" t="s">
        <v>6071</v>
      </c>
      <c r="H1031" s="822" t="s">
        <v>3402</v>
      </c>
      <c r="I1031" s="633" t="s">
        <v>2172</v>
      </c>
      <c r="J1031" s="822">
        <v>2</v>
      </c>
      <c r="K1031" s="618" t="s">
        <v>50</v>
      </c>
    </row>
    <row r="1032" spans="1:11">
      <c r="A1032" s="1043" t="s">
        <v>1646</v>
      </c>
      <c r="B1032" s="1043"/>
      <c r="C1032" s="1043"/>
      <c r="D1032" s="1043"/>
      <c r="E1032" s="1043"/>
      <c r="F1032" s="1043"/>
      <c r="G1032" s="1043"/>
      <c r="H1032" s="1043"/>
      <c r="I1032" s="104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5" t="s">
        <v>7141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2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6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2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6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2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6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2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6"/>
      <c r="B1043" s="814" t="s">
        <v>6909</v>
      </c>
      <c r="C1043" s="646" t="s">
        <v>311</v>
      </c>
      <c r="D1043" s="646" t="s">
        <v>320</v>
      </c>
      <c r="E1043" s="814" t="s">
        <v>709</v>
      </c>
      <c r="F1043" s="814" t="s">
        <v>3098</v>
      </c>
      <c r="G1043" s="814" t="s">
        <v>3099</v>
      </c>
      <c r="H1043" s="814" t="s">
        <v>6911</v>
      </c>
      <c r="I1043" s="814"/>
      <c r="J1043" s="814">
        <v>1</v>
      </c>
      <c r="K1043" s="618" t="s">
        <v>50</v>
      </c>
    </row>
    <row r="1044" spans="1:11" ht="22.5">
      <c r="A1044" s="1126"/>
      <c r="B1044" s="814" t="s">
        <v>7142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7143</v>
      </c>
    </row>
    <row r="1045" spans="1:11" ht="24">
      <c r="A1045" s="1126"/>
      <c r="B1045" s="814" t="s">
        <v>6913</v>
      </c>
      <c r="C1045" s="646" t="s">
        <v>311</v>
      </c>
      <c r="D1045" s="646" t="s">
        <v>320</v>
      </c>
      <c r="E1045" s="814" t="s">
        <v>709</v>
      </c>
      <c r="F1045" s="814" t="s">
        <v>3098</v>
      </c>
      <c r="G1045" s="814" t="s">
        <v>3099</v>
      </c>
      <c r="H1045" s="814" t="s">
        <v>6914</v>
      </c>
      <c r="I1045" s="814"/>
      <c r="J1045" s="814">
        <v>1</v>
      </c>
      <c r="K1045" s="618" t="s">
        <v>50</v>
      </c>
    </row>
    <row r="1046" spans="1:11" ht="24">
      <c r="A1046" s="1126"/>
      <c r="B1046" s="814" t="s">
        <v>6916</v>
      </c>
      <c r="C1046" s="646" t="s">
        <v>311</v>
      </c>
      <c r="D1046" s="646" t="s">
        <v>320</v>
      </c>
      <c r="E1046" s="814" t="s">
        <v>709</v>
      </c>
      <c r="F1046" s="814" t="s">
        <v>3098</v>
      </c>
      <c r="G1046" s="814" t="s">
        <v>3099</v>
      </c>
      <c r="H1046" s="814" t="s">
        <v>6843</v>
      </c>
      <c r="I1046" s="814"/>
      <c r="J1046" s="814">
        <v>1</v>
      </c>
      <c r="K1046" s="618" t="s">
        <v>50</v>
      </c>
    </row>
    <row r="1047" spans="1:11" ht="24">
      <c r="A1047" s="1126"/>
      <c r="B1047" s="814" t="s">
        <v>6918</v>
      </c>
      <c r="C1047" s="646" t="s">
        <v>311</v>
      </c>
      <c r="D1047" s="646" t="s">
        <v>320</v>
      </c>
      <c r="E1047" s="814" t="s">
        <v>709</v>
      </c>
      <c r="F1047" s="814" t="s">
        <v>3098</v>
      </c>
      <c r="G1047" s="814" t="s">
        <v>3099</v>
      </c>
      <c r="H1047" s="814" t="s">
        <v>6919</v>
      </c>
      <c r="I1047" s="814" t="s">
        <v>5447</v>
      </c>
      <c r="J1047" s="814">
        <v>1</v>
      </c>
      <c r="K1047" s="618" t="s">
        <v>50</v>
      </c>
    </row>
    <row r="1048" spans="1:11" ht="24">
      <c r="A1048" s="1126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7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3" t="s">
        <v>1646</v>
      </c>
      <c r="B1050" s="1043"/>
      <c r="C1050" s="1043"/>
      <c r="D1050" s="1043"/>
      <c r="E1050" s="1043"/>
      <c r="F1050" s="1043"/>
      <c r="G1050" s="1043"/>
      <c r="H1050" s="1043"/>
      <c r="I1050" s="1043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4" t="s">
        <v>7144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9" t="s">
        <v>6518</v>
      </c>
      <c r="I1055" s="821" t="s">
        <v>202</v>
      </c>
      <c r="J1055" s="821">
        <v>1</v>
      </c>
      <c r="K1055" s="618" t="s">
        <v>50</v>
      </c>
    </row>
    <row r="1056" spans="1:11">
      <c r="A1056" s="1124"/>
      <c r="B1056" s="644" t="s">
        <v>6909</v>
      </c>
      <c r="C1056" s="818" t="s">
        <v>311</v>
      </c>
      <c r="D1056" s="818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4"/>
      <c r="B1057" s="644" t="s">
        <v>6913</v>
      </c>
      <c r="C1057" s="818" t="s">
        <v>311</v>
      </c>
      <c r="D1057" s="818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4"/>
      <c r="B1058" s="657">
        <v>46258</v>
      </c>
      <c r="C1058" s="818" t="s">
        <v>21</v>
      </c>
      <c r="D1058" s="818" t="s">
        <v>14</v>
      </c>
      <c r="E1058" s="821" t="s">
        <v>78</v>
      </c>
      <c r="F1058" s="821" t="s">
        <v>3833</v>
      </c>
      <c r="G1058" s="643" t="s">
        <v>207</v>
      </c>
      <c r="H1058" s="820" t="s">
        <v>6878</v>
      </c>
      <c r="I1058" s="821" t="s">
        <v>202</v>
      </c>
      <c r="J1058" s="821">
        <v>1</v>
      </c>
      <c r="K1058" s="618" t="s">
        <v>50</v>
      </c>
    </row>
    <row r="1059" spans="1:11">
      <c r="A1059" s="112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9" t="s">
        <v>6930</v>
      </c>
      <c r="I1059" s="653" t="s">
        <v>202</v>
      </c>
      <c r="J1059" s="819">
        <v>1</v>
      </c>
      <c r="K1059" s="618" t="s">
        <v>50</v>
      </c>
    </row>
    <row r="1060" spans="1:11">
      <c r="A1060" s="112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9" t="s">
        <v>6930</v>
      </c>
      <c r="I1060" s="653" t="s">
        <v>202</v>
      </c>
      <c r="J1060" s="819">
        <v>1</v>
      </c>
      <c r="K1060" s="618" t="s">
        <v>50</v>
      </c>
    </row>
    <row r="1061" spans="1:11">
      <c r="A1061" s="1043" t="s">
        <v>1646</v>
      </c>
      <c r="B1061" s="1043"/>
      <c r="C1061" s="1043"/>
      <c r="D1061" s="1043"/>
      <c r="E1061" s="1043"/>
      <c r="F1061" s="1043"/>
      <c r="G1061" s="1043"/>
      <c r="H1061" s="1043"/>
      <c r="I1061" s="1043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0" t="s">
        <v>7144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9" t="s">
        <v>3743</v>
      </c>
      <c r="I1065" s="653" t="s">
        <v>737</v>
      </c>
      <c r="J1065" s="819">
        <v>5</v>
      </c>
      <c r="K1065" s="618" t="s">
        <v>50</v>
      </c>
    </row>
    <row r="1066" spans="1:11">
      <c r="A1066" s="1121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1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9" t="s">
        <v>3020</v>
      </c>
      <c r="I1067" s="653" t="s">
        <v>168</v>
      </c>
      <c r="J1067" s="819">
        <v>5</v>
      </c>
      <c r="K1067" s="618" t="s">
        <v>50</v>
      </c>
    </row>
    <row r="1068" spans="1:11">
      <c r="A1068" s="1129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19" t="s">
        <v>3020</v>
      </c>
      <c r="I1068" s="653" t="s">
        <v>1629</v>
      </c>
      <c r="J1068" s="819">
        <v>1</v>
      </c>
      <c r="K1068" s="618" t="s">
        <v>50</v>
      </c>
    </row>
    <row r="1069" spans="1:11">
      <c r="A1069" s="1043" t="s">
        <v>1646</v>
      </c>
      <c r="B1069" s="1043"/>
      <c r="C1069" s="1043"/>
      <c r="D1069" s="1043"/>
      <c r="E1069" s="1043"/>
      <c r="F1069" s="1043"/>
      <c r="G1069" s="1043"/>
      <c r="H1069" s="1043"/>
      <c r="I1069" s="1043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0" t="s">
        <v>7145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0" t="s">
        <v>303</v>
      </c>
      <c r="I1073" s="821" t="s">
        <v>90</v>
      </c>
      <c r="J1073" s="821">
        <v>1</v>
      </c>
      <c r="K1073" s="618" t="s">
        <v>50</v>
      </c>
    </row>
    <row r="1074" spans="1:11">
      <c r="A1074" s="1121"/>
      <c r="B1074" s="657">
        <v>46230</v>
      </c>
      <c r="C1074" s="818" t="s">
        <v>21</v>
      </c>
      <c r="D1074" s="818" t="s">
        <v>14</v>
      </c>
      <c r="E1074" s="821" t="s">
        <v>1893</v>
      </c>
      <c r="F1074" s="821" t="s">
        <v>4939</v>
      </c>
      <c r="G1074" s="643" t="s">
        <v>482</v>
      </c>
      <c r="H1074" s="820" t="s">
        <v>6542</v>
      </c>
      <c r="I1074" s="821"/>
      <c r="J1074" s="821">
        <v>1</v>
      </c>
      <c r="K1074" s="618" t="s">
        <v>50</v>
      </c>
    </row>
    <row r="1075" spans="1:11">
      <c r="A1075" s="1121"/>
      <c r="B1075" s="657">
        <v>46234</v>
      </c>
      <c r="C1075" s="818" t="s">
        <v>21</v>
      </c>
      <c r="D1075" s="818" t="s">
        <v>14</v>
      </c>
      <c r="E1075" s="821" t="s">
        <v>1787</v>
      </c>
      <c r="F1075" s="821" t="s">
        <v>2978</v>
      </c>
      <c r="G1075" s="643" t="s">
        <v>205</v>
      </c>
      <c r="H1075" s="820" t="s">
        <v>5250</v>
      </c>
      <c r="I1075" s="821"/>
      <c r="J1075" s="821">
        <v>1</v>
      </c>
      <c r="K1075" s="618" t="s">
        <v>50</v>
      </c>
    </row>
    <row r="1076" spans="1:11">
      <c r="A1076" s="1121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9" t="s">
        <v>6670</v>
      </c>
      <c r="I1076" s="653"/>
      <c r="J1076" s="653">
        <v>1</v>
      </c>
      <c r="K1076" s="618" t="s">
        <v>50</v>
      </c>
    </row>
    <row r="1077" spans="1:11">
      <c r="A1077" s="1121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9" t="s">
        <v>6699</v>
      </c>
      <c r="I1077" s="653"/>
      <c r="J1077" s="653">
        <v>1</v>
      </c>
      <c r="K1077" s="618" t="s">
        <v>50</v>
      </c>
    </row>
    <row r="1078" spans="1:11">
      <c r="A1078" s="1121"/>
      <c r="B1078" s="657">
        <v>46247</v>
      </c>
      <c r="C1078" s="818" t="s">
        <v>21</v>
      </c>
      <c r="D1078" s="818" t="s">
        <v>14</v>
      </c>
      <c r="E1078" s="821" t="s">
        <v>1787</v>
      </c>
      <c r="F1078" s="821" t="s">
        <v>5408</v>
      </c>
      <c r="G1078" s="643" t="s">
        <v>4903</v>
      </c>
      <c r="H1078" s="820" t="s">
        <v>6781</v>
      </c>
      <c r="I1078" s="821"/>
      <c r="J1078" s="821">
        <v>2</v>
      </c>
      <c r="K1078" s="618" t="s">
        <v>50</v>
      </c>
    </row>
    <row r="1079" spans="1:11" ht="22.5">
      <c r="A1079" s="1121"/>
      <c r="B1079" s="657">
        <v>46249</v>
      </c>
      <c r="C1079" s="818" t="s">
        <v>21</v>
      </c>
      <c r="D1079" s="818" t="s">
        <v>14</v>
      </c>
      <c r="E1079" s="821" t="s">
        <v>107</v>
      </c>
      <c r="F1079" s="821" t="s">
        <v>5269</v>
      </c>
      <c r="G1079" s="643" t="s">
        <v>23</v>
      </c>
      <c r="H1079" s="820" t="s">
        <v>6814</v>
      </c>
      <c r="I1079" s="821" t="s">
        <v>6325</v>
      </c>
      <c r="J1079" s="821">
        <v>2</v>
      </c>
      <c r="K1079" s="618" t="s">
        <v>50</v>
      </c>
    </row>
    <row r="1080" spans="1:11">
      <c r="A1080" s="1121"/>
      <c r="B1080" s="644" t="s">
        <v>6909</v>
      </c>
      <c r="C1080" s="818" t="s">
        <v>311</v>
      </c>
      <c r="D1080" s="818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1"/>
      <c r="B1081" s="644" t="s">
        <v>6913</v>
      </c>
      <c r="C1081" s="818" t="s">
        <v>311</v>
      </c>
      <c r="D1081" s="818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1"/>
      <c r="B1082" s="644" t="s">
        <v>6916</v>
      </c>
      <c r="C1082" s="818" t="s">
        <v>311</v>
      </c>
      <c r="D1082" s="818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1"/>
      <c r="B1083" s="644" t="s">
        <v>6916</v>
      </c>
      <c r="C1083" s="818" t="s">
        <v>311</v>
      </c>
      <c r="D1083" s="818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1"/>
      <c r="B1084" s="644" t="s">
        <v>6918</v>
      </c>
      <c r="C1084" s="818" t="s">
        <v>311</v>
      </c>
      <c r="D1084" s="818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1"/>
      <c r="B1085" s="657">
        <v>46258</v>
      </c>
      <c r="C1085" s="818" t="s">
        <v>21</v>
      </c>
      <c r="D1085" s="818" t="s">
        <v>14</v>
      </c>
      <c r="E1085" s="821" t="s">
        <v>149</v>
      </c>
      <c r="F1085" s="821" t="s">
        <v>3415</v>
      </c>
      <c r="G1085" s="643" t="s">
        <v>23</v>
      </c>
      <c r="H1085" s="820" t="s">
        <v>6883</v>
      </c>
      <c r="I1085" s="821"/>
      <c r="J1085" s="821">
        <v>2</v>
      </c>
      <c r="K1085" s="618" t="s">
        <v>50</v>
      </c>
    </row>
    <row r="1086" spans="1:11">
      <c r="A1086" s="1129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9" t="s">
        <v>6864</v>
      </c>
      <c r="I1086" s="821"/>
      <c r="J1086" s="821">
        <v>2</v>
      </c>
      <c r="K1086" s="618" t="s">
        <v>50</v>
      </c>
    </row>
    <row r="1087" spans="1:11">
      <c r="A1087" s="1043" t="s">
        <v>1646</v>
      </c>
      <c r="B1087" s="1043"/>
      <c r="C1087" s="1043"/>
      <c r="D1087" s="1043"/>
      <c r="E1087" s="1043"/>
      <c r="F1087" s="1043"/>
      <c r="G1087" s="1043"/>
      <c r="H1087" s="1043"/>
      <c r="I1087" s="1043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0" t="s">
        <v>7146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9" t="s">
        <v>6720</v>
      </c>
      <c r="I1091" s="653"/>
      <c r="J1091" s="653">
        <v>1</v>
      </c>
      <c r="K1091" s="618" t="s">
        <v>50</v>
      </c>
    </row>
    <row r="1092" spans="1:11" ht="22.5">
      <c r="A1092" s="1121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9" t="s">
        <v>6629</v>
      </c>
      <c r="I1092" s="653"/>
      <c r="J1092" s="653">
        <v>1</v>
      </c>
      <c r="K1092" s="618" t="s">
        <v>7149</v>
      </c>
    </row>
    <row r="1093" spans="1:11">
      <c r="A1093" s="1121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9" t="s">
        <v>6693</v>
      </c>
      <c r="I1093" s="821" t="s">
        <v>1948</v>
      </c>
      <c r="J1093" s="821">
        <v>1</v>
      </c>
      <c r="K1093" s="618" t="s">
        <v>50</v>
      </c>
    </row>
    <row r="1094" spans="1:11">
      <c r="A1094" s="1121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9" t="s">
        <v>6693</v>
      </c>
      <c r="I1094" s="821" t="s">
        <v>1948</v>
      </c>
      <c r="J1094" s="821">
        <v>1</v>
      </c>
      <c r="K1094" s="618" t="s">
        <v>50</v>
      </c>
    </row>
    <row r="1095" spans="1:11">
      <c r="A1095" s="1121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9" t="s">
        <v>7147</v>
      </c>
      <c r="I1095" s="821"/>
      <c r="J1095" s="820">
        <v>1</v>
      </c>
      <c r="K1095" s="618" t="s">
        <v>50</v>
      </c>
    </row>
    <row r="1096" spans="1:11">
      <c r="A1096" s="1121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9" t="s">
        <v>7148</v>
      </c>
      <c r="I1096" s="821"/>
      <c r="J1096" s="820">
        <v>1</v>
      </c>
      <c r="K1096" s="618" t="s">
        <v>50</v>
      </c>
    </row>
    <row r="1097" spans="1:11">
      <c r="A1097" s="1121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0" t="s">
        <v>6826</v>
      </c>
      <c r="I1097" s="821" t="s">
        <v>168</v>
      </c>
      <c r="J1097" s="821">
        <v>1</v>
      </c>
      <c r="K1097" s="618" t="s">
        <v>50</v>
      </c>
    </row>
    <row r="1098" spans="1:11">
      <c r="A1098" s="1129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0" t="s">
        <v>6827</v>
      </c>
      <c r="I1098" s="821" t="s">
        <v>168</v>
      </c>
      <c r="J1098" s="821">
        <v>1</v>
      </c>
      <c r="K1098" s="618" t="s">
        <v>50</v>
      </c>
    </row>
    <row r="1099" spans="1:11">
      <c r="A1099" s="1043" t="s">
        <v>1646</v>
      </c>
      <c r="B1099" s="1043"/>
      <c r="C1099" s="1043"/>
      <c r="D1099" s="1043"/>
      <c r="E1099" s="1043"/>
      <c r="F1099" s="1043"/>
      <c r="G1099" s="1043"/>
      <c r="H1099" s="1043"/>
      <c r="I1099" s="1043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3" t="s">
        <v>5385</v>
      </c>
      <c r="I12" s="843"/>
      <c r="J12" s="843"/>
      <c r="K12" s="84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3" t="s">
        <v>5386</v>
      </c>
      <c r="I20" s="843"/>
      <c r="J20" s="843"/>
      <c r="K20" s="84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2026-09-07T07:34:34Z</dcterms:modified>
</cp:coreProperties>
</file>