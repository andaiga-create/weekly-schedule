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<sst xmlns="http://schemas.openxmlformats.org/spreadsheetml/2006/main" count="26162" uniqueCount="6676">
  <si>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</si>
  <si>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</si>
  <si>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</si>
  <si>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</si>
  <si>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</si>
  <si>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</si>
  <si>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</si>
  <si>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</si>
  <si>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</si>
  <si>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</si>
  <si>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</si>
  <si>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</si>
  <si>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</si>
  <si>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</si>
  <si>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</si>
  <si>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</si>
  <si>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</si>
  <si>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</si>
  <si>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</si>
  <si>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</si>
  <si>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</si>
  <si>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</si>
  <si>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</si>
  <si>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</si>
  <si>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</si>
  <si>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</si>
  <si>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</si>
  <si>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</si>
  <si>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</si>
  <si>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</si>
  <si>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</si>
  <si>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</si>
  <si>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</si>
  <si>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</si>
  <si>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</si>
  <si>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</si>
  <si>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</si>
  <si>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</si>
  <si>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</si>
  <si>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</si>
  <si>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</si>
  <si>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</si>
  <si>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</si>
  <si>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</si>
  <si>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</si>
  <si>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</si>
  <si>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</si>
  <si>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</si>
  <si>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</si>
  <si>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</si>
  <si>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</si>
  <si>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</si>
  <si>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</si>
  <si>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</si>
  <si>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</si>
  <si>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</si>
  <si>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</si>
  <si>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</si>
  <si>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</si>
  <si>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</si>
  <si>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</si>
  <si>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</si>
  <si>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</si>
  <si>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</si>
  <si>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</si>
  <si>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</si>
  <si>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</si>
  <si>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</si>
  <si>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</si>
  <si>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</si>
  <si>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</si>
  <si>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</si>
  <si>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</si>
  <si>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</si>
  <si>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</si>
  <si>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</si>
  <si>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</si>
  <si>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</si>
  <si>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</si>
  <si>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</si>
  <si>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</si>
  <si>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</si>
  <si>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</si>
  <si>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</si>
  <si>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</si>
  <si>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</si>
  <si>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</si>
  <si>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</si>
  <si>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</si>
  <si>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</si>
  <si>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</si>
  <si>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</si>
  <si>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</si>
  <si>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</si>
  <si>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</si>
  <si>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</si>
  <si>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</si>
  <si>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</si>
  <si>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</si>
  <si>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</si>
  <si>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</si>
  <si>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</si>
  <si>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</si>
  <si>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</si>
  <si>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</si>
  <si>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</si>
  <si>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</si>
  <si>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</si>
  <si>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</si>
  <si>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</si>
  <si>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</si>
  <si>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</si>
  <si>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</si>
  <si>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</si>
  <si>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</si>
  <si>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</si>
  <si>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</si>
  <si>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</si>
  <si>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</si>
  <si>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</si>
  <si>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</si>
  <si>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</si>
  <si>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</si>
  <si>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</si>
  <si>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</si>
  <si>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</si>
  <si>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</si>
  <si>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</si>
  <si>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</si>
  <si>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</si>
  <si>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</si>
  <si>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</si>
  <si>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</si>
  <si>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</si>
  <si>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</si>
  <si>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</si>
  <si>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</si>
  <si>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</si>
  <si>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</si>
  <si>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</si>
  <si>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</si>
  <si>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</si>
  <si>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</si>
  <si>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</si>
  <si>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</si>
  <si>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</si>
  <si>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</si>
  <si>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</si>
  <si>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</si>
  <si>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</si>
  <si>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</si>
  <si>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</si>
  <si>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</si>
  <si>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</si>
  <si>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</si>
  <si>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</si>
  <si>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</si>
  <si>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</si>
  <si>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</si>
  <si>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</si>
  <si>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</si>
  <si>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</si>
  <si>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</si>
  <si>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</si>
  <si>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</si>
  <si>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</si>
  <si>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</si>
  <si>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</si>
  <si>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</si>
  <si>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</si>
  <si>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</si>
  <si>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</si>
  <si>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</si>
  <si>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</si>
  <si>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</si>
  <si>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</si>
  <si>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</si>
  <si>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</si>
  <si>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</si>
  <si>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</si>
  <si>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</si>
  <si>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</si>
  <si>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</si>
  <si>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</si>
  <si>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</si>
  <si>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</si>
  <si>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</si>
  <si>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</si>
  <si>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</si>
  <si>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</si>
  <si>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</si>
  <si>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</si>
  <si>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</si>
  <si>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</si>
  <si>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</si>
  <si>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</si>
  <si>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</si>
  <si>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</si>
  <si>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</si>
  <si>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</si>
  <si>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</si>
  <si>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</si>
  <si>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</si>
  <si>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</si>
  <si>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</si>
  <si>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</si>
  <si>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</si>
  <si>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</si>
  <si>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</si>
  <si>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</si>
  <si>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</si>
  <si>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</si>
  <si>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</si>
  <si>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</si>
  <si>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</si>
  <si>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</si>
  <si>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</si>
  <si>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</si>
  <si>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</si>
  <si>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</si>
  <si>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</si>
  <si>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</si>
  <si>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</si>
  <si>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</si>
  <si>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</si>
  <si>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</si>
  <si>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</si>
  <si>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</si>
  <si>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</si>
  <si>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</si>
  <si>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</si>
  <si>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</si>
  <si>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</si>
  <si>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</si>
  <si>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</si>
  <si>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</si>
  <si>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</si>
  <si>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</si>
  <si>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</si>
  <si>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</si>
  <si>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</si>
  <si>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</si>
  <si>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</si>
  <si>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</si>
  <si>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</si>
  <si>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</si>
  <si>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</si>
  <si>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</si>
  <si>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</si>
  <si>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</si>
  <si>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</si>
  <si>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</si>
  <si>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</si>
  <si>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</si>
  <si>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</si>
  <si>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</si>
  <si>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</si>
  <si>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</si>
  <si>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</si>
  <si>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</si>
  <si>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</si>
  <si>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</si>
  <si>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</si>
  <si>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</si>
  <si>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</si>
  <si>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</si>
  <si>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</si>
  <si>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</si>
  <si>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</si>
  <si>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</si>
  <si>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</si>
  <si>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</si>
  <si>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</si>
  <si>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</si>
  <si>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</si>
  <si>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</si>
  <si>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</si>
  <si>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</si>
  <si>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</si>
  <si>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</si>
  <si>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</si>
  <si>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</si>
  <si>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</si>
  <si>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</si>
  <si>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</si>
  <si>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</si>
  <si>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</si>
  <si>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</si>
  <si>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</si>
  <si>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</si>
  <si>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</si>
  <si>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</si>
  <si>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</si>
  <si>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</si>
  <si>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</si>
  <si>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</si>
  <si>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</si>
  <si>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</si>
  <si>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</si>
  <si>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</si>
  <si>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</si>
  <si>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</si>
  <si>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</si>
  <si>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</si>
  <si>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</si>
  <si>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</si>
  <si>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</si>
  <si>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</si>
  <si>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</si>
  <si>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</si>
  <si>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</si>
  <si>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</si>
  <si>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</si>
  <si>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</si>
  <si>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</si>
  <si>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</si>
  <si>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</si>
  <si>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</si>
  <si>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</si>
  <si>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</si>
  <si>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</si>
  <si>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</si>
  <si>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</si>
  <si>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</si>
  <si>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</si>
  <si>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</si>
  <si>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</si>
  <si>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</si>
  <si>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</si>
  <si>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</si>
  <si>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</si>
  <si>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</si>
  <si>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</si>
  <si>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</si>
  <si>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</si>
  <si>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</si>
  <si>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</si>
  <si>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</si>
  <si>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</si>
  <si>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</si>
  <si>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</si>
  <si>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</si>
  <si>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</si>
  <si>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</si>
  <si>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</si>
  <si>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</si>
  <si>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</si>
  <si>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</si>
  <si>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</si>
  <si>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</si>
  <si>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</si>
  <si>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</si>
  <si>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</si>
  <si>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</si>
  <si>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</si>
  <si>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</si>
  <si>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</si>
  <si>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</si>
  <si>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</si>
  <si>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</si>
  <si>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</si>
  <si>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</si>
  <si>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</si>
  <si>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</si>
  <si>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</si>
  <si>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</si>
  <si>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</si>
  <si>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</si>
  <si>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</si>
  <si>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</si>
  <si>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</si>
  <si>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</si>
  <si>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</si>
  <si>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</si>
  <si>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</si>
  <si>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</si>
  <si>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</si>
  <si>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</si>
  <si>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</si>
  <si>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</si>
  <si>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</si>
  <si>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</si>
  <si>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</si>
  <si>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</si>
  <si>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</si>
  <si>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</si>
  <si>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</si>
  <si>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</si>
  <si>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</si>
  <si>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</si>
  <si>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</si>
  <si>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</si>
  <si>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</si>
  <si>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</si>
  <si>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</si>
  <si>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</si>
  <si>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</si>
  <si>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</si>
  <si>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</si>
  <si>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</si>
  <si>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</si>
  <si>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</si>
  <si>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</si>
  <si>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</si>
  <si>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</si>
  <si>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</si>
  <si>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</si>
  <si>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</si>
  <si>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</si>
  <si>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</si>
  <si>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</si>
  <si>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</si>
  <si>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</si>
  <si>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</si>
  <si>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</si>
  <si>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</si>
  <si>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</si>
  <si>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</si>
  <si>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</si>
  <si>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</si>
  <si>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</si>
  <si>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</si>
  <si>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</si>
  <si>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</si>
  <si>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</si>
  <si>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</si>
  <si>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</si>
  <si>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</si>
  <si>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</si>
  <si>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</si>
  <si>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</si>
  <si>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</si>
  <si>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</si>
  <si>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</si>
  <si>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</si>
  <si>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</si>
  <si>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</si>
  <si>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</si>
  <si>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</si>
  <si>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</si>
  <si>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</si>
  <si>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</si>
  <si>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</si>
  <si>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</si>
  <si>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</si>
  <si>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</si>
  <si>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</si>
  <si>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</si>
  <si>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</si>
  <si>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</si>
  <si>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</si>
  <si>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</si>
  <si>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</si>
  <si>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</si>
  <si>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</si>
  <si>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</si>
  <si>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</si>
  <si>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</si>
  <si>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</si>
  <si>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</si>
  <si>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</si>
  <si>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</si>
  <si>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</si>
  <si>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</si>
  <si>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</si>
  <si>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</si>
  <si>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</si>
  <si>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</si>
  <si>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</si>
  <si>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</si>
  <si>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</si>
  <si>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</si>
  <si>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</si>
  <si>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</si>
  <si>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</si>
  <si>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</si>
  <si>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</si>
  <si>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</si>
  <si>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</si>
  <si>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</si>
  <si>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</si>
  <si>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</si>
  <si>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</si>
  <si>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</si>
  <si>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</si>
  <si>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</si>
  <si>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</si>
  <si>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</si>
  <si>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</si>
  <si>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</si>
  <si>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</si>
  <si>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</si>
  <si>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</si>
  <si>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</si>
  <si>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</si>
  <si>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</si>
  <si>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</si>
  <si>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</si>
  <si>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</si>
  <si>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</si>
  <si>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</si>
  <si>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</si>
  <si>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</si>
  <si>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</si>
  <si>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</si>
  <si>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</si>
  <si>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</si>
  <si>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</si>
  <si>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</si>
  <si>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</si>
  <si>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</si>
  <si>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</si>
  <si>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</si>
  <si>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</si>
  <si>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</si>
  <si>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</si>
  <si>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</si>
  <si>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</si>
  <si>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</si>
  <si>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</si>
  <si>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</si>
  <si>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</si>
  <si>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</si>
  <si>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</si>
  <si>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</si>
  <si>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</si>
  <si>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</si>
  <si>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</si>
  <si>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</si>
  <si>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</si>
  <si>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</si>
  <si>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</si>
  <si>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</si>
  <si>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</si>
  <si>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</si>
  <si>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</si>
  <si>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</si>
  <si>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</si>
  <si>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</si>
  <si>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</si>
  <si>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</si>
  <si>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</si>
  <si>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</si>
  <si>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</si>
  <si>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</si>
  <si>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</si>
  <si>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</si>
  <si>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</si>
  <si>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</si>
  <si>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</si>
  <si>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</si>
  <si>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</si>
  <si>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</si>
  <si>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</si>
  <si>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</si>
  <si>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</si>
  <si>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</si>
  <si>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</si>
  <si>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</si>
  <si>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</si>
  <si>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</si>
  <si>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</si>
  <si>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</si>
  <si>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</si>
  <si>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</si>
  <si>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</si>
  <si>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</si>
  <si>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</si>
  <si>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</si>
  <si>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</si>
  <si>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</si>
  <si>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</si>
  <si>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</si>
  <si>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</si>
  <si>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</si>
  <si>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</si>
  <si>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</si>
  <si>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</si>
  <si>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</si>
  <si>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</si>
  <si>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</si>
  <si>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</si>
  <si>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</si>
  <si>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</si>
  <si>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</si>
  <si>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</si>
  <si>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</si>
  <si>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</si>
  <si>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</si>
  <si>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</si>
  <si>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</si>
  <si>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</si>
  <si>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</si>
  <si>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</si>
  <si>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</si>
  <si>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</si>
  <si>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</si>
  <si>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</si>
  <si>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</si>
  <si>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</si>
  <si>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</si>
  <si>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</si>
  <si>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</si>
  <si>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</si>
  <si>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</si>
  <si>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</si>
  <si>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</si>
  <si>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</si>
  <si>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</si>
  <si>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</si>
  <si>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</si>
  <si>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</si>
  <si>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</si>
  <si>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</si>
  <si>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</si>
  <si>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</si>
  <si>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</si>
  <si>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</si>
  <si>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</si>
  <si>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</si>
  <si>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</si>
  <si>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</si>
  <si>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</si>
  <si>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</si>
  <si>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</si>
  <si>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</si>
  <si>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</si>
  <si>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</si>
  <si>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</si>
  <si>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</si>
  <si>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</si>
  <si>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</si>
  <si>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</si>
  <si>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</si>
  <si>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</si>
  <si>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</si>
  <si>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</si>
  <si>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</si>
  <si>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</si>
  <si>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</si>
  <si>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</si>
  <si>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</si>
  <si>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</si>
  <si>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</si>
  <si>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</si>
  <si>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</si>
  <si>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</si>
  <si>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</si>
  <si>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</si>
  <si>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</si>
  <si>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</si>
  <si>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</si>
  <si>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</si>
  <si>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</si>
  <si>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</si>
  <si>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</si>
  <si>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</si>
  <si>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</si>
  <si>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</si>
  <si>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</si>
  <si>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</si>
  <si>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</si>
  <si>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</si>
  <si>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</si>
  <si>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</si>
  <si>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</si>
  <si>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</si>
  <si>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</si>
  <si>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</si>
  <si>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</si>
  <si>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</si>
  <si>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</si>
  <si>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</si>
  <si>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</si>
  <si>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</si>
  <si>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</si>
  <si>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</si>
  <si>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</si>
  <si>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</si>
  <si>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</si>
  <si>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</si>
  <si>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</si>
  <si>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</si>
  <si>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</si>
  <si>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</si>
  <si>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</si>
  <si>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</si>
  <si>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</si>
  <si>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</si>
  <si>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</si>
  <si>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</si>
  <si>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</si>
  <si>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</si>
  <si>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</si>
  <si>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</si>
  <si>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</si>
  <si>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</si>
  <si>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</si>
  <si>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</si>
  <si>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</si>
  <si>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</si>
  <si>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</si>
  <si>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</si>
  <si>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</si>
  <si>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</si>
  <si>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</si>
  <si>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</si>
  <si>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</si>
  <si>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</si>
  <si>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</si>
  <si>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</si>
  <si>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</si>
  <si>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</si>
  <si>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</si>
  <si>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</si>
  <si>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</si>
  <si>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</si>
  <si>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</si>
  <si>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</si>
  <si>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</si>
  <si>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</si>
  <si>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</si>
  <si>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</si>
  <si>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</si>
  <si>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</si>
  <si>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</si>
  <si>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</si>
  <si>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</si>
  <si>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</si>
  <si>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</si>
  <si>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</si>
  <si>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</si>
  <si>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</si>
  <si>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</si>
  <si>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</si>
  <si>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</si>
  <si>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</si>
  <si>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</si>
  <si>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</si>
  <si>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</si>
  <si>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</si>
  <si>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</si>
  <si>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</si>
  <si>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</si>
  <si>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</si>
  <si>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</si>
  <si>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</si>
  <si>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</si>
  <si>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</si>
  <si>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</si>
  <si>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</si>
  <si>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</si>
  <si>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</si>
  <si>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</si>
  <si>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</si>
  <si>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</si>
  <si>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</si>
  <si>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</si>
  <si>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</si>
  <si>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</si>
  <si>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</si>
  <si>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</si>
  <si>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</si>
  <si>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</si>
  <si>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</si>
  <si>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</si>
  <si>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</si>
  <si>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</si>
  <si>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</si>
  <si>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</si>
  <si>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</si>
  <si>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</si>
  <si>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</si>
  <si>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</si>
  <si>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</si>
  <si>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</si>
  <si>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</si>
  <si>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</si>
  <si>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</si>
  <si>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</si>
  <si>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</si>
  <si>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</si>
  <si>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</si>
  <si>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</si>
  <si>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</si>
  <si>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</si>
  <si>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</si>
  <si>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</si>
  <si>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</si>
  <si>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</si>
  <si>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</si>
  <si>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</si>
  <si>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</si>
  <si>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</si>
  <si>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</si>
  <si>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</si>
  <si>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</si>
  <si>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</si>
  <si>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</si>
  <si>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</si>
  <si>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</si>
  <si>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</si>
  <si>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</si>
  <si>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</si>
  <si>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</si>
  <si>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</si>
  <si>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</si>
  <si>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</si>
  <si>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</si>
  <si>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</si>
  <si>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</si>
  <si>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</si>
  <si>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</si>
  <si>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</si>
  <si>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</si>
  <si>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</si>
  <si>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</si>
  <si>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</si>
  <si>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</si>
  <si>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</si>
  <si>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</si>
  <si>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</si>
  <si>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</si>
  <si>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</si>
  <si>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</si>
  <si>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</si>
  <si>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</si>
  <si>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</si>
  <si>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</si>
  <si>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</si>
  <si>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</si>
  <si>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</si>
  <si>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</si>
  <si>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</si>
  <si>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</si>
  <si>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</si>
  <si>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</si>
  <si>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</si>
  <si>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</si>
  <si>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</si>
  <si>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</si>
  <si>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</si>
  <si>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</si>
  <si>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</si>
  <si>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</si>
  <si>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</si>
  <si>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</si>
  <si>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</si>
  <si>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</si>
  <si>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</si>
  <si>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</si>
  <si>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</si>
  <si>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</si>
  <si>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</si>
  <si>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</si>
  <si>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</si>
  <si>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</si>
  <si>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</si>
  <si>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</si>
  <si>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</si>
  <si>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</si>
  <si>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</si>
  <si>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</si>
  <si>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</si>
  <si>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</si>
  <si>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</si>
  <si>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</si>
  <si>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</si>
  <si>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</si>
  <si>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</si>
  <si>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</si>
  <si>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</si>
  <si>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</si>
  <si>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</si>
  <si>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</si>
  <si>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</si>
  <si>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</si>
  <si>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</si>
  <si>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</si>
  <si>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</si>
  <si>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</si>
  <si>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</si>
  <si>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</si>
  <si>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</si>
  <si>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</si>
  <si>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</si>
  <si>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</si>
  <si>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</si>
  <si>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</si>
  <si>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</si>
  <si>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</si>
  <si>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</si>
  <si>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</si>
  <si>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</si>
  <si>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</si>
  <si>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</si>
  <si>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</si>
  <si>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</si>
  <si>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</si>
  <si>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</si>
  <si>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</si>
  <si>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</si>
  <si>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</si>
  <si>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</si>
  <si>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</si>
  <si>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</si>
  <si>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</si>
  <si>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</si>
  <si>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</si>
  <si>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</si>
  <si>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</si>
  <si>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</si>
  <si>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</si>
  <si>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</si>
  <si>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</si>
  <si>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</si>
  <si>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</si>
  <si>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</si>
  <si>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</si>
  <si>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</si>
  <si>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</si>
  <si>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</si>
  <si>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</si>
  <si>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</si>
  <si>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</si>
  <si>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</si>
  <si>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</si>
  <si>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</si>
  <si>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</si>
  <si>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</si>
  <si>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</si>
  <si>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</si>
  <si>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</si>
  <si>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</si>
  <si>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</si>
  <si>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</si>
  <si>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</si>
  <si>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</si>
  <si>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</si>
  <si>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</si>
  <si>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</si>
  <si>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</si>
  <si>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</si>
  <si>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</si>
  <si>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</si>
  <si>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</si>
  <si>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</si>
  <si>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</si>
  <si>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</si>
  <si>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</si>
  <si>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</si>
  <si>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</si>
  <si>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</si>
  <si>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</si>
  <si>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</si>
  <si>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</si>
  <si>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</si>
  <si>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</si>
  <si>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</si>
  <si>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</si>
  <si>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</si>
  <si>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</si>
  <si>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</si>
  <si>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</si>
  <si>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</si>
  <si>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</si>
  <si>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</si>
  <si>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</si>
  <si>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</si>
  <si>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</si>
  <si>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</si>
  <si>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</si>
  <si>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</si>
  <si>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</si>
  <si>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</si>
  <si>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</si>
  <si>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</si>
  <si>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</si>
  <si>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</si>
  <si>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</si>
  <si>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</si>
  <si>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</si>
  <si>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</si>
  <si>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</si>
  <si>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</si>
  <si>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</si>
  <si>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</si>
  <si>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</si>
  <si>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</si>
  <si>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</si>
  <si>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</si>
  <si>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</si>
  <si>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</si>
  <si>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</si>
  <si>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</si>
  <si>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</si>
  <si>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</si>
  <si>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</si>
  <si>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</si>
  <si>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</si>
  <si>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</si>
  <si>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</si>
  <si>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</si>
  <si>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</si>
  <si>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</si>
  <si>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</si>
  <si>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</si>
  <si>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</si>
  <si>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</si>
  <si>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</si>
  <si>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</si>
  <si>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</si>
  <si>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</si>
  <si>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</si>
  <si>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</si>
  <si>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</si>
  <si>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</si>
  <si>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</si>
  <si>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</si>
  <si>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</si>
  <si>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</si>
  <si>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</si>
  <si>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</si>
  <si>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</si>
  <si>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</si>
  <si>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</si>
  <si>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</si>
  <si>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</si>
  <si>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</si>
  <si>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</si>
  <si>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</si>
  <si>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</si>
  <si>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</si>
  <si>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</si>
  <si>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</si>
  <si>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</si>
  <si>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</si>
  <si>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</si>
  <si>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</si>
  <si>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</si>
  <si>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</si>
  <si>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</si>
  <si>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</si>
  <si>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</si>
  <si>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</si>
  <si>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</si>
  <si>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</si>
  <si>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</si>
  <si>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</si>
  <si>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</si>
  <si>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</si>
  <si>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</si>
  <si>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</si>
  <si>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</si>
  <si>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</si>
  <si>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</si>
  <si>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</si>
  <si>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</si>
  <si>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</si>
  <si>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</si>
  <si>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</si>
  <si>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</si>
  <si>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</si>
  <si>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</si>
  <si>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</si>
  <si>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</si>
  <si>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</si>
  <si>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</si>
  <si>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</si>
  <si>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</si>
  <si>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</si>
  <si>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</si>
  <si>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</si>
  <si>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</si>
  <si>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</si>
  <si>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</si>
  <si>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</si>
  <si>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</si>
  <si>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</si>
  <si>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</si>
  <si>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</si>
  <si>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</si>
  <si>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</si>
  <si>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</si>
  <si>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</si>
  <si>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</si>
  <si>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</si>
  <si>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</si>
  <si>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</si>
  <si>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</si>
  <si>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</si>
  <si>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</si>
  <si>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</si>
  <si>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</si>
  <si>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</si>
  <si>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</si>
  <si>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</si>
  <si>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</si>
  <si>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</si>
  <si>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</si>
  <si>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</si>
  <si>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</si>
  <si>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</si>
  <si>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</si>
  <si>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</si>
  <si>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</si>
  <si>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</si>
  <si>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</si>
  <si>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</si>
  <si>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</si>
  <si>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</si>
  <si>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</si>
  <si>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</si>
  <si>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</si>
  <si>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</si>
  <si>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</si>
  <si>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</si>
  <si>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</si>
  <si>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</si>
  <si>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</si>
  <si>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</si>
  <si>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</si>
  <si>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</si>
  <si>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</si>
  <si>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</si>
  <si>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</si>
  <si>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</si>
  <si>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</si>
  <si>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</si>
  <si>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</si>
  <si>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</si>
  <si>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</si>
  <si>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</si>
  <si>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</si>
  <si>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</si>
  <si>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</si>
  <si>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</si>
  <si>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</si>
  <si>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</si>
  <si>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</si>
  <si>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</si>
  <si>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</si>
  <si>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</si>
  <si>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</si>
  <si>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</si>
  <si>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</si>
  <si>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</si>
  <si>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</si>
  <si>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</si>
  <si>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</si>
  <si>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</si>
  <si>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</si>
  <si>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</si>
  <si>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</si>
  <si>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</si>
  <si>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</si>
  <si>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</si>
  <si>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</si>
  <si>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</si>
  <si>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</si>
  <si>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</si>
  <si>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</si>
  <si>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</si>
  <si>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</si>
  <si>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</si>
  <si>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</si>
  <si>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</si>
  <si>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</si>
  <si>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</si>
  <si>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</si>
  <si>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</si>
  <si>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</si>
  <si>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</si>
  <si>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</si>
  <si>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</si>
  <si>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</si>
  <si>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</si>
  <si>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</si>
  <si>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</si>
  <si>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</si>
  <si>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</si>
  <si>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</si>
  <si>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</si>
  <si>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</si>
  <si>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</si>
  <si>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</si>
  <si>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</si>
  <si>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</si>
  <si>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</si>
  <si>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</si>
  <si>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</si>
  <si>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</si>
  <si>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</si>
  <si>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</si>
  <si>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</si>
  <si>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</si>
  <si>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</si>
  <si>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</si>
  <si>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</si>
  <si>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</si>
  <si>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</si>
  <si>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</si>
  <si>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</si>
  <si>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</si>
  <si>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</si>
  <si>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</si>
  <si>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</si>
  <si>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</si>
  <si>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</si>
  <si>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</si>
  <si>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</si>
  <si>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</si>
  <si>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</si>
  <si>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</si>
  <si>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</si>
  <si>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</si>
  <si>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</si>
  <si>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</si>
  <si>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</si>
  <si>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</si>
  <si>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</si>
  <si>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</si>
  <si>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</si>
  <si>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</si>
  <si>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</si>
  <si>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</si>
  <si>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</si>
  <si>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</si>
  <si>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</si>
  <si>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</si>
  <si>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</si>
  <si>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</si>
  <si>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</si>
  <si>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</si>
  <si>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</si>
  <si>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</si>
  <si>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</si>
  <si>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</si>
  <si>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</si>
  <si>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</si>
  <si>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</si>
  <si>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</si>
  <si>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</si>
  <si>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</si>
  <si>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</si>
  <si>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</si>
  <si>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</si>
  <si>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</si>
  <si>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</si>
  <si>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</si>
  <si>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</si>
  <si>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</si>
  <si>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</si>
  <si>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</si>
  <si>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</si>
  <si>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</si>
  <si>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</si>
  <si>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</si>
  <si>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</si>
  <si>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</si>
  <si>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</si>
  <si>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</si>
  <si>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</si>
  <si>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</si>
  <si>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</si>
  <si>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</si>
  <si>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</si>
  <si>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</si>
  <si>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</si>
  <si>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</si>
  <si>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</si>
  <si>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</si>
  <si>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</si>
  <si>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</si>
  <si>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</si>
  <si>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</si>
  <si>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</si>
  <si>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</si>
  <si>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</si>
  <si>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</si>
  <si>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</si>
  <si>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</si>
  <si>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</si>
  <si>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</si>
  <si>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</si>
  <si>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</si>
  <si>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</si>
  <si>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</si>
  <si>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</si>
  <si>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</si>
  <si>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</si>
  <si>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</si>
  <si>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</si>
  <si>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</si>
  <si>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</si>
  <si>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</si>
  <si>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</si>
  <si>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</si>
  <si>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</si>
  <si>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</si>
  <si>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</si>
  <si>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</si>
  <si>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</si>
  <si>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</si>
  <si>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</si>
  <si>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</si>
  <si>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</si>
  <si>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</si>
  <si>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</si>
  <si>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</si>
  <si>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</si>
  <si>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</si>
  <si>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</si>
  <si>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</si>
  <si>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</si>
  <si>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</si>
  <si>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</si>
  <si>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</si>
  <si>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</si>
  <si>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</si>
  <si>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</si>
  <si>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</si>
  <si>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</si>
  <si>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</si>
  <si>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</si>
  <si>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</si>
  <si>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</si>
  <si>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</si>
  <si>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</si>
  <si>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</si>
  <si>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</si>
  <si>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</si>
  <si>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</si>
  <si>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</si>
  <si>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</si>
  <si>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</si>
  <si>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</si>
  <si>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</si>
  <si>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</si>
  <si>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</si>
  <si>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</si>
  <si>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</si>
  <si>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</si>
  <si>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</si>
  <si>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</si>
  <si>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</si>
  <si>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</si>
  <si>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</si>
  <si>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</si>
  <si>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</si>
  <si>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</si>
  <si>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</si>
  <si>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</si>
  <si>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</si>
  <si>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</si>
  <si>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</si>
  <si>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</si>
  <si>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</si>
  <si>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</si>
  <si>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</si>
  <si>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</si>
  <si>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</si>
  <si>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</si>
  <si>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</si>
  <si>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</si>
  <si>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</si>
  <si>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</si>
  <si>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</si>
  <si>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</si>
  <si>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</si>
  <si>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</si>
  <si>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</si>
  <si>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</si>
  <si>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</si>
  <si>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</si>
  <si>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</si>
  <si>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</si>
  <si>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</si>
  <si>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</si>
  <si>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</si>
  <si>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</si>
  <si>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</si>
  <si>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</si>
  <si>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</si>
  <si>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</si>
  <si>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</si>
  <si>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</si>
  <si>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</si>
  <si>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</si>
  <si>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</si>
  <si>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</si>
  <si>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</si>
  <si>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</si>
  <si>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</si>
  <si>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</si>
  <si>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</si>
  <si>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</si>
  <si>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</si>
  <si>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</si>
  <si>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</si>
  <si>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</si>
  <si>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</si>
  <si>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</si>
  <si>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</si>
  <si>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</si>
  <si>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</si>
  <si>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</si>
  <si>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</si>
  <si>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</si>
  <si>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</si>
  <si>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</si>
  <si>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</si>
  <si>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</si>
  <si>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</si>
  <si>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</si>
  <si>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</si>
  <si>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</si>
  <si>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</si>
  <si>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</si>
  <si>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</si>
  <si>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</si>
  <si>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</si>
  <si>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</si>
  <si>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</si>
  <si>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</si>
  <si>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</si>
  <si>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</si>
  <si>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</si>
  <si>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</si>
  <si>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</si>
  <si>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</si>
  <si>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</si>
  <si>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</si>
  <si>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</si>
  <si>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</si>
  <si>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</si>
  <si>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</si>
  <si>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</si>
  <si>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</si>
  <si>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</si>
  <si>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</si>
  <si>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</si>
  <si>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</si>
  <si>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</si>
  <si>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</si>
  <si>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</si>
  <si>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</si>
  <si>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</si>
  <si>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</si>
  <si>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</si>
  <si>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</si>
  <si>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</si>
  <si>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</si>
  <si>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</si>
  <si>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</si>
  <si>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</si>
  <si>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</si>
  <si>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</si>
  <si>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</si>
  <si>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</si>
  <si>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</si>
  <si>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</si>
  <si>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</si>
  <si>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</si>
  <si>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</si>
  <si>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</si>
  <si>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</si>
  <si>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</si>
  <si>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</si>
  <si>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</si>
  <si>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</si>
  <si>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</si>
  <si>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</si>
  <si>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</si>
  <si>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</si>
  <si>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</si>
  <si>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</si>
  <si>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</si>
  <si>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</si>
  <si>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</si>
  <si>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</si>
  <si>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</si>
  <si>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</si>
  <si>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</si>
  <si>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</si>
  <si>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</si>
  <si>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</si>
  <si>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</si>
  <si>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</si>
  <si>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</si>
  <si>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</si>
  <si>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</si>
  <si>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</si>
  <si>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</si>
  <si>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</si>
  <si>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</si>
  <si>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</si>
  <si>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</si>
  <si>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</si>
  <si>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</si>
  <si>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</si>
  <si>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</si>
  <si>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</si>
  <si>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</si>
  <si>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</si>
  <si>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</si>
  <si>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</si>
  <si>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</si>
  <si>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</si>
  <si>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</si>
  <si>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</si>
  <si>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</si>
  <si>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</si>
  <si>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</si>
  <si>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</si>
  <si>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</si>
  <si>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</si>
  <si>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</si>
  <si>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</si>
  <si>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</si>
  <si>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</si>
  <si>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</si>
  <si>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</si>
  <si>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</si>
  <si>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</si>
  <si>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</si>
  <si>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</si>
  <si>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</si>
  <si>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</si>
  <si>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</si>
  <si>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</si>
  <si>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</si>
  <si>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</si>
  <si>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</si>
  <si>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</si>
  <si>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</si>
  <si>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</si>
  <si>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</si>
  <si>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</si>
  <si>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</si>
  <si>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</si>
  <si>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</si>
  <si>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</si>
  <si>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</si>
  <si>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</si>
  <si>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</si>
  <si>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</si>
  <si>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</si>
  <si>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</si>
  <si>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</si>
  <si>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</si>
  <si>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</si>
  <si>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</si>
  <si>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</si>
  <si>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</si>
  <si>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</si>
  <si>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</si>
  <si>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</si>
  <si>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</si>
  <si>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</si>
  <si>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</si>
  <si>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</si>
  <si>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</si>
  <si>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</si>
  <si>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</si>
  <si>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</si>
  <si>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</si>
  <si>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</si>
  <si>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</si>
  <si>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</si>
  <si>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</si>
  <si>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</si>
  <si>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</si>
  <si>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</si>
  <si>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</si>
  <si>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</si>
  <si>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</si>
  <si>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</si>
  <si>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</si>
  <si>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</si>
  <si>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</si>
  <si>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</si>
  <si>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</si>
  <si>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</si>
  <si>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</si>
  <si>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</si>
  <si>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</si>
  <si>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</si>
  <si>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</si>
  <si>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</si>
  <si>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</si>
  <si>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</si>
  <si>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</si>
  <si>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</si>
  <si>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</si>
  <si>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</si>
  <si>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</si>
  <si>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</si>
  <si>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</si>
  <si>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</si>
  <si>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</si>
  <si>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</si>
  <si>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</si>
  <si>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</si>
  <si>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</si>
  <si>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</si>
  <si>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</si>
  <si>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</si>
  <si>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</si>
  <si>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</si>
  <si>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</si>
  <si>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</si>
  <si>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</si>
  <si>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</si>
  <si>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</si>
  <si>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</si>
  <si>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</si>
  <si>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</si>
  <si>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</si>
  <si>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</si>
  <si>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</si>
  <si>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</si>
  <si>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</si>
  <si>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</si>
  <si>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</si>
  <si>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</si>
  <si>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</si>
  <si>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</si>
  <si>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</si>
  <si>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</si>
  <si>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</si>
  <si>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</si>
  <si>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</si>
  <si>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</si>
  <si>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</si>
  <si>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</si>
  <si>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</si>
  <si>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</si>
  <si>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</si>
  <si>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</si>
  <si>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</si>
  <si>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</si>
  <si>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</si>
  <si>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</si>
  <si>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</si>
  <si>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</si>
  <si>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</si>
  <si>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</si>
  <si>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</si>
  <si>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</si>
  <si>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</si>
  <si>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</si>
  <si>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</si>
  <si>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</si>
  <si>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</si>
  <si>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</si>
  <si>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</si>
  <si>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</si>
  <si>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</si>
  <si>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</si>
  <si>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</si>
  <si>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</si>
  <si>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</si>
  <si>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</si>
  <si>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</si>
  <si>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</si>
  <si>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</si>
  <si>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</si>
  <si>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</si>
  <si>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</si>
  <si>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</si>
  <si>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</si>
  <si>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</si>
  <si>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</si>
  <si>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</si>
  <si>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</si>
  <si>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</si>
  <si>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</si>
  <si>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</si>
  <si>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</si>
  <si>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</si>
  <si>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</si>
  <si>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</si>
  <si>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</si>
  <si>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</si>
  <si>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</si>
  <si>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</si>
  <si>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</si>
  <si>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</si>
  <si>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</si>
  <si>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</si>
  <si>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</si>
  <si>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</si>
  <si>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</si>
  <si>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</si>
  <si>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</si>
  <si>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</si>
  <si>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</si>
  <si>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</si>
  <si>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</si>
  <si>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</si>
  <si>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</si>
  <si>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</si>
  <si>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</si>
  <si>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</si>
  <si>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</si>
  <si>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</si>
  <si>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</si>
  <si>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</si>
  <si>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</si>
  <si>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</si>
  <si>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</si>
  <si>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</si>
  <si>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</si>
  <si>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</si>
  <si>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</si>
  <si>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</si>
  <si>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</si>
  <si>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</si>
  <si>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</si>
  <si>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</si>
  <si>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</si>
  <si>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</si>
  <si>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</si>
  <si>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</si>
  <si>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</si>
  <si>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</si>
  <si>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</si>
  <si>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</si>
  <si>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</si>
  <si>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</si>
  <si>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</si>
  <si>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</si>
  <si>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</si>
  <si>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</si>
  <si>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</si>
  <si>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</si>
  <si>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</si>
  <si>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</si>
  <si>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</si>
  <si>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</si>
  <si>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</si>
  <si>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</si>
  <si>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</si>
  <si>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</si>
  <si>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</si>
  <si>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</si>
  <si>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</si>
  <si>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</si>
  <si>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</si>
  <si>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</si>
  <si>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</si>
  <si>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</si>
  <si>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</si>
  <si>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</si>
  <si>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</si>
  <si>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</si>
  <si>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</si>
  <si>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</si>
  <si>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</si>
  <si>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</si>
  <si>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</si>
  <si>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</si>
  <si>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</si>
  <si>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</si>
  <si>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</si>
  <si>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</si>
  <si>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</si>
  <si>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</si>
  <si>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</si>
  <si>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</si>
  <si>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</si>
  <si>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</si>
  <si>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</si>
  <si>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</si>
  <si>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</si>
  <si>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</si>
  <si>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</si>
  <si>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</si>
  <si>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</si>
  <si>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</si>
  <si>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</si>
  <si>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</si>
  <si>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</si>
  <si>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</si>
  <si>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</si>
  <si>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</si>
  <si>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</si>
  <si>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</si>
  <si>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</si>
  <si>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</si>
  <si>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</si>
  <si>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</si>
  <si>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</si>
  <si>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</si>
  <si>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</si>
  <si>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</si>
  <si>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</si>
  <si>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</si>
  <si>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</si>
  <si>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</si>
  <si>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</si>
  <si>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</si>
  <si>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</si>
  <si>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</si>
  <si>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</si>
  <si>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</si>
  <si>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</si>
  <si>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</si>
  <si>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</si>
  <si>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</si>
  <si>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</si>
  <si>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</si>
  <si>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</si>
  <si>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</si>
  <si>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</si>
  <si>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</si>
  <si>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</si>
  <si>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</si>
  <si>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</si>
  <si>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</si>
  <si>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</si>
  <si>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</si>
  <si>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</si>
  <si>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</si>
  <si>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</si>
  <si>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</si>
  <si>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</si>
  <si>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</si>
  <si>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</si>
  <si>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</si>
  <si>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</si>
  <si>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</si>
  <si>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</si>
  <si>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</si>
  <si>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</si>
  <si>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</si>
  <si>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</si>
  <si>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</si>
  <si>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</si>
  <si>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</si>
  <si>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</si>
  <si>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</si>
  <si>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</si>
  <si>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</si>
  <si>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</si>
  <si>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</si>
  <si>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</si>
  <si>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</si>
  <si>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</si>
  <si>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</si>
  <si>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</si>
  <si>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</si>
  <si>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</si>
  <si>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</si>
  <si>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</si>
  <si>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</si>
  <si>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</si>
  <si>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</si>
  <si>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</si>
  <si>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</si>
  <si>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</si>
  <si>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</si>
  <si>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</si>
  <si>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</si>
  <si>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</si>
  <si>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</si>
  <si>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</si>
  <si>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</si>
  <si>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</si>
  <si>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</si>
  <si>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</si>
  <si>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</si>
  <si>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</si>
  <si>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</si>
  <si>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</si>
  <si>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</si>
  <si>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</si>
  <si>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</si>
  <si>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</si>
  <si>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</si>
  <si>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</si>
  <si>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</si>
  <si>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</si>
  <si>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</si>
  <si>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</si>
  <si>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</si>
  <si>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</si>
  <si>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</si>
  <si>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</si>
  <si>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</si>
  <si>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</si>
  <si>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</si>
  <si>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</si>
  <si>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</si>
  <si>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</si>
  <si>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</si>
  <si>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</si>
  <si>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</si>
  <si>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</si>
  <si>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</si>
  <si>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</si>
  <si>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</si>
  <si>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</si>
  <si>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</si>
  <si>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</si>
  <si>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</si>
  <si>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</si>
  <si>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</si>
  <si>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</si>
  <si>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</si>
  <si>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</si>
  <si>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</si>
  <si>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</si>
  <si>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</si>
  <si>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</si>
  <si>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</si>
  <si>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</si>
  <si>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</si>
  <si>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</si>
  <si>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</si>
  <si>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</si>
  <si>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</si>
  <si>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</si>
  <si>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</si>
  <si>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</si>
  <si>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</si>
  <si>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</si>
  <si>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</si>
  <si>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</si>
  <si>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</si>
  <si>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</si>
  <si>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</si>
  <si>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</si>
  <si>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</si>
  <si>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</si>
  <si>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</si>
  <si>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</si>
  <si>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</si>
  <si>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</si>
  <si>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</si>
  <si>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</si>
  <si>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</si>
  <si>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</si>
  <si>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</si>
  <si>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</si>
  <si>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</si>
  <si>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</si>
  <si>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</si>
  <si>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</si>
  <si>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</si>
  <si>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</si>
  <si>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</si>
  <si>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</si>
  <si>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</si>
  <si>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</si>
  <si>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</si>
  <si>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</si>
  <si>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</si>
  <si>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</si>
  <si>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</si>
  <si>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</si>
  <si>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</si>
  <si>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</si>
  <si>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</si>
  <si>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</si>
  <si>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</si>
  <si>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</si>
  <si>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</si>
  <si>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</si>
  <si>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</si>
  <si>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</si>
  <si>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</si>
  <si>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</si>
  <si>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</si>
  <si>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</si>
  <si>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</si>
  <si>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</si>
  <si>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</si>
  <si>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</si>
  <si>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</si>
  <si>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</si>
  <si>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</si>
  <si>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</si>
  <si>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</si>
  <si>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</si>
  <si>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</si>
  <si>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</si>
  <si>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</si>
  <si>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</si>
  <si>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</si>
  <si>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</si>
  <si>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</si>
  <si>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</si>
  <si>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</si>
  <si>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</si>
  <si>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</si>
  <si>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</si>
  <si>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</si>
  <si>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</si>
  <si>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</si>
  <si>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</si>
  <si>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</si>
  <si>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</si>
  <si>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</si>
  <si>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</si>
  <si>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</si>
  <si>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</si>
  <si>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</si>
  <si>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</si>
  <si>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</si>
  <si>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</si>
  <si>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</si>
  <si>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</si>
  <si>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</si>
  <si>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</si>
  <si>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</si>
  <si>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</si>
  <si>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</si>
  <si>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</si>
  <si>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</si>
  <si>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</si>
  <si>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</si>
  <si>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</si>
  <si>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</si>
  <si>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</si>
  <si>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</si>
  <si>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</si>
  <si>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</si>
  <si>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</si>
  <si>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</si>
  <si>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</si>
  <si>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</si>
  <si>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</si>
  <si>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</si>
  <si>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</si>
  <si>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</si>
  <si>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</si>
  <si>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</si>
  <si>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</si>
  <si>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</si>
  <si>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</si>
  <si>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</si>
  <si>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</si>
  <si>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</si>
  <si>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</si>
  <si>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</si>
  <si>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</si>
  <si>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</si>
  <si>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</si>
  <si>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</si>
  <si>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</si>
  <si>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</si>
  <si>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</si>
  <si>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</si>
  <si>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</si>
  <si>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</si>
  <si>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</si>
  <si>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</si>
  <si>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</si>
  <si>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</si>
  <si>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</si>
  <si>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</si>
  <si>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</si>
  <si>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</si>
  <si>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</si>
  <si>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</si>
  <si>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</si>
  <si>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</si>
  <si>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</si>
  <si>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</si>
  <si>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</si>
  <si>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</si>
  <si>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</si>
  <si>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</si>
  <si>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</si>
  <si>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</si>
  <si>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</si>
  <si>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</si>
  <si>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</si>
  <si>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</si>
  <si>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</si>
  <si>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</si>
  <si>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</si>
  <si>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</si>
  <si>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</si>
  <si>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</si>
  <si>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</si>
  <si>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</si>
  <si>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</si>
  <si>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</si>
  <si>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</si>
  <si>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</si>
  <si>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</si>
  <si>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</si>
  <si>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</si>
  <si>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</si>
  <si>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</si>
  <si>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</si>
  <si>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</si>
  <si>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</si>
  <si>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</si>
  <si>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</si>
  <si>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</si>
  <si>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</si>
  <si>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</si>
  <si>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</si>
  <si>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</si>
  <si>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</si>
  <si>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</si>
  <si>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</si>
  <si>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</si>
  <si>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</si>
  <si>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</si>
  <si>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</si>
  <si>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</si>
  <si>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</si>
  <si>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</si>
  <si>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</si>
  <si>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</si>
  <si>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</si>
  <si>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</si>
  <si>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</si>
  <si>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</si>
  <si>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</si>
  <si>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</si>
  <si>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</si>
  <si>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</si>
  <si>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</si>
  <si>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</si>
  <si>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</si>
  <si>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</si>
  <si>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</si>
  <si>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</si>
  <si>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</si>
  <si>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</si>
  <si>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</si>
  <si>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</si>
  <si>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</si>
  <si>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</si>
  <si>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</si>
  <si>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</si>
  <si>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</si>
  <si>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</si>
  <si>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</si>
  <si>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</si>
  <si>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</si>
  <si>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</si>
  <si>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</si>
  <si>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</si>
  <si>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</si>
  <si>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</si>
  <si>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</si>
  <si>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</si>
  <si>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</si>
  <si>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</si>
  <si>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</si>
  <si>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</si>
  <si>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</si>
  <si>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</si>
  <si>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</si>
  <si>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</si>
  <si>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</si>
  <si>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</si>
  <si>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</si>
  <si>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</si>
  <si>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</si>
  <si>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</si>
  <si>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</si>
  <si>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</si>
  <si>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</si>
  <si>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</si>
  <si>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</si>
  <si>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</si>
  <si>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</si>
  <si>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</si>
  <si>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</si>
  <si>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</si>
  <si>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</si>
  <si>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</si>
  <si>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</si>
  <si>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</si>
  <si>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</si>
  <si>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</si>
  <si>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</si>
  <si>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</si>
  <si>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</si>
  <si>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</si>
  <si>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</si>
  <si>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</si>
  <si>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</si>
  <si>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</si>
  <si>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</si>
  <si>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</si>
  <si>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</si>
  <si>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</si>
  <si>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</si>
  <si>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</si>
  <si>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</si>
  <si>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</si>
  <si>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</si>
  <si>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</si>
  <si>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</si>
  <si>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</si>
  <si>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</si>
  <si>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</si>
  <si>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</si>
  <si>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</si>
  <si>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</si>
  <si>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</si>
  <si>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</si>
  <si>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</si>
  <si>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</si>
  <si>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</si>
  <si>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</si>
  <si>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</si>
  <si>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</si>
  <si>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</si>
  <si>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</si>
  <si>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</si>
  <si>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</si>
  <si>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</si>
  <si>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</si>
  <si>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</si>
  <si>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</si>
  <si>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</si>
  <si>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</si>
  <si>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</si>
  <si>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</si>
  <si>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</si>
  <si>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</si>
  <si>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</si>
  <si>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</si>
  <si>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</si>
  <si>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</si>
  <si>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</si>
  <si>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</si>
  <si>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</si>
  <si>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</si>
  <si>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</si>
  <si>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</si>
  <si>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</si>
  <si>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</si>
  <si>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</si>
  <si>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</si>
  <si>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</si>
  <si>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</si>
  <si>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</si>
  <si>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</si>
  <si>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</si>
  <si>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</si>
  <si>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</si>
  <si>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</si>
  <si>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</si>
  <si>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</si>
  <si>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</si>
  <si>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</si>
  <si>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</si>
  <si>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</si>
  <si>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</si>
  <si>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</si>
  <si>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</si>
  <si>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</si>
  <si>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</si>
  <si>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</si>
  <si>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</si>
  <si>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</si>
  <si>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</si>
  <si>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</si>
  <si>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</si>
  <si>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</si>
  <si>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</si>
  <si>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</si>
  <si>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</si>
  <si>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</si>
  <si>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</si>
  <si>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</si>
  <si>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</si>
  <si>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</si>
  <si>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</si>
  <si>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</si>
  <si>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</si>
  <si>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</si>
  <si>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</si>
  <si>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</si>
  <si>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</si>
  <si>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</si>
  <si>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</si>
  <si>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</si>
  <si>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</si>
  <si>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</si>
  <si>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</si>
  <si>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</si>
  <si>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</si>
  <si>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</si>
  <si>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</si>
  <si>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</si>
  <si>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</si>
  <si>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</si>
  <si>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</si>
  <si>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</si>
  <si>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</si>
  <si>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</si>
  <si>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</si>
  <si>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</si>
  <si>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</si>
  <si>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</si>
  <si>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</si>
  <si>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</si>
  <si>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</si>
  <si>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</si>
  <si>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</si>
  <si>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</si>
  <si>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</si>
  <si>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</si>
  <si>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</si>
  <si>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</si>
  <si>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</si>
  <si>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</si>
  <si>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</si>
  <si>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</si>
  <si>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</si>
  <si>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</si>
  <si>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</si>
  <si>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</si>
  <si>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</si>
  <si>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</si>
  <si>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</si>
  <si>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</si>
  <si>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</si>
  <si>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</si>
  <si>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</si>
  <si>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</si>
  <si>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</si>
  <si>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</si>
  <si>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</si>
  <si>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</si>
  <si>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</si>
  <si>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</si>
  <si>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</si>
  <si>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</si>
  <si>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</si>
  <si>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</si>
  <si>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</si>
  <si>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</si>
  <si>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</si>
  <si>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</si>
  <si>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</si>
  <si>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</si>
  <si>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</si>
  <si>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</si>
  <si>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</si>
  <si>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</si>
  <si>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</si>
  <si>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</si>
  <si>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</si>
  <si>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</si>
  <si>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</si>
  <si>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</si>
  <si>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</si>
  <si>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</si>
  <si>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</si>
  <si>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</si>
  <si>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</si>
  <si>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</si>
  <si>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</si>
  <si>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</si>
  <si>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</si>
  <si>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</si>
  <si>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</si>
  <si>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</si>
  <si>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</si>
  <si>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</si>
  <si>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</si>
  <si>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</si>
  <si>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</si>
  <si>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</si>
  <si>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</si>
  <si>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</si>
  <si>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</si>
  <si>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</si>
  <si>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</si>
  <si>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</si>
  <si>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</si>
  <si>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</si>
  <si>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</si>
  <si>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</si>
  <si>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</si>
  <si>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</si>
  <si>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</si>
  <si>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</si>
  <si>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</si>
  <si>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</si>
  <si>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</si>
  <si>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</si>
  <si>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</si>
  <si>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</si>
  <si>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</si>
  <si>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</si>
  <si>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</si>
  <si>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</si>
  <si>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</si>
  <si>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</si>
  <si>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</si>
  <si>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</si>
  <si>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</si>
  <si>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</si>
  <si>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</si>
  <si>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</si>
  <si>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</si>
  <si>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</si>
  <si>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</si>
  <si>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</si>
  <si>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</si>
  <si>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</si>
  <si>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</si>
  <si>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</si>
  <si>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</si>
  <si>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</si>
  <si>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</si>
  <si>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</si>
  <si>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</si>
  <si>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</si>
  <si>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</si>
  <si>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</si>
  <si>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</si>
  <si>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</si>
  <si>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</si>
  <si>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</si>
  <si>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</si>
  <si>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</si>
  <si>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</si>
  <si>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</si>
  <si>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</si>
  <si>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</si>
  <si>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</si>
  <si>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</si>
  <si>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</si>
  <si>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</si>
  <si>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</si>
  <si>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</si>
  <si>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</si>
  <si>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</si>
  <si>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</si>
  <si>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</si>
  <si>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</si>
  <si>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</si>
  <si>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</si>
  <si>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</si>
  <si>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</si>
  <si>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</si>
  <si>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</si>
  <si>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</si>
  <si>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</si>
  <si>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</si>
  <si>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</si>
  <si>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</si>
  <si>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</si>
  <si>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</si>
  <si>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</si>
  <si>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</si>
  <si>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</si>
  <si>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</si>
  <si>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</si>
  <si>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</si>
  <si>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</si>
  <si>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</si>
  <si>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</si>
  <si>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</si>
  <si>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</si>
  <si>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</si>
  <si>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</si>
  <si>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</si>
  <si>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</si>
  <si>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</si>
  <si>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</si>
  <si>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</si>
  <si>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</si>
  <si>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</si>
  <si>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</si>
  <si>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</si>
  <si>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</si>
  <si>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</si>
  <si>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</si>
  <si>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</si>
  <si>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</si>
  <si>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</si>
  <si>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</si>
  <si>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</si>
  <si>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</si>
  <si>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</si>
  <si>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</si>
  <si>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</si>
  <si>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</si>
  <si>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</si>
  <si>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</si>
  <si>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</si>
  <si>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</si>
  <si>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</si>
  <si>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</si>
  <si>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</si>
  <si>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</si>
  <si>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</si>
  <si>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</si>
  <si>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</si>
  <si>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</si>
  <si>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</si>
  <si>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</si>
  <si>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</si>
  <si>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</si>
  <si>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</si>
  <si>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</si>
  <si>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</si>
  <si>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</si>
  <si>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</si>
  <si>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</si>
  <si>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</si>
  <si>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</si>
  <si>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</si>
  <si>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</si>
  <si>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</si>
  <si>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</si>
  <si>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</si>
  <si>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</si>
  <si>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</si>
  <si>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</si>
  <si>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</si>
  <si>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</si>
  <si>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</si>
  <si>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</si>
  <si>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</si>
  <si>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</si>
  <si>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</si>
  <si>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</si>
  <si>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</si>
  <si>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</si>
  <si>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</si>
  <si>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</si>
  <si>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</si>
  <si>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</si>
  <si>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</si>
  <si>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</si>
  <si>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</si>
  <si>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</si>
  <si>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</si>
  <si>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</si>
  <si>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</si>
  <si>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</si>
  <si>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</si>
  <si>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</si>
  <si>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</si>
  <si>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</si>
  <si>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</si>
  <si>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</si>
  <si>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</si>
  <si>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</si>
  <si>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</si>
  <si>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</si>
  <si>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</si>
  <si>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</si>
  <si>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</si>
  <si>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</si>
  <si>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</si>
  <si>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</si>
  <si>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</si>
  <si>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</si>
  <si>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</si>
  <si>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</si>
  <si>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</si>
  <si>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</si>
  <si>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</si>
  <si>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</si>
  <si>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</si>
  <si>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</si>
  <si>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</si>
  <si>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</si>
  <si>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</si>
  <si>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</si>
  <si>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</si>
  <si>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</si>
  <si>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</si>
  <si>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</si>
  <si>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</si>
  <si>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</si>
  <si>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</si>
  <si>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</si>
  <si>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</si>
  <si>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</si>
  <si>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</si>
  <si>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</si>
  <si>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</si>
  <si>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</si>
  <si>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</si>
  <si>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</si>
  <si>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</si>
  <si>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</si>
  <si>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</si>
  <si>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</si>
  <si>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</si>
  <si>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</si>
  <si>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</si>
  <si>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</si>
  <si>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</si>
  <si>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</si>
  <si>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</si>
  <si>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</si>
  <si>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</si>
  <si>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</si>
  <si>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</si>
  <si>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</si>
  <si>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</si>
  <si>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</si>
  <si>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</si>
  <si>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</si>
  <si>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</si>
  <si>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</si>
  <si>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</si>
  <si>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</si>
  <si>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</si>
  <si>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</si>
  <si>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</si>
  <si>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</si>
  <si>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</si>
  <si>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</si>
  <si>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</si>
  <si>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</si>
  <si>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</si>
  <si>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</si>
  <si>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</si>
  <si>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</si>
  <si>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</si>
  <si>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</si>
  <si>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</si>
  <si>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</si>
  <si>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</si>
  <si>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</si>
  <si>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</si>
  <si>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</si>
  <si>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</si>
  <si>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</si>
  <si>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</si>
  <si>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</si>
  <si>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</si>
  <si>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</si>
  <si>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</si>
  <si>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</si>
  <si>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</si>
  <si>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</si>
  <si>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</si>
  <si>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</si>
  <si>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</si>
  <si>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</si>
  <si>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</si>
  <si>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</si>
  <si>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</si>
  <si>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</si>
  <si>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</si>
  <si>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</si>
  <si>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</si>
  <si>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</si>
  <si>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</si>
  <si>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</si>
  <si>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</si>
  <si>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</si>
  <si>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</si>
  <si>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</si>
  <si>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</si>
  <si>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</si>
  <si>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</si>
  <si>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</si>
  <si>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</si>
  <si>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</si>
  <si>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</si>
  <si>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</si>
  <si>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</si>
  <si>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</si>
  <si>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</si>
  <si>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</si>
  <si>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</si>
  <si>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</si>
  <si>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</si>
  <si>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</si>
  <si>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</si>
  <si>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</si>
  <si>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</si>
  <si>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</si>
  <si>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</si>
  <si>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</si>
  <si>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</si>
  <si>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</si>
  <si>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</si>
  <si>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</si>
  <si>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</si>
  <si>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</si>
  <si>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</si>
  <si>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</si>
  <si>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</si>
  <si>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</si>
  <si>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</si>
  <si>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</si>
  <si>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</si>
  <si>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</si>
  <si>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</si>
  <si>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</si>
  <si>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</si>
  <si>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</si>
  <si>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</si>
  <si>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</si>
  <si>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</si>
  <si>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</si>
  <si>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</si>
  <si>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</si>
  <si>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</si>
  <si>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</si>
  <si>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</si>
  <si>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</si>
  <si>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</si>
  <si>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</si>
  <si>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</si>
  <si>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</si>
  <si>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</si>
  <si>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</si>
  <si>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</si>
  <si>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</si>
  <si>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</si>
  <si>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</si>
  <si>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</si>
  <si>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</si>
  <si>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</si>
  <si>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</si>
  <si>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</si>
  <si>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</si>
  <si>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</si>
  <si>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</si>
  <si>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</si>
  <si>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</si>
  <si>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</si>
  <si>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</si>
  <si>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</si>
  <si>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</si>
  <si>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</si>
  <si>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</si>
  <si>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</si>
  <si>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</si>
  <si>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</si>
  <si>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</si>
  <si>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</si>
  <si>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</si>
  <si>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</si>
  <si>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</si>
  <si>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</si>
  <si>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</si>
  <si>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</si>
  <si>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</si>
  <si>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</si>
  <si>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</si>
  <si>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</si>
  <si>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</si>
  <si>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</si>
  <si>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</si>
  <si>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</si>
  <si>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</si>
  <si>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</si>
  <si>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</si>
  <si>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</si>
  <si>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</si>
  <si>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</si>
  <si>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</si>
  <si>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</si>
  <si>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</si>
  <si>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</si>
  <si>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</si>
  <si>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</si>
  <si>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</si>
  <si>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</si>
  <si>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</si>
  <si>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</si>
  <si>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</si>
  <si>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</si>
  <si>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</si>
  <si>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</si>
  <si>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</si>
  <si>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</si>
  <si>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</si>
  <si>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</si>
  <si>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</si>
  <si>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</si>
  <si>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</si>
  <si>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</si>
  <si>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</si>
  <si>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</si>
  <si>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</si>
  <si>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</si>
  <si>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</si>
  <si>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</si>
  <si>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</si>
  <si>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</si>
  <si>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</si>
  <si>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</si>
  <si>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</si>
  <si>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</si>
  <si>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</si>
  <si>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</si>
  <si>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</si>
  <si>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</si>
  <si>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</si>
  <si>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</si>
  <si>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</si>
  <si>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</si>
  <si>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</si>
  <si>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</si>
  <si>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</si>
  <si>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</si>
  <si>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</si>
  <si>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</si>
  <si>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</si>
  <si>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</si>
  <si>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</si>
  <si>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</si>
  <si>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</si>
  <si>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</si>
  <si>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</si>
  <si>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</si>
  <si>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</si>
  <si>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</si>
  <si>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</si>
  <si>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</si>
  <si>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</si>
  <si>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</si>
  <si>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</si>
  <si>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</si>
  <si>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</si>
  <si>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</si>
  <si>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</si>
  <si>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</si>
  <si>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</si>
  <si>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</si>
  <si>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</si>
  <si>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</si>
  <si>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</si>
  <si>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</si>
  <si>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</si>
  <si>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</si>
  <si>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</si>
  <si>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</si>
  <si>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</si>
  <si>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</si>
  <si>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</si>
  <si>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</si>
  <si>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</si>
  <si>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</si>
  <si>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</si>
  <si>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</si>
  <si>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</si>
  <si>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</si>
  <si>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</si>
  <si>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</si>
  <si>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</si>
  <si>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</si>
  <si>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</si>
  <si>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</si>
  <si>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</si>
  <si>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</si>
  <si>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</si>
  <si>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</si>
  <si>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</si>
  <si>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</si>
  <si>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</si>
  <si>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</si>
  <si>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</si>
  <si>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</si>
  <si>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</si>
  <si>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</si>
  <si>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</si>
  <si>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</si>
  <si>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</si>
  <si>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</si>
  <si>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</si>
  <si>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</si>
  <si>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</si>
  <si>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</si>
  <si>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</si>
  <si>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</si>
  <si>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</si>
  <si>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</si>
  <si>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</si>
  <si>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</si>
  <si>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</si>
  <si>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</si>
  <si>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</si>
  <si>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</si>
  <si>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</si>
  <si>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</si>
  <si>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</si>
  <si>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</si>
  <si>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</si>
  <si>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</si>
  <si>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</si>
  <si>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</si>
  <si>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</si>
  <si>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</si>
  <si>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</si>
  <si>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</si>
  <si>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</si>
  <si>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</si>
  <si>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</si>
  <si>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</si>
  <si>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</si>
  <si>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</si>
  <si>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</si>
  <si>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</si>
  <si>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</si>
  <si>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</si>
  <si>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</si>
  <si>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</si>
  <si>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</si>
  <si>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</si>
  <si>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</si>
  <si>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</si>
  <si>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</si>
  <si>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</si>
  <si>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</si>
  <si>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</si>
  <si>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</si>
  <si>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</si>
  <si>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</si>
  <si>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</si>
  <si>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</si>
  <si>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</si>
  <si>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</si>
  <si>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</si>
  <si>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</si>
  <si>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</si>
  <si>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</si>
  <si>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</si>
  <si>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</si>
  <si>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</si>
  <si>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</si>
  <si>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</si>
  <si>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</si>
  <si>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</si>
  <si>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</si>
  <si>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</si>
  <si>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</si>
  <si>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</si>
  <si>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</si>
  <si>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</si>
  <si>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</si>
  <si>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</si>
  <si>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</si>
  <si>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</si>
  <si>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</si>
  <si>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</si>
  <si>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</si>
  <si>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</si>
  <si>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</si>
  <si>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</si>
  <si>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</si>
  <si>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</si>
  <si>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</si>
  <si>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</si>
  <si>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</si>
  <si>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</si>
  <si>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</si>
  <si>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</si>
  <si>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</si>
  <si>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</si>
  <si>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</si>
  <si>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</si>
  <si>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</si>
  <si>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</si>
  <si>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</si>
  <si>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</si>
  <si>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</si>
  <si>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</si>
  <si>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</si>
  <si>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</si>
  <si>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</si>
  <si>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</si>
  <si>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</si>
  <si>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</si>
  <si>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</si>
  <si>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</si>
  <si>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</si>
  <si>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</si>
  <si>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</si>
  <si>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</si>
  <si>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</si>
  <si>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</si>
  <si>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</si>
  <si>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</si>
  <si>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</si>
  <si>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</si>
  <si>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</si>
  <si>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</si>
  <si>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</si>
  <si>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</si>
  <si>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</si>
  <si>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</si>
  <si>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</si>
  <si>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</si>
  <si>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</si>
  <si>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</si>
  <si>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</si>
  <si>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</si>
  <si>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</si>
  <si>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</si>
  <si>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</si>
  <si>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</si>
  <si>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</si>
  <si>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</si>
  <si>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</si>
  <si>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</si>
  <si>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</si>
  <si>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</si>
  <si>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</si>
  <si>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</si>
  <si>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</si>
  <si>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</si>
  <si>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</si>
  <si>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</si>
  <si>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</si>
  <si>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</si>
  <si>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</si>
  <si>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</si>
  <si>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</si>
  <si>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</si>
  <si>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</si>
  <si>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</si>
  <si>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</si>
  <si>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</si>
  <si>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</si>
  <si>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</si>
  <si>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</si>
  <si>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</si>
  <si>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</si>
  <si>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</si>
  <si>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</si>
  <si>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</si>
  <si>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</si>
  <si>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</si>
  <si>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</si>
  <si>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</si>
  <si>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</si>
  <si>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</si>
  <si>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</si>
  <si>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</si>
  <si>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</si>
  <si>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</si>
  <si>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</si>
  <si>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</si>
  <si>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</si>
  <si>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</si>
  <si>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</si>
  <si>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</si>
  <si>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</si>
  <si>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</si>
  <si>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</si>
  <si>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</si>
  <si>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</si>
  <si>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</si>
  <si>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</si>
  <si>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</si>
  <si>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</si>
  <si>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</si>
  <si>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</si>
  <si>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</si>
  <si>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</si>
  <si>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</si>
  <si>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</si>
  <si>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</si>
  <si>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</si>
  <si>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</si>
  <si>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</si>
  <si>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</si>
  <si>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</si>
  <si>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</si>
  <si>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</si>
  <si>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</si>
  <si>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</si>
  <si>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</si>
  <si>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</si>
  <si>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</si>
  <si>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</si>
  <si>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</si>
  <si>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</si>
  <si>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</si>
  <si>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</si>
  <si>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</si>
  <si>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</si>
  <si>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</si>
  <si>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</si>
  <si>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</si>
  <si>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</si>
  <si>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</si>
  <si>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</si>
  <si>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</si>
  <si>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</si>
  <si>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</si>
  <si>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</si>
  <si>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</si>
  <si>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</si>
  <si>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</si>
  <si>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</si>
  <si>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</si>
  <si>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</si>
  <si>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</si>
  <si>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</si>
  <si>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</si>
  <si>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</si>
  <si>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</si>
  <si>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</si>
  <si>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</si>
  <si>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</si>
  <si>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</si>
  <si>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</si>
  <si>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</si>
  <si>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</si>
  <si>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</si>
  <si>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</si>
  <si>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</si>
  <si>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</si>
  <si>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</si>
  <si>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</si>
  <si>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</si>
  <si>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</si>
  <si>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</si>
  <si>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</si>
  <si>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</si>
  <si>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</si>
  <si>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</si>
  <si>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</si>
  <si>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</si>
  <si>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</si>
  <si>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</si>
  <si>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</si>
  <si>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</si>
  <si>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</si>
  <si>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</si>
  <si>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</si>
  <si>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</si>
  <si>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</si>
  <si>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</si>
  <si>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</si>
  <si>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</si>
  <si>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</si>
  <si>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</si>
  <si>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</si>
  <si>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</si>
  <si>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</si>
  <si>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</si>
  <si>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</si>
  <si>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</si>
  <si>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</si>
  <si>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</si>
  <si>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</si>
  <si>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</si>
  <si>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</si>
  <si>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</si>
  <si>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</si>
  <si>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</si>
  <si>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</si>
  <si>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</si>
  <si>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</si>
  <si>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</si>
  <si>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</si>
  <si>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</si>
  <si>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</si>
  <si>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</si>
  <si>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</si>
  <si>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</si>
  <si>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</si>
  <si>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</si>
  <si>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</si>
  <si>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</si>
  <si>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</si>
  <si>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</si>
  <si>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</si>
  <si>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</si>
  <si>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</si>
  <si>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</si>
  <si>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</si>
  <si>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</si>
  <si>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</si>
  <si>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</si>
  <si>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</si>
  <si>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</si>
  <si>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</si>
  <si>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</si>
  <si>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</si>
  <si>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</si>
  <si>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</si>
  <si>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</si>
  <si>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</si>
  <si>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</si>
  <si>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</si>
  <si>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</si>
  <si>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</si>
  <si>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</si>
  <si>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</si>
  <si>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</si>
  <si>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</si>
  <si>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</si>
  <si>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</si>
  <si>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</si>
  <si>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</si>
  <si>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</si>
  <si>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</si>
  <si>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</si>
  <si>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</si>
  <si>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</si>
  <si>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</si>
  <si>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</si>
  <si>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</si>
  <si>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</si>
  <si>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</si>
  <si>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</si>
  <si>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</si>
  <si>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</si>
  <si>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</si>
  <si>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</si>
  <si>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</si>
  <si>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</si>
  <si>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</si>
  <si>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</si>
  <si>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</si>
  <si>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</si>
  <si>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</si>
  <si>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</si>
  <si>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</si>
  <si>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</si>
  <si>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</si>
  <si>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</si>
  <si>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</si>
  <si>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</si>
  <si>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</si>
  <si>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</si>
  <si>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</si>
  <si>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</si>
  <si>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</si>
  <si>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</si>
  <si>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</si>
  <si>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</si>
  <si>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</si>
  <si>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</si>
  <si>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</si>
  <si>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</si>
  <si>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</si>
  <si>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</si>
  <si>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</si>
  <si>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</si>
  <si>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</si>
  <si>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</si>
  <si>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</si>
  <si>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</si>
  <si>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</si>
  <si>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</si>
  <si>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</si>
  <si>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</si>
  <si>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</si>
  <si>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</si>
  <si>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</si>
  <si>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</si>
  <si>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</si>
  <si>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</si>
  <si>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</si>
  <si>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</si>
  <si>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</si>
  <si>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</si>
  <si>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</si>
  <si>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</si>
  <si>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</si>
  <si>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</si>
  <si>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</si>
  <si>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</si>
  <si>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</si>
  <si>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</si>
  <si>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</si>
  <si>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</si>
  <si>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</si>
  <si>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</si>
  <si>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</si>
  <si>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</si>
  <si>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</si>
  <si>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</si>
  <si>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</si>
  <si>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</si>
  <si>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</si>
  <si>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</si>
  <si>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</si>
  <si>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</si>
  <si>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</si>
  <si>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</si>
  <si>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</si>
  <si>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</si>
  <si>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</si>
  <si>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</si>
  <si>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</si>
  <si>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</si>
  <si>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</si>
  <si>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</si>
  <si>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</si>
  <si>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</si>
  <si>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</si>
  <si>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</si>
  <si>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</si>
  <si>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</si>
  <si>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</si>
  <si>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</si>
  <si>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</si>
  <si>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</si>
  <si>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</si>
  <si>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</si>
  <si>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</si>
  <si>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</si>
  <si>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</si>
  <si>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</si>
  <si>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</si>
  <si>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</si>
  <si>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</si>
  <si>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</si>
  <si>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</si>
  <si>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</si>
  <si>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</si>
  <si>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</si>
  <si>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</si>
  <si>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</si>
  <si>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</si>
  <si>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</si>
  <si>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</si>
  <si>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</si>
  <si>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</si>
  <si>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</si>
  <si>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</si>
  <si>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</si>
  <si>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</si>
  <si>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</si>
  <si>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</si>
  <si>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</si>
  <si>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</si>
  <si>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</si>
  <si>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</si>
  <si>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</si>
  <si>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</si>
  <si>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</si>
  <si>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</si>
  <si>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</si>
  <si>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</si>
  <si>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</si>
  <si>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</si>
  <si>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</si>
  <si>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</si>
  <si>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</si>
  <si>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</si>
  <si>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</si>
  <si>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</si>
  <si>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</si>
  <si>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</si>
  <si>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</si>
  <si>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</si>
  <si>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</si>
  <si>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</si>
  <si>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</si>
  <si>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</si>
  <si>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</si>
  <si>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</si>
  <si>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</si>
  <si>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</si>
  <si>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</si>
  <si>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</si>
  <si>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</si>
  <si>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</si>
  <si>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</si>
  <si>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</si>
  <si>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</si>
  <si>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</si>
  <si>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</si>
  <si>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</si>
  <si>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</si>
  <si>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</si>
  <si>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</si>
  <si>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</si>
  <si>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</si>
  <si>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</si>
  <si>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</si>
  <si>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</si>
  <si>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</si>
  <si>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</si>
  <si>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</si>
  <si>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</si>
  <si>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</si>
  <si>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</si>
  <si>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</si>
  <si>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</si>
  <si>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</si>
  <si>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</si>
  <si>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</si>
  <si>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</si>
  <si>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</si>
  <si>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</si>
  <si>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</si>
  <si>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</si>
  <si>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</si>
  <si>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</si>
  <si>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</si>
  <si>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</si>
  <si>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</si>
  <si>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</si>
  <si>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</si>
  <si>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</si>
  <si>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</si>
  <si>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</si>
  <si>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</si>
  <si>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</si>
  <si>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</si>
  <si>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</si>
  <si>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</si>
  <si>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</si>
  <si>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</si>
  <si>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</si>
  <si>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</si>
  <si>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</si>
  <si>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</si>
  <si>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</si>
  <si>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</si>
  <si>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</si>
  <si>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</si>
  <si>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</si>
  <si>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</si>
  <si>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</si>
  <si>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</si>
  <si>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</si>
  <si>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</si>
  <si>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</si>
  <si>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</si>
  <si>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</si>
  <si>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</si>
  <si>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</si>
  <si>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</si>
  <si>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</si>
  <si>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</si>
  <si>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</si>
  <si>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</si>
  <si>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</si>
  <si>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</si>
  <si>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</si>
  <si>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</si>
  <si>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</si>
  <si>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</si>
  <si>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</si>
  <si>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</si>
  <si>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</si>
  <si>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</si>
  <si>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</si>
  <si>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</si>
  <si>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</si>
  <si>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</si>
  <si>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</si>
  <si>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</si>
  <si>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</si>
  <si>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</si>
  <si>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</si>
  <si>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</si>
  <si>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</si>
  <si>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</si>
  <si>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</si>
  <si>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</si>
  <si>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</si>
  <si>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</si>
  <si>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</si>
  <si>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</si>
  <si>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</si>
  <si>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</si>
  <si>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</si>
  <si>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</si>
  <si>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</si>
  <si>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</si>
  <si>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</si>
  <si>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</si>
  <si>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</si>
  <si>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</si>
  <si>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</si>
  <si>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</si>
  <si>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</si>
  <si>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</si>
  <si>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</si>
  <si>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</si>
  <si>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</si>
  <si>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</si>
  <si>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</si>
  <si>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</si>
  <si>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</si>
  <si>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</si>
  <si>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</si>
  <si>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</si>
  <si>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</si>
  <si>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</si>
  <si>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</si>
  <si>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</si>
  <si>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</si>
  <si>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</si>
  <si>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</si>
  <si>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</si>
  <si>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</si>
  <si>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</si>
  <si>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</si>
  <si>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</si>
  <si>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</si>
  <si>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</si>
  <si>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</si>
  <si>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</si>
  <si>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</si>
  <si>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</si>
  <si>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</si>
  <si>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</si>
  <si>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</si>
  <si>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</si>
  <si>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</si>
  <si>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</si>
  <si>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</si>
  <si>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</si>
  <si>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</si>
  <si>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</si>
  <si>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</si>
  <si>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</si>
  <si>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</si>
  <si>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</si>
  <si>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</si>
  <si>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</si>
  <si>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</si>
  <si>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</si>
  <si>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</si>
  <si>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</si>
  <si>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</si>
  <si>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</si>
  <si>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</si>
  <si>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</si>
  <si>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</si>
  <si>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</si>
  <si>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</si>
  <si>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</si>
  <si>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</si>
  <si>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</si>
  <si>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</si>
  <si>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</si>
  <si>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</si>
  <si>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</si>
  <si>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</si>
  <si>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</si>
  <si>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</si>
  <si>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</si>
  <si>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</si>
  <si>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</si>
  <si>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</si>
  <si>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</si>
  <si>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</si>
  <si>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</si>
  <si>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</si>
  <si>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</si>
  <si>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</si>
  <si>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</si>
  <si>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</si>
  <si>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</si>
  <si>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</si>
  <si>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</si>
  <si>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</si>
  <si>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</si>
  <si>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</si>
  <si>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</si>
  <si>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</si>
  <si>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</si>
  <si>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</si>
  <si>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</si>
  <si>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</si>
  <si>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</si>
  <si>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</si>
  <si>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</si>
  <si>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</si>
  <si>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</si>
  <si>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</si>
  <si>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</si>
  <si>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</si>
  <si>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</si>
  <si>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</si>
  <si>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</si>
  <si>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</si>
  <si>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</si>
  <si>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</si>
  <si>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</si>
  <si>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</si>
  <si>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</si>
  <si>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</si>
  <si>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</si>
  <si>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</si>
  <si>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</si>
  <si>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</si>
  <si>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</si>
  <si>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</si>
  <si>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</si>
  <si>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</si>
  <si>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</si>
  <si>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</si>
  <si>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</si>
  <si>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</si>
  <si>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</si>
  <si>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</si>
  <si>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</si>
  <si>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</si>
  <si>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</si>
  <si>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</si>
  <si>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</si>
  <si>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</si>
  <si>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</si>
  <si>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</si>
  <si>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</si>
  <si>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</si>
  <si>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</si>
  <si>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</si>
  <si>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</si>
  <si>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</si>
  <si>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</si>
  <si>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</si>
  <si>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</si>
  <si>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</si>
  <si>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</si>
  <si>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</si>
  <si>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</si>
  <si>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</si>
  <si>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</si>
  <si>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</si>
  <si>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</si>
  <si>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</si>
  <si>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</si>
  <si>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</si>
  <si>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</si>
  <si>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</si>
  <si>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</si>
  <si>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</si>
  <si>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</si>
  <si>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</si>
  <si>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</si>
  <si>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</si>
  <si>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</si>
  <si>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</si>
  <si>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</si>
  <si>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</si>
  <si>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</si>
  <si>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</si>
  <si>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</si>
  <si>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</si>
  <si>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</si>
  <si>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</si>
  <si>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</si>
  <si>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</si>
  <si>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</si>
  <si>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</si>
  <si>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</si>
  <si>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</si>
  <si>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</si>
  <si>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</si>
  <si>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</si>
  <si>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</si>
  <si>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</si>
  <si>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</si>
  <si>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</si>
  <si>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</si>
  <si>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</si>
  <si>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</si>
  <si>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</si>
  <si>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</si>
  <si>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</si>
  <si>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</si>
  <si>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</si>
  <si>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</si>
  <si>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</si>
  <si>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</si>
  <si>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</si>
  <si>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</si>
  <si>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</si>
  <si>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</si>
  <si>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</si>
  <si>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</si>
  <si>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</si>
  <si>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</si>
  <si>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</si>
  <si>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</si>
  <si>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</si>
  <si>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</si>
  <si>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</si>
  <si>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</si>
  <si>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</si>
  <si>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</si>
  <si>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</si>
  <si>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</si>
  <si>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</si>
  <si>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</si>
  <si>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</si>
  <si>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</si>
  <si>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</si>
  <si>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</si>
  <si>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</si>
  <si>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</si>
  <si>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</si>
  <si>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</si>
  <si>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</si>
  <si>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</si>
  <si>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</si>
  <si>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</si>
  <si>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</si>
  <si>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</si>
  <si>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</si>
  <si>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</si>
  <si>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</si>
  <si>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</si>
  <si>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</si>
  <si>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</si>
  <si>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</si>
  <si>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</si>
  <si>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</si>
  <si>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</si>
  <si>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</si>
  <si>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</si>
  <si>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</si>
  <si>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</si>
  <si>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</si>
  <si>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</si>
  <si>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</si>
  <si>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</si>
  <si>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</si>
  <si>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</si>
  <si>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</si>
  <si>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</si>
  <si>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</si>
  <si>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</si>
  <si>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</si>
  <si>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</si>
  <si>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</si>
  <si>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</si>
  <si>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</si>
  <si>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</si>
  <si>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</si>
  <si>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</si>
  <si>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</si>
  <si>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</si>
  <si>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</si>
  <si>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</si>
  <si>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</si>
  <si>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</si>
  <si>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</si>
  <si>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</si>
  <si>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</si>
  <si>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</si>
  <si>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</si>
  <si>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</si>
  <si>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</si>
  <si>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</si>
  <si>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</si>
  <si>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</si>
  <si>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</si>
  <si>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</si>
  <si>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</si>
  <si>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</si>
  <si>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</si>
  <si>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</si>
  <si>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</si>
  <si>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</si>
  <si>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</si>
  <si>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</si>
  <si>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</si>
  <si>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</si>
  <si>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</si>
  <si>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</si>
  <si>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</si>
  <si>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</si>
  <si>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</si>
  <si>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</si>
  <si>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</si>
  <si>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</si>
  <si>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</si>
  <si>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</si>
  <si>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</si>
  <si>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</si>
  <si>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</si>
  <si>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</si>
  <si>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</si>
  <si>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</si>
  <si>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</si>
  <si>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</si>
  <si>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</si>
  <si>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</si>
  <si>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</si>
  <si>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</si>
  <si>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</si>
  <si>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</si>
  <si>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</si>
  <si>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</si>
  <si>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</si>
  <si>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</si>
  <si>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</si>
  <si>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</si>
  <si>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</si>
  <si>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</si>
  <si>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</si>
  <si>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</si>
  <si>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</si>
  <si>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</si>
  <si>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</si>
  <si>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</si>
  <si>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</si>
  <si>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</si>
  <si>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</si>
  <si>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</si>
  <si>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</si>
  <si>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</si>
  <si>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</si>
  <si>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</si>
  <si>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</si>
  <si>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</si>
  <si>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</si>
  <si>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</si>
  <si>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</si>
  <si>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</si>
  <si>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</si>
  <si>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</si>
  <si>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</si>
  <si>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</si>
  <si>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</si>
  <si>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</si>
  <si>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</si>
  <si>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</si>
  <si>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</si>
  <si>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</si>
  <si>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</si>
  <si>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</si>
  <si>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</si>
  <si>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</si>
  <si>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</si>
  <si>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</si>
  <si>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</si>
  <si>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</si>
  <si>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</si>
  <si>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</si>
  <si>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</si>
  <si>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</si>
  <si>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</si>
  <si>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</si>
  <si>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</si>
  <si>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</si>
  <si>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</si>
  <si>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</si>
  <si>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</si>
  <si>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</si>
  <si>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</si>
  <si>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</si>
  <si>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</si>
  <si>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</si>
  <si>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</si>
  <si>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</si>
  <si>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</si>
  <si>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</si>
  <si>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</si>
  <si>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</si>
  <si>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</si>
  <si>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</si>
  <si>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</si>
  <si>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</si>
  <si>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</si>
  <si>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</si>
  <si>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</si>
  <si>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</si>
  <si>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</si>
  <si>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</si>
  <si>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</si>
  <si>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</si>
  <si>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</si>
  <si>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</si>
  <si>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</si>
  <si>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</si>
  <si>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</si>
  <si>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</si>
  <si>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</si>
  <si>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</si>
  <si>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</si>
  <si>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</si>
  <si>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</si>
  <si>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</si>
  <si>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</si>
  <si>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</si>
  <si>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</si>
  <si>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</si>
  <si>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</si>
  <si>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</si>
  <si>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</si>
  <si>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</si>
  <si>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</si>
  <si>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</si>
  <si>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</si>
  <si>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</si>
  <si>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</si>
  <si>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</si>
  <si>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</si>
  <si>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</si>
  <si>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</si>
  <si>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</si>
  <si>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</si>
  <si>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</si>
  <si>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</si>
  <si>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</si>
  <si>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</si>
  <si>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</si>
  <si>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</si>
  <si>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</si>
  <si>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</si>
  <si>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</si>
  <si>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</si>
  <si>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</si>
  <si>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</si>
  <si>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</si>
  <si>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</si>
  <si>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</si>
  <si>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</si>
  <si>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</si>
  <si>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</si>
  <si>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</si>
  <si>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</si>
  <si>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</si>
  <si>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</si>
  <si>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</si>
  <si>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</si>
  <si>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</si>
  <si>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</si>
  <si>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</si>
  <si>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</si>
  <si>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</si>
  <si>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</si>
  <si>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</si>
  <si>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</si>
  <si>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</si>
  <si>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</si>
  <si>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</si>
  <si>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</si>
  <si>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</si>
  <si>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</si>
  <si>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</si>
  <si>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</si>
  <si>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</si>
  <si>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</si>
  <si>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</si>
  <si>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</si>
  <si>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</si>
  <si>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</si>
  <si>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</si>
  <si>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</si>
  <si>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</si>
  <si>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</si>
  <si>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</si>
  <si>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</si>
  <si>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</si>
  <si>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</si>
  <si>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</si>
  <si>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</si>
  <si>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</si>
  <si>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</si>
  <si>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</si>
  <si>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</si>
  <si>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</si>
  <si>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</si>
  <si>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</si>
  <si>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</si>
  <si>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</si>
  <si>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</si>
  <si>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</si>
  <si>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</si>
  <si>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</si>
  <si>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</si>
  <si>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</si>
  <si>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</si>
  <si>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</si>
  <si>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</si>
  <si>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</si>
  <si>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</si>
  <si>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</si>
  <si>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</si>
  <si>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</si>
  <si>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</si>
  <si>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</si>
  <si>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</si>
  <si>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</si>
  <si>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</si>
  <si>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</si>
  <si>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</si>
  <si>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</si>
  <si>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</si>
  <si>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</si>
  <si>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</si>
  <si>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</si>
  <si>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</si>
  <si>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</si>
  <si>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</si>
  <si>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</si>
  <si>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</si>
  <si>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</si>
  <si>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</si>
  <si>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</si>
  <si>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</si>
  <si>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</si>
  <si>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</si>
  <si>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</si>
  <si>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</si>
  <si>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</si>
  <si>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</si>
  <si>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</si>
  <si>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</si>
  <si>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</si>
  <si>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</si>
  <si>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</si>
  <si>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</si>
  <si>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</si>
  <si>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</si>
  <si>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</si>
  <si>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</si>
  <si>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</si>
  <si>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</si>
  <si>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</si>
  <si>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</si>
  <si>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</si>
  <si>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</si>
  <si>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</si>
  <si>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</si>
  <si>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</si>
  <si>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</si>
  <si>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</si>
  <si>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</si>
  <si>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</si>
  <si>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</si>
  <si>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</si>
  <si>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</si>
  <si>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</si>
  <si>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</si>
  <si>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</si>
  <si>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</si>
  <si>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</si>
  <si>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</si>
  <si>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</si>
  <si>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</si>
  <si>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</si>
  <si>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</si>
  <si>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</si>
  <si>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</si>
  <si>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</si>
  <si>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</si>
  <si>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</si>
  <si>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</si>
  <si>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</si>
  <si>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</si>
  <si>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</si>
  <si>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</si>
  <si>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</si>
  <si>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</si>
  <si>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</si>
  <si>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</si>
  <si>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</si>
  <si>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</si>
  <si>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</si>
  <si>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</si>
  <si>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</si>
  <si>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</si>
  <si>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</si>
  <si>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</si>
  <si>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</si>
  <si>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</si>
  <si>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</si>
  <si>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</si>
  <si>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</si>
  <si>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</si>
  <si>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</si>
  <si>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</si>
  <si>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</si>
  <si>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</si>
  <si>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</si>
  <si>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</si>
  <si>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</si>
  <si>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</si>
  <si>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</si>
  <si>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</si>
  <si>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</si>
  <si>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</si>
  <si>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</si>
  <si>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</si>
  <si>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</si>
  <si>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</si>
  <si>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</si>
  <si>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</si>
  <si>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</si>
  <si>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</si>
  <si>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</si>
  <si>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</si>
  <si>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</si>
  <si>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</si>
  <si>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</si>
  <si>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</si>
  <si>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</si>
  <si>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</si>
  <si>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</si>
  <si>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</si>
  <si>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</si>
  <si>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</si>
  <si>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</si>
  <si>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</si>
  <si>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</si>
  <si>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</si>
  <si>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</si>
  <si>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</si>
  <si>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</si>
  <si>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</si>
  <si>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</si>
  <si>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</si>
  <si>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</si>
  <si>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</si>
  <si>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</si>
  <si>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</si>
  <si>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</si>
  <si>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</si>
  <si>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</si>
  <si>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</si>
  <si>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</si>
  <si>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</si>
  <si>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</si>
  <si>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</si>
  <si>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</si>
  <si>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</si>
  <si>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</si>
  <si>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</si>
  <si>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</si>
  <si>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</si>
  <si>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</si>
  <si>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</si>
  <si>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</si>
  <si>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</si>
  <si>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</si>
  <si>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</si>
  <si>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</si>
  <si>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</si>
  <si>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</si>
  <si>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</si>
  <si>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</si>
  <si>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</si>
  <si>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</si>
  <si>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</si>
  <si>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</si>
  <si>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</si>
  <si>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</si>
  <si>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</si>
  <si>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</si>
  <si>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</si>
  <si>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</si>
  <si>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</si>
  <si>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</si>
  <si>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</si>
  <si>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</si>
  <si>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</si>
  <si>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</si>
  <si>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</si>
  <si>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</si>
  <si>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</si>
  <si>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</si>
  <si>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</si>
  <si>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</si>
  <si>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</si>
  <si>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</si>
  <si>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</si>
  <si>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</si>
  <si>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</si>
  <si>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</si>
  <si>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</si>
  <si>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</si>
  <si>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</si>
  <si>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</si>
  <si>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</si>
  <si>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</si>
  <si>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</si>
  <si>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</si>
  <si>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</si>
  <si>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</si>
  <si>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</si>
  <si>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</si>
  <si>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</si>
  <si>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</si>
  <si>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</si>
  <si>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</si>
  <si>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</si>
  <si>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</si>
  <si>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</si>
  <si>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</si>
  <si>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</si>
  <si>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</si>
  <si>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</si>
  <si>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</si>
  <si>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</si>
  <si>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</si>
  <si>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</si>
  <si>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</si>
  <si>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</si>
  <si>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</si>
  <si>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</si>
  <si>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</si>
  <si>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</si>
  <si>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</si>
  <si>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</si>
  <si>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</si>
  <si>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</si>
  <si>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</si>
  <si>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</si>
  <si>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</si>
  <si>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</si>
  <si>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</si>
  <si>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</si>
  <si>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</si>
  <si>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</si>
  <si>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</si>
  <si>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</si>
  <si>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</si>
  <si>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</si>
  <si>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</si>
  <si>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</si>
  <si>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</si>
  <si>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</si>
  <si>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</si>
  <si>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</si>
  <si>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</si>
  <si>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</si>
  <si>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</si>
  <si>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</si>
  <si>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</si>
  <si>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</si>
  <si>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</si>
  <si>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</si>
  <si>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</si>
  <si>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</si>
  <si>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</si>
  <si>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</si>
  <si>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</si>
  <si>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</si>
  <si>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</si>
  <si>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</si>
  <si>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</si>
  <si>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</si>
  <si>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</si>
  <si>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</si>
  <si>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</si>
  <si>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</si>
  <si>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</si>
  <si>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</si>
  <si>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</si>
  <si>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</si>
  <si>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</si>
  <si>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</si>
  <si>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</si>
  <si>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</si>
  <si>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</si>
  <si>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</si>
  <si>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</si>
  <si>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</si>
  <si>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</si>
  <si>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</si>
  <si>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</si>
  <si>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</si>
  <si>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</si>
  <si>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</si>
  <si>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</si>
  <si>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</si>
  <si>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</si>
  <si>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</si>
  <si>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</si>
  <si>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</si>
  <si>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</si>
  <si>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</si>
  <si>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</si>
  <si>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</si>
  <si>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</si>
  <si>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</si>
  <si>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</si>
  <si>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</si>
  <si>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</si>
  <si>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</si>
  <si>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</si>
  <si>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</si>
  <si>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</si>
  <si>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</si>
  <si>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</si>
  <si>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</si>
  <si>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</si>
  <si>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</si>
  <si>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</si>
  <si>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</si>
  <si>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</si>
  <si>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</si>
  <si>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</si>
  <si>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</si>
  <si>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</si>
  <si>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</si>
  <si>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</si>
  <si>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</si>
  <si>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</si>
  <si>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</si>
  <si>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</si>
  <si>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</si>
  <si>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</si>
  <si>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</si>
  <si>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</si>
  <si>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</si>
  <si>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</si>
  <si>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</si>
  <si>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</si>
  <si>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</si>
  <si>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</si>
  <si>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</si>
  <si>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</si>
  <si>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</si>
  <si>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</si>
  <si>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</si>
  <si>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</si>
  <si>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</si>
  <si>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</si>
  <si>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</si>
  <si>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</si>
  <si>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</si>
  <si>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</si>
  <si>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</si>
  <si>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</si>
  <si>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</si>
  <si>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</si>
  <si>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</si>
  <si>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</si>
  <si>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</si>
  <si>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</si>
  <si>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</si>
  <si>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</si>
  <si>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</si>
  <si>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</si>
  <si>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</si>
  <si>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</si>
  <si>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</si>
  <si>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</si>
  <si>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</si>
  <si>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</si>
  <si>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</si>
  <si>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</si>
  <si>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</si>
  <si>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</si>
  <si>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</si>
  <si>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</si>
  <si>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</si>
  <si>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</si>
  <si>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</si>
  <si>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</si>
  <si>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</si>
  <si>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</si>
  <si>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</si>
  <si>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</si>
  <si>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</si>
  <si>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</si>
  <si>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</si>
  <si>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</si>
  <si>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</si>
  <si>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</si>
  <si>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</si>
  <si>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</si>
  <si>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</si>
  <si>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</si>
  <si>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</si>
  <si>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</si>
  <si>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</si>
  <si>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</si>
  <si>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</si>
  <si>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</si>
  <si>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</si>
  <si>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</si>
  <si>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</si>
  <si>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</si>
  <si>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</si>
  <si>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</si>
  <si>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</si>
  <si>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</si>
  <si>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</si>
  <si>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</si>
  <si>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</si>
  <si>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</si>
  <si>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</si>
  <si>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</si>
  <si>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</si>
  <si>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</si>
  <si>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</si>
  <si>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</si>
  <si>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</si>
  <si>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</si>
  <si>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</si>
  <si>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</si>
  <si>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</si>
  <si>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</si>
  <si>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</si>
  <si>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</si>
  <si>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</si>
  <si>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</si>
  <si>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</si>
  <si>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</si>
  <si>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</si>
  <si>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</si>
  <si>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</si>
  <si>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</si>
  <si>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</si>
  <si>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</si>
  <si>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</si>
  <si>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</si>
  <si>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</si>
  <si>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</si>
  <si>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</si>
  <si>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</si>
  <si>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</si>
  <si>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</si>
  <si>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</si>
  <si>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</si>
  <si>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</si>
  <si>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</si>
  <si>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</si>
  <si>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</si>
  <si>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</si>
  <si>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</si>
  <si>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</si>
  <si>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</si>
  <si>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</si>
  <si>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</si>
  <si>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</si>
  <si>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</si>
  <si>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</si>
  <si>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</si>
  <si>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</si>
  <si>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</si>
  <si>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</si>
  <si>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</si>
  <si>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</si>
  <si>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</si>
  <si>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</si>
  <si>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</si>
  <si>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</si>
  <si>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</si>
  <si>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</si>
  <si>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</si>
  <si>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</si>
  <si>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</si>
  <si>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</si>
  <si>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</si>
  <si>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</si>
  <si>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</si>
  <si>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</si>
  <si>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</si>
  <si>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</si>
  <si>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</si>
  <si>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</si>
  <si>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</si>
  <si>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</si>
  <si>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</si>
  <si>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</si>
  <si>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</si>
  <si>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</si>
  <si>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</si>
  <si>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</si>
  <si>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</si>
  <si>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</si>
  <si>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</si>
  <si>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</si>
  <si>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</si>
  <si>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</si>
  <si>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</si>
  <si>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</si>
  <si>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</si>
  <si>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</si>
  <si>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</si>
  <si>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</si>
  <si>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</si>
  <si>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</si>
  <si>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</si>
  <si>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</si>
  <si>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</si>
  <si>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</si>
  <si>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</si>
  <si>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</si>
  <si>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</si>
  <si>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</si>
  <si>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</si>
  <si>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</si>
  <si>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</si>
  <si>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</si>
  <si>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</si>
  <si>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</si>
  <si>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</si>
  <si>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</si>
  <si>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</si>
  <si>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</si>
  <si>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</si>
  <si>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</si>
  <si>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</si>
  <si>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</si>
  <si>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</si>
  <si>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</si>
  <si>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</si>
  <si>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</si>
  <si>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</si>
  <si>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</si>
  <si>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</si>
  <si>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</si>
  <si>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</si>
  <si>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</si>
  <si>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</si>
  <si>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</si>
  <si>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</si>
  <si>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</si>
  <si>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</si>
  <si>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</si>
  <si>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</si>
  <si>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</si>
  <si>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</si>
  <si>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</si>
  <si>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</si>
  <si>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</si>
  <si>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</si>
  <si>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</si>
  <si>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</si>
  <si>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</si>
  <si>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</si>
  <si>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</si>
  <si>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</si>
  <si>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</si>
  <si>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</si>
  <si>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</si>
  <si>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</si>
  <si>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</si>
  <si>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</si>
  <si>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</si>
  <si>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</si>
  <si>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</si>
  <si>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</si>
  <si>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</si>
  <si>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</si>
  <si>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</si>
  <si>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</si>
  <si>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</si>
  <si>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</si>
  <si>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</si>
  <si>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</si>
  <si>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</si>
  <si>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</si>
  <si>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</si>
  <si>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</si>
  <si>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</si>
  <si>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</si>
  <si>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</si>
  <si>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</si>
  <si>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</si>
  <si>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</si>
  <si>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</si>
  <si>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</si>
  <si>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</si>
  <si>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</si>
  <si>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</si>
  <si>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</si>
  <si>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</si>
  <si>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</si>
  <si>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</si>
  <si>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</si>
  <si>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</si>
  <si>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</si>
  <si>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</si>
  <si>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</si>
  <si>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</si>
  <si>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</si>
  <si>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</si>
  <si>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</si>
  <si>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</si>
  <si>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</si>
  <si>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</si>
  <si>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</si>
  <si>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</si>
  <si>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</si>
  <si>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</si>
  <si>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</si>
  <si>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</si>
  <si>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</si>
  <si>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</si>
  <si>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</si>
  <si>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</si>
  <si>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</si>
  <si>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</si>
  <si>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</si>
  <si>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</si>
  <si>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</si>
  <si>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</si>
  <si>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</si>
  <si>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</si>
  <si>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</si>
  <si>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</si>
  <si>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</si>
  <si>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</si>
  <si>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</si>
  <si>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</si>
  <si>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</si>
  <si>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</si>
  <si>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</si>
  <si>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</si>
  <si>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</si>
  <si>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</si>
  <si>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</si>
  <si>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</si>
  <si>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</si>
  <si>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</si>
  <si>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</si>
  <si>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</si>
  <si>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</si>
  <si>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</si>
  <si>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</si>
  <si>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</si>
  <si>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</si>
  <si>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</si>
  <si>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</si>
  <si>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</si>
  <si>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</si>
  <si>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</si>
  <si>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</si>
  <si>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</si>
  <si>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</si>
  <si>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</si>
  <si>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</si>
  <si>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</si>
  <si>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</si>
  <si>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</si>
  <si>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</si>
  <si>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</si>
  <si>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</si>
  <si>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</si>
  <si>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</si>
  <si>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</si>
  <si>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</si>
  <si>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</si>
  <si>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</si>
  <si>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</si>
  <si>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</si>
  <si>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</si>
  <si>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</si>
  <si>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</si>
  <si>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</si>
  <si>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</si>
  <si>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</si>
  <si>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</si>
  <si>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</si>
  <si>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</si>
  <si>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</si>
  <si>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</si>
  <si>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</si>
  <si>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</si>
  <si>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</si>
  <si>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</si>
  <si>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</si>
  <si>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</si>
  <si>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</si>
  <si>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</si>
  <si>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</si>
  <si>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</si>
  <si>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</si>
  <si>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</si>
  <si>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</si>
  <si>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</si>
  <si>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</si>
  <si>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</si>
  <si>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</si>
  <si>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</si>
  <si>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</si>
  <si>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</si>
  <si>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</si>
  <si>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</si>
  <si>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</si>
  <si>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</si>
  <si>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</si>
  <si>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</si>
  <si>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</si>
  <si>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</si>
  <si>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</si>
  <si>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</si>
  <si>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</si>
  <si>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</si>
  <si>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</si>
  <si>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</si>
  <si>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</si>
  <si>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</si>
  <si>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</si>
  <si>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</si>
  <si>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</si>
  <si>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</si>
  <si>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</si>
  <si>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</si>
  <si>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</si>
  <si>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</si>
  <si>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</si>
  <si>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</si>
  <si>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</si>
  <si>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</si>
  <si>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</si>
  <si>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</si>
  <si>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</si>
  <si>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</si>
  <si>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</si>
  <si>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</si>
  <si>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</si>
  <si>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</si>
  <si>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</si>
  <si>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</si>
  <si>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</si>
  <si>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</si>
  <si>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</si>
  <si>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</si>
  <si>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</si>
  <si>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</si>
  <si>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</si>
  <si>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</si>
  <si>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</si>
  <si>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</si>
  <si>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</si>
  <si>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</si>
  <si>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</si>
  <si>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</si>
  <si>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</si>
  <si>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</si>
  <si>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</si>
  <si>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</si>
  <si>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</si>
  <si>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</si>
  <si>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</si>
  <si>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</si>
  <si>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</si>
  <si>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</si>
  <si>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</si>
  <si>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</si>
  <si>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</si>
  <si>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</si>
  <si>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</si>
  <si>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</si>
  <si>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</si>
  <si>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</si>
  <si>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</si>
  <si>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</si>
  <si>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</si>
  <si>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</si>
  <si>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</si>
  <si>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</si>
  <si>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</si>
  <si>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</si>
  <si>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</si>
  <si>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</si>
  <si>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</si>
  <si>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</si>
  <si>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</si>
  <si>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</si>
  <si>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</si>
  <si>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</si>
  <si>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</si>
  <si>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</si>
  <si>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</si>
  <si>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</si>
  <si>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</si>
  <si>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</si>
  <si>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</si>
  <si>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</si>
  <si>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</si>
  <si>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</si>
  <si>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</si>
  <si>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</si>
  <si>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</si>
  <si>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</si>
  <si>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</si>
  <si>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</si>
  <si>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</si>
  <si>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</si>
  <si>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</si>
  <si>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</si>
  <si>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</si>
  <si>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</si>
  <si>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</si>
  <si>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</si>
  <si>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</si>
  <si>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</si>
  <si>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</si>
  <si>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</si>
  <si>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</si>
  <si>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</si>
  <si>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</si>
  <si>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</si>
  <si>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</si>
  <si>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</si>
  <si>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</si>
  <si>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</si>
  <si>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</si>
  <si>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</si>
  <si>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</si>
  <si>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</si>
  <si>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</si>
  <si>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</si>
  <si>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</si>
  <si>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</si>
  <si>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</si>
  <si>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</si>
  <si>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</si>
  <si>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</si>
  <si>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</si>
  <si>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</si>
  <si>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</si>
  <si>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</si>
  <si>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</si>
  <si>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</si>
  <si>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</si>
  <si>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</si>
  <si>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</si>
  <si>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</si>
  <si>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</si>
  <si>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</si>
  <si>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</si>
  <si>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</si>
  <si>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</si>
  <si>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</si>
  <si>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</si>
  <si>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</si>
  <si>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</si>
  <si>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</si>
  <si>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</si>
  <si>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</si>
  <si>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</si>
  <si>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</si>
  <si>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</si>
  <si>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</si>
  <si>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</si>
  <si>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</si>
  <si>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</si>
  <si>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</si>
  <si>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</si>
  <si>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</si>
  <si>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</si>
  <si>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</si>
  <si>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</si>
  <si>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</si>
  <si>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</si>
  <si>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</si>
  <si>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</si>
  <si>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</si>
  <si>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</si>
  <si>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</si>
  <si>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</si>
  <si>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</si>
  <si>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</si>
  <si>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</si>
  <si>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</si>
  <si>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</si>
  <si>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</si>
  <si>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</si>
  <si>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</si>
  <si>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</si>
  <si>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</si>
  <si>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</si>
  <si>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</si>
  <si>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</si>
  <si>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</si>
  <si>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</si>
  <si>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</si>
  <si>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</si>
  <si>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</si>
  <si>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</si>
  <si>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</si>
  <si>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</si>
  <si>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</si>
  <si>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</si>
  <si>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</si>
  <si>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</si>
  <si>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</si>
  <si>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</si>
  <si>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</si>
  <si>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</si>
  <si>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</si>
  <si>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</si>
  <si>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</si>
  <si>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</si>
  <si>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</si>
  <si>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</si>
  <si>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</si>
  <si>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</si>
  <si>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</si>
  <si>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</si>
  <si>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</si>
  <si>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</si>
  <si>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</si>
  <si>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</si>
  <si>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</si>
  <si>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</si>
  <si>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</si>
  <si>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</si>
  <si>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</si>
  <si>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</si>
  <si>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</si>
  <si>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</si>
  <si>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</si>
  <si>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</si>
  <si>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</si>
  <si>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</si>
  <si>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</si>
  <si>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</si>
  <si>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</si>
  <si>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</si>
  <si>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</si>
  <si>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</si>
  <si>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</si>
  <si>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</si>
  <si>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</si>
  <si>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</si>
  <si>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</si>
  <si>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</si>
  <si>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</si>
  <si>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</si>
  <si>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</si>
  <si>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</si>
  <si>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</si>
  <si>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</si>
  <si>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</si>
  <si>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</si>
  <si>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</si>
  <si>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</si>
  <si>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</si>
  <si>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</si>
  <si>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</si>
  <si>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</si>
  <si>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</si>
  <si>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</si>
  <si>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</si>
  <si>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</si>
  <si>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</si>
  <si>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</si>
  <si>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</si>
  <si>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</si>
  <si>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</si>
  <si>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</si>
  <si>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</si>
  <si>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</si>
  <si>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</si>
  <si>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</si>
  <si>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</si>
  <si>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</si>
  <si>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</si>
  <si>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</si>
  <si>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</si>
  <si>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</si>
  <si>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</si>
  <si>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</si>
  <si>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</si>
  <si>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</si>
  <si>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</si>
  <si>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</si>
  <si>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</si>
  <si>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</si>
  <si>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</si>
  <si>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</si>
  <si>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</si>
  <si>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</si>
  <si>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</si>
  <si>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</si>
  <si>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</si>
  <si>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</si>
  <si>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</si>
  <si>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</si>
  <si>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</si>
  <si>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</si>
  <si>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</si>
  <si>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</si>
  <si>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</si>
  <si>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</si>
  <si>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</si>
  <si>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</si>
  <si>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</si>
  <si>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</si>
  <si>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</si>
  <si>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</si>
  <si>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</si>
  <si>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</si>
  <si>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</si>
  <si>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</si>
  <si>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</si>
  <si>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</si>
  <si>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</si>
  <si>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</si>
  <si>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</si>
  <si>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</si>
  <si>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</si>
  <si>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</si>
  <si>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</si>
  <si>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</si>
  <si>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</si>
  <si>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</si>
  <si>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</si>
  <si>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</si>
  <si>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</si>
  <si>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</si>
  <si>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</si>
  <si>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</si>
  <si>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</si>
  <si>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</si>
  <si>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</si>
  <si>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</si>
  <si>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</si>
  <si>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</si>
  <si>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</si>
  <si>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</si>
  <si>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</si>
  <si>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</si>
  <si>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</si>
  <si>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</si>
  <si>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</si>
  <si>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</si>
  <si>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</si>
  <si>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</si>
  <si>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</si>
  <si>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</si>
  <si>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</si>
  <si>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</si>
  <si>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</si>
  <si>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</si>
  <si>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</si>
  <si>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</si>
  <si>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</si>
  <si>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</si>
  <si>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</si>
  <si>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</si>
  <si>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</si>
  <si>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</si>
  <si>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</si>
  <si>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</si>
  <si>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</si>
  <si>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</si>
  <si>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</si>
  <si>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</si>
  <si>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</si>
  <si>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</si>
  <si>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</si>
  <si>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</si>
  <si>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</si>
  <si>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</si>
  <si>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</si>
  <si>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</si>
  <si>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</si>
  <si>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</si>
  <si>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</si>
  <si>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</si>
  <si>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</si>
  <si>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</si>
  <si>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</si>
  <si>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</si>
  <si>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</si>
  <si>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</si>
  <si>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</si>
  <si>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</si>
  <si>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</si>
  <si>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</si>
  <si>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</si>
  <si>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</si>
  <si>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</si>
  <si>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</si>
  <si>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</si>
  <si>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</si>
  <si>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</si>
  <si>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</si>
  <si>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</si>
  <si>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</si>
  <si>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</si>
  <si>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</si>
  <si>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</si>
  <si>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</si>
  <si>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</si>
  <si>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</si>
  <si>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</si>
  <si>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</si>
  <si>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</si>
  <si>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</si>
  <si>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</si>
  <si>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</si>
  <si>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</si>
  <si>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</si>
  <si>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</si>
  <si>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</si>
  <si>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</si>
  <si>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</si>
  <si>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</si>
  <si>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</si>
  <si>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</si>
  <si>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</si>
  <si>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</si>
  <si>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</si>
  <si>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</si>
  <si>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</si>
  <si>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</si>
  <si>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</si>
  <si>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</si>
  <si>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</si>
  <si>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</si>
  <si>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</si>
  <si>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</si>
  <si>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</si>
  <si>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</si>
  <si>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</si>
  <si>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</si>
  <si>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</si>
  <si>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</si>
  <si>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</si>
  <si>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</si>
  <si>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</si>
  <si>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</si>
  <si>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</si>
  <si>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</si>
  <si>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</si>
  <si>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</si>
  <si>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</si>
  <si>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</si>
  <si>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</si>
  <si>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</si>
  <si>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</si>
  <si>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</si>
  <si>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</si>
  <si>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</si>
  <si>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</si>
  <si>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</si>
  <si>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</si>
  <si>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</si>
  <si>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</si>
  <si>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</si>
  <si>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</si>
  <si>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</si>
  <si>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</si>
  <si>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</si>
  <si>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</si>
  <si>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</si>
  <si>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</si>
  <si>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</si>
  <si>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</si>
  <si>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</si>
  <si>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</si>
  <si>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</si>
  <si>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</si>
  <si>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</si>
  <si>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</si>
  <si>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</si>
  <si>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</si>
  <si>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</si>
  <si>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</si>
  <si>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</si>
  <si>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</si>
  <si>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</si>
  <si>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</si>
  <si>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</si>
  <si>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</si>
  <si>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</si>
  <si>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</si>
  <si>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</si>
  <si>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</si>
  <si>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</si>
  <si>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</si>
  <si>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</si>
  <si>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</si>
  <si>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</si>
  <si>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</si>
  <si>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</si>
  <si>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</si>
  <si>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</si>
  <si>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</si>
  <si>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</si>
  <si>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</si>
  <si>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</si>
  <si>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</si>
  <si>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</si>
  <si>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</si>
  <si>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</si>
  <si>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</si>
  <si>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</si>
  <si>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</si>
  <si>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</si>
  <si>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</si>
  <si>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</si>
  <si>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</si>
  <si>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</si>
  <si>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</si>
  <si>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</si>
  <si>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</si>
  <si>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</si>
  <si>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</si>
  <si>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</si>
  <si>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</si>
  <si>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</si>
  <si>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</si>
  <si>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</si>
  <si>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</si>
  <si>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</si>
  <si>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</si>
  <si>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</si>
  <si>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</si>
  <si>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</si>
  <si>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</si>
  <si>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</si>
  <si>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</si>
  <si>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</si>
  <si>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</si>
  <si>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</si>
  <si>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</si>
  <si>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</si>
  <si>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</si>
  <si>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</si>
  <si>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</si>
  <si>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</si>
  <si>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</si>
  <si>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</si>
  <si>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</si>
  <si>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</si>
  <si>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</si>
  <si>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</si>
  <si>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</si>
  <si>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</si>
  <si>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</si>
  <si>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</si>
  <si>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</si>
  <si>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</si>
  <si>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</si>
  <si>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</si>
  <si>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</si>
  <si>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</si>
  <si>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</si>
  <si>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</si>
  <si>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</si>
  <si>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</si>
  <si>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</si>
  <si>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</si>
  <si>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</si>
  <si>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</si>
  <si>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</si>
  <si>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</si>
  <si>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</si>
  <si>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</si>
  <si>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</si>
  <si>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</si>
  <si>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</si>
  <si>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</si>
  <si>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</si>
  <si>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</si>
  <si>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</si>
  <si>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</si>
  <si>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</si>
  <si>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</si>
  <si>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</si>
  <si>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</si>
  <si>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</si>
  <si>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</si>
  <si>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</si>
  <si>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</si>
  <si>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</si>
  <si>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</si>
  <si>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</si>
  <si>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</si>
  <si>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</si>
  <si>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</si>
  <si>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</si>
  <si>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</si>
  <si>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</si>
  <si>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</si>
  <si>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</si>
  <si>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</si>
  <si>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</si>
  <si>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</si>
  <si>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</si>
  <si>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</si>
  <si>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</si>
  <si>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</si>
  <si>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</si>
  <si>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</si>
  <si>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</si>
  <si>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</si>
  <si>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</si>
  <si>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</si>
  <si>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</si>
  <si>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</si>
  <si>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</si>
  <si>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</si>
  <si>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</si>
  <si>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</si>
  <si>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</si>
  <si>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</si>
  <si>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</si>
  <si>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</si>
  <si>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</si>
  <si>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</si>
  <si>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</si>
  <si>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</si>
  <si>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</si>
  <si>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</si>
  <si>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</si>
  <si>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</si>
  <si>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</si>
  <si>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</si>
  <si>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</si>
  <si>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</si>
  <si>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</si>
  <si>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</si>
  <si>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</si>
  <si>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</si>
  <si>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</si>
  <si>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</si>
  <si>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</si>
  <si>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</si>
  <si>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</si>
  <si>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</si>
  <si>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</si>
  <si>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</si>
  <si>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</si>
  <si>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</si>
  <si>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</si>
  <si>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</si>
  <si>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</si>
  <si>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</si>
  <si>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</si>
  <si>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</si>
  <si>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</si>
  <si>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</si>
  <si>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</si>
  <si>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</si>
  <si>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</si>
  <si>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</si>
  <si>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</si>
  <si>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</si>
  <si>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</si>
  <si>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</si>
  <si>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</si>
  <si>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</si>
  <si>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</si>
  <si>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</si>
  <si>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</si>
  <si>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</si>
  <si>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</si>
  <si>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</si>
  <si>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</si>
  <si>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</si>
  <si>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</si>
  <si>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</si>
  <si>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</si>
  <si>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</si>
  <si>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</si>
  <si>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</si>
  <si>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</si>
  <si>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</si>
  <si>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</si>
  <si>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</si>
  <si>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</si>
  <si>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</si>
  <si>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</si>
  <si>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</si>
  <si>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</si>
  <si>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</si>
  <si>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</si>
  <si>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</si>
  <si>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</si>
  <si>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</si>
  <si>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</si>
  <si>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</si>
  <si>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</si>
  <si>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</si>
  <si>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</si>
  <si>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</si>
  <si>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</si>
  <si>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</si>
  <si>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</si>
  <si>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</si>
  <si>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</si>
  <si>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</si>
  <si>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</si>
  <si>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</si>
  <si>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</si>
  <si>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</si>
  <si>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</si>
  <si>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</si>
  <si>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</si>
  <si>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</si>
  <si>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</si>
  <si>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</si>
  <si>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</si>
  <si>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</si>
  <si>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</si>
  <si>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</si>
  <si>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</si>
  <si>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</si>
  <si>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</si>
  <si>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</si>
  <si>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</si>
  <si>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</si>
  <si>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</si>
  <si>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</si>
  <si>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</si>
  <si>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</si>
  <si>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</si>
  <si>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</si>
  <si>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</si>
  <si>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</si>
  <si>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</si>
  <si>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</si>
  <si>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</si>
  <si>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</si>
  <si>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</si>
  <si>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</si>
  <si>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</si>
  <si>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</si>
  <si>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</si>
  <si>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</si>
  <si>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</si>
  <si>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</si>
  <si>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</si>
  <si>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</si>
  <si>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</si>
  <si>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</si>
  <si>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</si>
  <si>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</si>
  <si>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</si>
  <si>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</si>
  <si>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</si>
  <si>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</si>
  <si>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</si>
  <si>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</si>
  <si>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</si>
  <si>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</si>
  <si>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</si>
  <si>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</si>
  <si>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</si>
  <si>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</si>
  <si>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</si>
  <si>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</si>
  <si>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</si>
  <si>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</si>
  <si>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</si>
  <si>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</si>
  <si>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</si>
  <si>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</si>
  <si>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</si>
  <si>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</si>
  <si>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</si>
  <si>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</si>
  <si>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</si>
  <si>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</si>
  <si>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</si>
  <si>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</si>
  <si>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</si>
  <si>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</si>
  <si>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</si>
  <si>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</si>
  <si>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</si>
  <si>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</si>
  <si>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</si>
  <si>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</si>
  <si>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</si>
  <si>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</si>
  <si>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</si>
  <si>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</si>
  <si>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</si>
  <si>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</si>
  <si>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</si>
  <si>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</si>
  <si>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</si>
  <si>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</si>
  <si>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</si>
  <si>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</si>
  <si>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</si>
  <si>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</si>
  <si>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</si>
  <si>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</si>
  <si>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</si>
  <si>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</si>
  <si>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</si>
  <si>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</si>
  <si>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</si>
  <si>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</si>
  <si>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</si>
  <si>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</si>
  <si>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</si>
  <si>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</si>
  <si>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</si>
  <si>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</si>
  <si>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</si>
  <si>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</si>
  <si>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</si>
  <si>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</si>
  <si>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</si>
  <si>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</si>
  <si>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</si>
  <si>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</si>
  <si>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</si>
  <si>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</si>
  <si>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</si>
  <si>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</si>
  <si>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</si>
  <si>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</si>
  <si>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</si>
  <si>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</si>
  <si>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</si>
  <si>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</si>
  <si>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</si>
  <si>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</si>
  <si>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</si>
  <si>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</si>
  <si>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</si>
  <si>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</si>
  <si>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</si>
  <si>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</si>
  <si>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</si>
  <si>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</si>
  <si>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</si>
  <si>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</si>
  <si>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</si>
  <si>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</si>
  <si>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</si>
  <si>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</si>
  <si>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</si>
  <si>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</si>
  <si>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</si>
  <si>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</si>
  <si>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</si>
  <si>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</si>
  <si>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</si>
  <si>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</si>
  <si>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</si>
  <si>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</si>
  <si>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</si>
  <si>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</si>
  <si>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</si>
  <si>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</si>
  <si>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</si>
  <si>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</si>
  <si>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</si>
  <si>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</si>
  <si>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</si>
  <si>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</si>
  <si>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</si>
  <si>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</si>
  <si>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</si>
  <si>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</si>
  <si>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</si>
  <si>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</si>
  <si>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</si>
  <si>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</si>
  <si>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</si>
  <si>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</si>
  <si>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</si>
  <si>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</si>
  <si>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</si>
  <si>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</si>
  <si>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</si>
  <si>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</si>
  <si>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</si>
  <si>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</si>
  <si>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</si>
  <si>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</si>
  <si>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</si>
  <si>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</si>
  <si>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</si>
  <si>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</si>
  <si>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</si>
  <si>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</si>
  <si>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</si>
  <si>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</si>
  <si>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</si>
  <si>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</si>
  <si>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</si>
  <si>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</si>
  <si>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</si>
  <si>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</si>
  <si>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</si>
  <si>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</si>
  <si>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</si>
  <si>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</si>
  <si>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</si>
  <si>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</si>
  <si>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</si>
  <si>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</si>
  <si>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</si>
  <si>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</si>
  <si>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</si>
  <si>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</si>
  <si>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</si>
  <si>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</si>
  <si>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</si>
  <si>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</si>
  <si>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</si>
  <si>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</si>
  <si>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</si>
  <si>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</si>
  <si>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</si>
  <si>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</si>
  <si>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</si>
  <si>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</si>
  <si>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</si>
  <si>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</si>
  <si>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</si>
  <si>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</si>
  <si>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</si>
  <si>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</si>
  <si>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</si>
  <si>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</si>
  <si>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</si>
  <si>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</si>
  <si>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</si>
  <si>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</si>
  <si>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</si>
  <si>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</si>
  <si>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</si>
  <si>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</si>
  <si>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</si>
  <si>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</si>
  <si>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</si>
  <si>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</si>
  <si>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</si>
  <si>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</si>
  <si>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</si>
  <si>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</si>
  <si>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</si>
  <si>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</si>
  <si>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</si>
  <si>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</si>
  <si>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</si>
  <si>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</si>
  <si>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</si>
  <si>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</si>
  <si>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</si>
  <si>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</si>
  <si>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</si>
  <si>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</si>
  <si>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</si>
  <si>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</si>
  <si>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</si>
  <si>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</si>
  <si>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</si>
  <si>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</si>
  <si>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</si>
  <si>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</si>
  <si>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</si>
  <si>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</si>
  <si>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</si>
  <si>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</si>
  <si>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</si>
  <si>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</si>
  <si>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</si>
  <si>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</si>
  <si>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</si>
  <si>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</si>
  <si>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</si>
  <si>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</si>
  <si>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</si>
  <si>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</si>
  <si>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</si>
  <si>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</si>
  <si>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</si>
  <si>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</si>
  <si>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</si>
  <si>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</si>
  <si>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</si>
  <si>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</si>
  <si>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</si>
  <si>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</si>
  <si>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</si>
  <si>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</si>
  <si>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</si>
  <si>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</si>
  <si>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</si>
  <si>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</si>
  <si>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</si>
  <si>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</si>
  <si>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</si>
  <si>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</si>
  <si>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</si>
  <si>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</si>
  <si>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</si>
  <si>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</si>
  <si>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</si>
  <si>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</si>
  <si>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</si>
  <si>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</si>
  <si>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</si>
  <si>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</si>
  <si>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</si>
  <si>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</si>
  <si>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</si>
  <si>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</si>
  <si>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</si>
  <si>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</si>
  <si>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</si>
  <si>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</si>
  <si>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</si>
  <si>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</si>
  <si>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</si>
  <si>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</si>
  <si>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</si>
  <si>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</si>
  <si>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</si>
  <si>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</si>
  <si>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</si>
  <si>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</si>
  <si>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</si>
  <si>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</si>
  <si>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</si>
  <si>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</si>
  <si>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</si>
  <si>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</si>
  <si>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</si>
  <si>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</si>
  <si>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</si>
  <si>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</si>
  <si>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</si>
  <si>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</si>
  <si>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</si>
  <si>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</si>
  <si>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</si>
  <si>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</si>
  <si>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</si>
  <si>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</si>
  <si>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</si>
  <si>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</si>
  <si>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</si>
  <si>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</si>
  <si>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</si>
  <si>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</si>
  <si>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</si>
  <si>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</si>
  <si>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</si>
  <si>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</si>
  <si>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</si>
  <si>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</si>
  <si>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</si>
  <si>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</si>
  <si>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</si>
  <si>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</si>
  <si>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</si>
  <si>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</si>
  <si>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</si>
  <si>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</si>
  <si>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</si>
  <si>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</si>
  <si>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</si>
  <si>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</si>
  <si>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</si>
  <si>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</si>
  <si>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</si>
  <si>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</si>
  <si>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</si>
  <si>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</si>
  <si>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</si>
  <si>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</si>
  <si>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</si>
  <si>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</si>
  <si>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</si>
  <si>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</si>
  <si>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</si>
  <si>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</si>
  <si>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</si>
  <si>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</si>
  <si>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</si>
  <si>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</si>
  <si>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</si>
  <si>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</si>
  <si>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</si>
  <si>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</si>
  <si>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</si>
  <si>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</si>
  <si>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</si>
  <si>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</si>
  <si>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</si>
  <si>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</si>
  <si>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</si>
  <si>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</si>
  <si>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</si>
  <si>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</si>
  <si>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</si>
  <si>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</si>
  <si>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</si>
  <si>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</si>
  <si>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</si>
  <si>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</si>
  <si>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</si>
  <si>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</si>
  <si>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</si>
  <si>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</si>
  <si>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</si>
  <si>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</si>
  <si>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</si>
  <si>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</si>
  <si>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</si>
  <si>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</si>
  <si>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</si>
  <si>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</si>
  <si>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</si>
  <si>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</si>
  <si>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</si>
  <si>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</si>
  <si>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</si>
  <si>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</si>
  <si>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</si>
  <si>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</si>
  <si>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</si>
  <si>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</si>
  <si>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</si>
  <si>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</si>
  <si>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</si>
  <si>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</si>
  <si>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</si>
  <si>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</si>
  <si>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</si>
  <si>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</si>
  <si>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</si>
  <si>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</si>
  <si>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</si>
  <si>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</si>
  <si>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</si>
  <si>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</si>
  <si>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</si>
  <si>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</si>
  <si>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</si>
  <si>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</si>
  <si>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</si>
  <si>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</si>
  <si>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</si>
  <si>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</si>
  <si>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</si>
  <si>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</si>
  <si>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</si>
  <si>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</si>
  <si>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</si>
  <si>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</si>
  <si>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</si>
  <si>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</si>
  <si>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</si>
  <si>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</si>
  <si>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</si>
  <si>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</si>
  <si>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</si>
  <si>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</si>
  <si>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</si>
  <si>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</si>
  <si>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</si>
  <si>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</si>
  <si>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</si>
  <si>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</si>
  <si>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</si>
  <si>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</si>
  <si>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</si>
  <si>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</si>
  <si>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</si>
  <si>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</si>
  <si>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</si>
  <si>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</si>
  <si>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</si>
  <si>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</si>
  <si>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</si>
  <si>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</si>
  <si>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</si>
  <si>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</si>
  <si>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</si>
  <si>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</si>
  <si>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</si>
  <si>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</si>
  <si>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</si>
  <si>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</si>
  <si>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</si>
  <si>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</si>
  <si>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</si>
  <si>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</si>
  <si>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</si>
  <si>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</si>
  <si>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</si>
  <si>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</si>
  <si>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</si>
  <si>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</si>
  <si>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</si>
  <si>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</si>
  <si>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</si>
  <si>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</si>
  <si>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</si>
  <si>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</si>
  <si>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</si>
  <si>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</si>
  <si>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</si>
  <si>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</si>
  <si>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</si>
  <si>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</si>
  <si>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</si>
  <si>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</si>
  <si>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</si>
  <si>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</si>
  <si>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</si>
  <si>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</si>
  <si>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</si>
  <si>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</si>
  <si>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</si>
  <si>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</si>
  <si>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</si>
  <si>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</si>
  <si>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</si>
  <si>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</si>
  <si>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</si>
  <si>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</si>
  <si>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</si>
  <si>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</si>
  <si>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</si>
  <si>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</si>
  <si>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</si>
  <si>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</si>
  <si>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</si>
  <si>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</si>
  <si>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</si>
  <si>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</si>
  <si>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</si>
  <si>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</si>
  <si>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</si>
  <si>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</si>
  <si>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</si>
  <si>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</si>
  <si>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</si>
  <si>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</si>
  <si>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</si>
  <si>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</si>
  <si>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</si>
  <si>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</si>
  <si>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</si>
  <si>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</si>
  <si>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</si>
  <si>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</si>
  <si>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</si>
  <si>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</si>
  <si>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</si>
  <si>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</si>
  <si>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</si>
  <si>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</si>
  <si>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</si>
  <si>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</si>
  <si>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</si>
  <si>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</si>
  <si>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</si>
  <si>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</si>
  <si>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</si>
  <si>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</si>
  <si>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</si>
  <si>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</si>
  <si>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</si>
  <si>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</si>
  <si>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</si>
  <si>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</si>
  <si>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</si>
  <si>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</si>
  <si>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</si>
  <si>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</si>
  <si>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</si>
  <si>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</si>
  <si>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</si>
  <si>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</si>
  <si>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</si>
  <si>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</si>
  <si>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</si>
  <si>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</si>
  <si>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</si>
  <si>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</si>
  <si>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</si>
  <si>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</si>
  <si>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</si>
  <si>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</si>
  <si>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</si>
  <si>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</si>
  <si>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</si>
  <si>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</si>
  <si>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</si>
  <si>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</si>
  <si>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</si>
  <si>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</si>
  <si>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</si>
  <si>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</si>
  <si>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</si>
  <si>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</si>
  <si>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</si>
  <si>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</si>
  <si>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</si>
  <si>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</si>
  <si>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</si>
  <si>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</si>
  <si>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</si>
  <si>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</si>
  <si>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</si>
  <si>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</si>
  <si>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</si>
  <si>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</si>
  <si>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</si>
  <si>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</si>
  <si>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</si>
  <si>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</si>
  <si>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</si>
  <si>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</si>
  <si>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</si>
  <si>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</si>
  <si>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</si>
  <si>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</si>
  <si>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</si>
  <si>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</si>
  <si>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</si>
  <si>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</si>
  <si>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</si>
  <si>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</si>
  <si>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</si>
  <si>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</si>
  <si>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</si>
  <si>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</si>
  <si>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</si>
  <si>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</si>
  <si>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</si>
  <si>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</si>
  <si>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</si>
  <si>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</si>
  <si>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</si>
  <si>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</si>
  <si>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</si>
  <si>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</si>
  <si>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</si>
  <si>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</si>
  <si>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</si>
  <si>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</si>
  <si>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</si>
  <si>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</si>
  <si>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</si>
  <si>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</si>
  <si>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</si>
  <si>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</si>
  <si>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</si>
  <si>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</si>
  <si>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</si>
  <si>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</si>
  <si>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</si>
  <si>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</si>
  <si>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</si>
  <si>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</si>
  <si>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</si>
  <si>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</si>
  <si>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</si>
  <si>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</si>
  <si>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</si>
  <si>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</si>
  <si>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</si>
  <si>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</si>
  <si>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</si>
  <si>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</si>
  <si>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</si>
  <si>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</si>
  <si>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</si>
  <si>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</si>
  <si>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</si>
  <si>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</si>
  <si>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</si>
  <si>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</si>
  <si>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</si>
  <si>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</si>
  <si>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</si>
  <si>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</si>
  <si>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</si>
  <si>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</si>
  <si>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</si>
  <si>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</si>
  <si>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</si>
  <si>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</si>
  <si>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</si>
  <si>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</si>
  <si>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</si>
  <si>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</si>
  <si>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</si>
  <si>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</si>
  <si>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</si>
  <si>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</si>
  <si>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</si>
  <si>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</si>
  <si>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</si>
  <si>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</si>
  <si>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</si>
  <si>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</si>
  <si>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</si>
  <si>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</si>
  <si>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</si>
  <si>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</si>
  <si>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</si>
  <si>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</si>
  <si>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</si>
  <si>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</si>
  <si>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</si>
  <si>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</si>
  <si>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</si>
  <si>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</si>
  <si>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</si>
  <si>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</si>
  <si>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</si>
  <si>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</si>
  <si>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</si>
  <si>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</si>
  <si>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</si>
  <si>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</si>
  <si>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</si>
  <si>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</si>
  <si>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</si>
  <si>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</si>
  <si>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</si>
  <si>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</si>
  <si>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</si>
  <si>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</si>
  <si>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</si>
  <si>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</si>
  <si>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</si>
  <si>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</si>
  <si>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</si>
  <si>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</si>
  <si>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</si>
  <si>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</si>
  <si>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</si>
  <si>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</si>
  <si>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</si>
  <si>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</si>
  <si>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</si>
  <si>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</si>
  <si>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</si>
  <si>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</si>
  <si>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</si>
  <si>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</si>
  <si>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</si>
  <si>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</si>
  <si>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</si>
  <si>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</si>
  <si>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</si>
  <si>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</si>
  <si>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</si>
  <si>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</si>
  <si>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</si>
  <si>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</si>
  <si>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</si>
  <si>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</si>
  <si>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</si>
  <si>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</si>
  <si>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</si>
  <si>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</si>
  <si>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</si>
  <si>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</si>
  <si>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</si>
  <si>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</si>
  <si>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</si>
  <si>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</si>
  <si>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</si>
  <si>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</si>
  <si>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</si>
  <si>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</si>
  <si>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</si>
  <si>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</si>
  <si>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</si>
  <si>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</si>
  <si>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</si>
  <si>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</si>
  <si>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</si>
  <si>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</si>
  <si>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</si>
  <si>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</si>
  <si>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</si>
  <si>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</si>
  <si>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</si>
  <si>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</si>
  <si>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</si>
  <si>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</si>
  <si>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</si>
  <si>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</si>
  <si>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</si>
  <si>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</si>
  <si>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</si>
  <si>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</si>
  <si>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</si>
  <si>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</si>
  <si>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</si>
  <si>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</si>
  <si>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</si>
  <si>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</si>
  <si>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</si>
  <si>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</si>
  <si>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</si>
  <si>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</si>
  <si>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</si>
  <si>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</si>
  <si>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</si>
  <si>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</si>
  <si>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</si>
  <si>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</si>
  <si>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</si>
  <si>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</si>
  <si>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</si>
  <si>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</si>
  <si>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</si>
  <si>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</si>
  <si>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</si>
  <si>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</si>
  <si>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</si>
  <si>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</si>
  <si>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</si>
  <si>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</si>
  <si>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</si>
  <si>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</si>
  <si>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</si>
  <si>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</si>
  <si>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</si>
  <si>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</si>
  <si>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</si>
  <si>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</si>
  <si>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</si>
  <si>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</si>
  <si>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</si>
  <si>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</si>
  <si>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</si>
  <si>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</si>
  <si>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</si>
  <si>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</si>
  <si>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</si>
  <si>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</si>
  <si>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</si>
  <si>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</si>
  <si>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</si>
  <si>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</si>
  <si>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</si>
  <si>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</si>
  <si>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</si>
  <si>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</si>
  <si>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</si>
  <si>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</si>
  <si>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</si>
  <si>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</si>
  <si>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</si>
  <si>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</si>
  <si>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</si>
  <si>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</si>
  <si>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</si>
  <si>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</si>
  <si>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</si>
  <si>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</si>
  <si>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</si>
  <si>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</si>
  <si>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</si>
  <si>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</si>
  <si>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</si>
  <si>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</si>
  <si>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</si>
  <si>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</si>
  <si>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</si>
  <si>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</si>
  <si>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</si>
  <si>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</si>
  <si>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</si>
  <si>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</si>
  <si>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</si>
  <si>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</si>
  <si>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</si>
  <si>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</si>
  <si>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</si>
  <si>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</si>
  <si>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</si>
  <si>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</si>
  <si>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</si>
  <si>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</si>
  <si>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</si>
  <si>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</si>
  <si>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</si>
  <si>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</si>
  <si>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</si>
  <si>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</si>
  <si>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</si>
  <si>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</si>
  <si>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</si>
  <si>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</si>
  <si>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</si>
  <si>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</si>
  <si>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</si>
  <si>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</si>
  <si>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</si>
  <si>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</si>
  <si>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</si>
  <si>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</si>
  <si>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</si>
  <si>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</si>
  <si>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</si>
  <si>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</si>
  <si>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</si>
  <si>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</si>
  <si>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</si>
  <si>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</si>
  <si>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</si>
  <si>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</si>
  <si>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</si>
  <si>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</si>
  <si>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</si>
  <si>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</si>
  <si>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</si>
  <si>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</si>
  <si>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</si>
  <si>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</si>
  <si>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</si>
  <si>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</si>
  <si>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</si>
  <si>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</si>
  <si>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</si>
  <si>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</si>
  <si>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</si>
  <si>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</si>
  <si>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</si>
  <si>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</si>
  <si>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</si>
  <si>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</si>
  <si>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</si>
  <si>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</si>
  <si>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</si>
  <si>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</si>
  <si>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</si>
  <si>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</si>
  <si>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</si>
  <si>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</si>
  <si>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</si>
  <si>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</si>
  <si>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</si>
  <si>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</si>
  <si>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</si>
  <si>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</si>
  <si>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</si>
  <si>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</si>
  <si>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</si>
  <si>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</si>
  <si>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</si>
  <si>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</si>
  <si>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</si>
  <si>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</si>
  <si>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</si>
  <si>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</si>
  <si>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</si>
  <si>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</si>
  <si>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</si>
  <si>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</si>
  <si>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</si>
  <si>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</si>
  <si>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</si>
  <si>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</si>
  <si>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</si>
  <si>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</si>
  <si>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</si>
  <si>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</si>
  <si>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</si>
  <si>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</si>
  <si>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</si>
  <si>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</si>
  <si>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</si>
  <si>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</si>
  <si>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</si>
  <si>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</si>
  <si>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</si>
  <si>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</si>
  <si>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</si>
  <si>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</si>
  <si>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</si>
  <si>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</si>
  <si>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</si>
  <si>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</si>
  <si>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</si>
  <si>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</si>
  <si>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</si>
  <si>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</si>
  <si>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</si>
  <si>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</si>
  <si>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</si>
  <si>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</si>
  <si>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</si>
  <si>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</si>
  <si>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</si>
  <si>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</si>
  <si>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</si>
  <si>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</si>
  <si>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</si>
  <si>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</si>
  <si>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</si>
  <si>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</si>
  <si>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</si>
  <si>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</si>
  <si>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</si>
  <si>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</si>
  <si>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</si>
  <si>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</si>
  <si>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</si>
  <si>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</si>
  <si>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</si>
  <si>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</si>
  <si>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</si>
  <si>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</si>
  <si>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</si>
  <si>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</si>
  <si>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</si>
  <si>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</si>
  <si>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</si>
  <si>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</si>
  <si>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</si>
  <si>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</si>
  <si>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</si>
  <si>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</si>
  <si>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</si>
  <si>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</si>
  <si>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</si>
  <si>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</si>
  <si>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</si>
  <si>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</si>
  <si>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</si>
  <si>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</si>
  <si>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</si>
  <si>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</si>
  <si>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</si>
  <si>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</si>
  <si>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</si>
  <si>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</si>
  <si>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</si>
  <si>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</si>
  <si>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</si>
  <si>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</si>
  <si>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</si>
  <si>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</si>
  <si>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</si>
  <si>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</si>
  <si>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</si>
  <si>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</si>
  <si>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</si>
  <si>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</si>
  <si>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</si>
  <si>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</si>
  <si>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</si>
  <si>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</si>
  <si>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</si>
  <si>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</si>
  <si>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</si>
  <si>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</si>
  <si>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</si>
  <si>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</si>
  <si>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</si>
  <si>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</si>
  <si>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</si>
  <si>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</si>
  <si>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</si>
  <si>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</si>
  <si>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</si>
  <si>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</si>
  <si>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</si>
  <si>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</si>
  <si>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</si>
  <si>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</si>
  <si>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</si>
  <si>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</si>
  <si>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</si>
  <si>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</si>
  <si>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</si>
  <si>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</si>
  <si>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</si>
  <si>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</si>
  <si>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</si>
  <si>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</si>
  <si>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</si>
  <si>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</si>
  <si>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</si>
  <si>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</si>
  <si>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</si>
  <si>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</si>
  <si>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</si>
  <si>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</si>
  <si>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</si>
  <si>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</si>
  <si>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</si>
  <si>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</si>
  <si>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</si>
  <si>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</si>
  <si>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</si>
  <si>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</si>
  <si>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</si>
  <si>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</si>
  <si>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</si>
  <si>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</si>
  <si>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</si>
  <si>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</si>
  <si>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</si>
  <si>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</si>
  <si>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</si>
  <si>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</si>
  <si>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</si>
  <si>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</si>
  <si>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</si>
  <si>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</si>
  <si>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</si>
  <si>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</si>
  <si>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</si>
  <si>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</si>
  <si>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</si>
  <si>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</si>
  <si>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</si>
  <si>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</si>
  <si>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</si>
  <si>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</si>
  <si>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</si>
  <si>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</si>
  <si>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</si>
  <si>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</si>
  <si>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</si>
  <si>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</si>
  <si>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</si>
  <si>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</si>
  <si>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</si>
  <si>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</si>
  <si>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</si>
  <si>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</si>
  <si>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</si>
  <si>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</si>
  <si>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</si>
  <si>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</si>
  <si>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</si>
  <si>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</si>
  <si>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</si>
  <si>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</si>
  <si>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</si>
  <si>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</si>
  <si>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</si>
  <si>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</si>
  <si>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</si>
  <si>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</si>
  <si>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</si>
  <si>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</si>
  <si>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</si>
  <si>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</si>
  <si>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</si>
  <si>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</si>
  <si>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</si>
  <si>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</si>
  <si>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</si>
  <si>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</si>
  <si>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</si>
  <si>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</si>
  <si>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</si>
  <si>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</si>
  <si>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</si>
  <si>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</si>
  <si>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</si>
  <si>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</si>
  <si>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</si>
  <si>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</si>
  <si>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</si>
  <si>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</si>
  <si>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</si>
  <si>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</si>
  <si>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</si>
  <si>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</si>
  <si>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</si>
  <si>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</si>
  <si>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</si>
  <si>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</si>
  <si>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</si>
  <si>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</si>
  <si>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</si>
  <si>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</si>
  <si>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</si>
  <si>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</si>
  <si>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</si>
  <si>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</si>
  <si>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</si>
  <si>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</si>
  <si>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</si>
  <si>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</si>
  <si>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</si>
  <si>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</si>
  <si>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</si>
  <si>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</si>
  <si>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</si>
  <si>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</si>
  <si>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</si>
  <si>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</si>
  <si>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</si>
  <si>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</si>
  <si>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</si>
  <si>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</si>
  <si>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무상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</si>
  <si>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</si>
  <si>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</si>
  <si>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</si>
  <si>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</si>
  <si>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</si>
  <si>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</si>
  <si>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</si>
  <si>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</si>
  <si>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</si>
  <si>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</si>
  <si>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</si>
  <si>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</si>
  <si>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</si>
  <si>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</si>
  <si>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</si>
  <si>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</si>
  <si>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</si>
  <si>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</si>
  <si>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</si>
  <si>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</si>
  <si>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</si>
  <si>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</si>
  <si>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</si>
  <si>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</si>
  <si>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</si>
  <si>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</si>
  <si>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</si>
  <si>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</si>
  <si>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</si>
  <si>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</si>
  <si>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</si>
  <si>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</si>
  <si>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</si>
  <si>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</si>
  <si>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</si>
  <si>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</si>
  <si>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</si>
  <si>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</si>
  <si>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</si>
  <si>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</si>
  <si>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</si>
  <si>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</si>
  <si>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</si>
  <si>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</si>
  <si>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</si>
  <si>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</si>
  <si>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</si>
  <si>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</si>
  <si>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</si>
  <si>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</si>
  <si>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</si>
  <si>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</si>
  <si>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</si>
  <si>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</si>
  <si>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</si>
  <si>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</si>
  <si>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</si>
  <si>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</si>
  <si>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</si>
  <si>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</si>
  <si>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</si>
  <si>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</si>
  <si>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</si>
  <si>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</si>
  <si>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</si>
  <si>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</si>
  <si>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</si>
  <si>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</si>
  <si>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</si>
  <si>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</si>
  <si>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</si>
  <si>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</si>
  <si>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</si>
  <si>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램프 세팅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</si>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</sst>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486" zoomScaleNormal="100" workbookViewId="0">
      <selection activeCell="F496" sqref="F49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1"/>
      <c r="Q169" s="882"/>
      <c r="R169" s="882"/>
      <c r="S169" s="88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9" t="s">
        <v>4688</v>
      </c>
      <c r="Q182" s="880"/>
      <c r="R182" s="880"/>
      <c r="S182" s="88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6272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6273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6267</v>
      </c>
      <c r="I415" s="454" t="s">
        <v>90</v>
      </c>
      <c r="J415" s="453" t="s">
        <v>6268</v>
      </c>
      <c r="K415" s="136" t="s">
        <v>15</v>
      </c>
      <c r="L415" s="459" t="s">
        <v>6269</v>
      </c>
      <c r="M415" s="455">
        <v>2</v>
      </c>
      <c r="N415" s="456"/>
      <c r="O415" s="473" t="s">
        <v>6271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6264</v>
      </c>
      <c r="K416" s="125" t="s">
        <v>15</v>
      </c>
      <c r="L416" s="459">
        <v>9080</v>
      </c>
      <c r="M416" s="455">
        <v>3</v>
      </c>
      <c r="N416" s="456"/>
      <c r="O416" s="473" t="s">
        <v>6270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6274</v>
      </c>
      <c r="K417" s="136" t="s">
        <v>15</v>
      </c>
      <c r="L417" s="459">
        <v>9080</v>
      </c>
      <c r="M417" s="455">
        <v>2</v>
      </c>
      <c r="N417" s="456"/>
      <c r="O417" s="473" t="s">
        <v>6275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6287</v>
      </c>
      <c r="K418" s="136" t="s">
        <v>15</v>
      </c>
      <c r="L418" s="459" t="s">
        <v>6288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6266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6267</v>
      </c>
      <c r="I422" s="454"/>
      <c r="J422" s="453" t="s">
        <v>6282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6289</v>
      </c>
      <c r="I426" s="68" t="s">
        <v>6326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6267</v>
      </c>
      <c r="I427" s="454"/>
      <c r="J427" s="453" t="s">
        <v>6329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6346</v>
      </c>
      <c r="I428" s="68" t="s">
        <v>6327</v>
      </c>
      <c r="J428" s="136" t="s">
        <v>6290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6336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6335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6347</v>
      </c>
      <c r="I431" s="6" t="s">
        <v>6390</v>
      </c>
      <c r="J431" s="6" t="s">
        <v>6358</v>
      </c>
      <c r="K431" s="125" t="s">
        <v>6291</v>
      </c>
      <c r="L431" s="277" t="s">
        <v>6292</v>
      </c>
      <c r="M431" s="417">
        <v>2</v>
      </c>
      <c r="N431" s="6"/>
      <c r="O431" s="434" t="s">
        <v>6345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6375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6260</v>
      </c>
      <c r="E433" s="753" t="s">
        <v>6283</v>
      </c>
      <c r="F433" s="753" t="s">
        <v>6284</v>
      </c>
      <c r="G433" s="16" t="s">
        <v>6285</v>
      </c>
      <c r="H433" s="755" t="s">
        <v>6286</v>
      </c>
      <c r="I433" s="6" t="s">
        <v>6300</v>
      </c>
      <c r="J433" s="6" t="s">
        <v>3074</v>
      </c>
      <c r="K433" s="125" t="s">
        <v>6281</v>
      </c>
      <c r="L433" s="277" t="s">
        <v>6379</v>
      </c>
      <c r="M433" s="417">
        <v>2</v>
      </c>
      <c r="N433" s="394"/>
      <c r="O433" s="437" t="s">
        <v>6337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6363</v>
      </c>
      <c r="H434" s="817" t="s">
        <v>6364</v>
      </c>
      <c r="I434" s="6" t="s">
        <v>6365</v>
      </c>
      <c r="J434" s="6"/>
      <c r="K434" s="125" t="s">
        <v>6366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6368</v>
      </c>
      <c r="E435" s="806" t="s">
        <v>6369</v>
      </c>
      <c r="F435" s="806" t="s">
        <v>6370</v>
      </c>
      <c r="G435" s="16" t="s">
        <v>6371</v>
      </c>
      <c r="H435" s="817" t="s">
        <v>6372</v>
      </c>
      <c r="I435" s="6"/>
      <c r="J435" s="6" t="s">
        <v>6373</v>
      </c>
      <c r="K435" s="125" t="s">
        <v>15</v>
      </c>
      <c r="L435" s="277" t="s">
        <v>6374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6303</v>
      </c>
      <c r="I436" s="136" t="s">
        <v>6391</v>
      </c>
      <c r="J436" s="68" t="s">
        <v>6304</v>
      </c>
      <c r="K436" s="136" t="s">
        <v>15</v>
      </c>
      <c r="L436" s="277">
        <v>9080</v>
      </c>
      <c r="M436" s="819">
        <v>4</v>
      </c>
      <c r="N436" s="394"/>
      <c r="O436" s="437" t="s">
        <v>6362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6328</v>
      </c>
      <c r="I437" s="68" t="s">
        <v>6378</v>
      </c>
      <c r="J437" s="68" t="s">
        <v>6304</v>
      </c>
      <c r="K437" s="136" t="s">
        <v>15</v>
      </c>
      <c r="L437" s="277">
        <v>9080</v>
      </c>
      <c r="M437" s="819">
        <v>2</v>
      </c>
      <c r="N437" s="394"/>
      <c r="O437" s="437" t="s">
        <v>6362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6338</v>
      </c>
      <c r="K438" s="136" t="s">
        <v>15</v>
      </c>
      <c r="L438" s="277" t="s">
        <v>6302</v>
      </c>
      <c r="M438" s="819">
        <v>2</v>
      </c>
      <c r="N438" s="394"/>
      <c r="O438" s="437" t="s">
        <v>6361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6297</v>
      </c>
      <c r="G440" s="16" t="s">
        <v>553</v>
      </c>
      <c r="H440" s="805" t="s">
        <v>6299</v>
      </c>
      <c r="I440" s="6"/>
      <c r="J440" s="125" t="s">
        <v>3074</v>
      </c>
      <c r="K440" s="125" t="s">
        <v>15</v>
      </c>
      <c r="L440" s="277" t="s">
        <v>6301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6259</v>
      </c>
      <c r="D441" s="3" t="s">
        <v>6260</v>
      </c>
      <c r="E441" s="454" t="s">
        <v>6261</v>
      </c>
      <c r="F441" s="454" t="s">
        <v>6262</v>
      </c>
      <c r="G441" s="459" t="s">
        <v>6263</v>
      </c>
      <c r="H441" s="453" t="s">
        <v>6303</v>
      </c>
      <c r="I441" s="68" t="s">
        <v>6376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6338</v>
      </c>
      <c r="K442" s="136" t="s">
        <v>15</v>
      </c>
      <c r="L442" s="277" t="s">
        <v>6302</v>
      </c>
      <c r="M442" s="819">
        <v>2</v>
      </c>
      <c r="N442" s="394"/>
      <c r="O442" s="437" t="s">
        <v>6361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6392</v>
      </c>
      <c r="I443" s="6" t="s">
        <v>6390</v>
      </c>
      <c r="J443" s="6" t="s">
        <v>6358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6397</v>
      </c>
      <c r="D444" s="3" t="s">
        <v>14</v>
      </c>
      <c r="E444" s="454" t="s">
        <v>427</v>
      </c>
      <c r="F444" s="454" t="s">
        <v>3386</v>
      </c>
      <c r="G444" s="459" t="s">
        <v>6398</v>
      </c>
      <c r="H444" s="817" t="s">
        <v>6399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6401</v>
      </c>
      <c r="I445" s="68" t="s">
        <v>6376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6349</v>
      </c>
      <c r="E447" s="806" t="s">
        <v>6380</v>
      </c>
      <c r="F447" s="806" t="s">
        <v>6381</v>
      </c>
      <c r="G447" s="16" t="s">
        <v>6400</v>
      </c>
      <c r="H447" s="817" t="s">
        <v>6286</v>
      </c>
      <c r="I447" s="68"/>
      <c r="J447" s="68" t="s">
        <v>6382</v>
      </c>
      <c r="K447" s="136" t="s">
        <v>6383</v>
      </c>
      <c r="L447" s="277" t="s">
        <v>6384</v>
      </c>
      <c r="M447" s="819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6397</v>
      </c>
      <c r="D448" s="3" t="s">
        <v>14</v>
      </c>
      <c r="E448" s="454" t="s">
        <v>427</v>
      </c>
      <c r="F448" s="454" t="s">
        <v>3386</v>
      </c>
      <c r="G448" s="459" t="s">
        <v>6398</v>
      </c>
      <c r="H448" s="817" t="s">
        <v>6402</v>
      </c>
      <c r="I448" s="817" t="s">
        <v>6403</v>
      </c>
      <c r="J448" s="594" t="s">
        <v>6404</v>
      </c>
      <c r="K448" s="125" t="s">
        <v>6405</v>
      </c>
      <c r="L448" s="16" t="s">
        <v>6406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6431</v>
      </c>
      <c r="D450" s="3" t="s">
        <v>14</v>
      </c>
      <c r="E450" s="454" t="s">
        <v>427</v>
      </c>
      <c r="F450" s="454" t="s">
        <v>3386</v>
      </c>
      <c r="G450" s="459" t="s">
        <v>6398</v>
      </c>
      <c r="H450" s="817" t="s">
        <v>6442</v>
      </c>
      <c r="I450" s="806" t="s">
        <v>6417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6407</v>
      </c>
      <c r="I451" s="806" t="s">
        <v>6408</v>
      </c>
      <c r="J451" s="806" t="s">
        <v>6409</v>
      </c>
      <c r="K451" s="125" t="s">
        <v>6383</v>
      </c>
      <c r="L451" s="16" t="s">
        <v>6367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6421</v>
      </c>
      <c r="H452" s="453" t="s">
        <v>6422</v>
      </c>
      <c r="I452" s="68"/>
      <c r="J452" s="136" t="s">
        <v>6423</v>
      </c>
      <c r="K452" s="136" t="s">
        <v>6418</v>
      </c>
      <c r="L452" s="277" t="s">
        <v>5476</v>
      </c>
      <c r="M452" s="819">
        <v>2</v>
      </c>
      <c r="N452" s="594"/>
      <c r="O452" s="431"/>
      <c r="P452" s="806" t="s">
        <v>6294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6407</v>
      </c>
      <c r="I453" s="828" t="s">
        <v>6503</v>
      </c>
      <c r="J453" s="806"/>
      <c r="K453" s="125" t="s">
        <v>6383</v>
      </c>
      <c r="L453" s="16" t="s">
        <v>6367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6357</v>
      </c>
      <c r="J454" s="136" t="s">
        <v>6478</v>
      </c>
      <c r="K454" s="136" t="s">
        <v>6418</v>
      </c>
      <c r="L454" s="277" t="s">
        <v>6419</v>
      </c>
      <c r="M454" s="819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6421</v>
      </c>
      <c r="H455" s="453" t="s">
        <v>6422</v>
      </c>
      <c r="I455" s="68"/>
      <c r="J455" s="136" t="s">
        <v>6423</v>
      </c>
      <c r="K455" s="136" t="s">
        <v>6418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6357</v>
      </c>
      <c r="J456" s="136" t="s">
        <v>6420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>
      <c r="A457" s="604"/>
      <c r="B457" s="399">
        <v>46211</v>
      </c>
      <c r="C457" s="3" t="s">
        <v>6307</v>
      </c>
      <c r="D457" s="3" t="s">
        <v>6308</v>
      </c>
      <c r="E457" s="454" t="s">
        <v>6309</v>
      </c>
      <c r="F457" s="454" t="s">
        <v>6310</v>
      </c>
      <c r="G457" s="459" t="s">
        <v>6311</v>
      </c>
      <c r="H457" s="453" t="s">
        <v>6312</v>
      </c>
      <c r="I457" s="454" t="s">
        <v>6479</v>
      </c>
      <c r="J457" s="453" t="s">
        <v>3803</v>
      </c>
      <c r="K457" s="136" t="s">
        <v>6314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6468</v>
      </c>
      <c r="F458" s="454" t="s">
        <v>6469</v>
      </c>
      <c r="G458" s="459" t="s">
        <v>6502</v>
      </c>
      <c r="H458" s="453" t="s">
        <v>4617</v>
      </c>
      <c r="I458" s="454"/>
      <c r="J458" s="453" t="s">
        <v>6470</v>
      </c>
      <c r="K458" s="136" t="s">
        <v>6383</v>
      </c>
      <c r="L458" s="459" t="s">
        <v>6471</v>
      </c>
      <c r="M458" s="455">
        <v>1</v>
      </c>
      <c r="N458" s="816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6468</v>
      </c>
      <c r="F459" s="454" t="s">
        <v>6469</v>
      </c>
      <c r="G459" s="459" t="s">
        <v>6502</v>
      </c>
      <c r="H459" s="453" t="s">
        <v>6286</v>
      </c>
      <c r="I459" s="454"/>
      <c r="J459" s="453" t="s">
        <v>814</v>
      </c>
      <c r="K459" s="136" t="s">
        <v>6383</v>
      </c>
      <c r="L459" s="459" t="s">
        <v>6471</v>
      </c>
      <c r="M459" s="455">
        <v>1</v>
      </c>
      <c r="N459" s="816"/>
      <c r="O459" s="430"/>
      <c r="P459" s="806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6492</v>
      </c>
      <c r="F460" s="454" t="s">
        <v>6425</v>
      </c>
      <c r="G460" s="459" t="s">
        <v>6426</v>
      </c>
      <c r="H460" s="453" t="s">
        <v>6504</v>
      </c>
      <c r="I460" s="454"/>
      <c r="J460" s="453" t="s">
        <v>6489</v>
      </c>
      <c r="K460" s="136" t="s">
        <v>6383</v>
      </c>
      <c r="L460" s="459" t="s">
        <v>5476</v>
      </c>
      <c r="M460" s="455">
        <v>3</v>
      </c>
      <c r="N460" s="816"/>
      <c r="O460" s="430"/>
      <c r="P460" s="806" t="s">
        <v>6294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6505</v>
      </c>
      <c r="I461" s="68" t="s">
        <v>6417</v>
      </c>
      <c r="J461" s="136" t="s">
        <v>6420</v>
      </c>
      <c r="K461" s="136" t="s">
        <v>6418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6491</v>
      </c>
      <c r="H462" s="453" t="s">
        <v>6517</v>
      </c>
      <c r="I462" s="68" t="s">
        <v>6417</v>
      </c>
      <c r="J462" s="136" t="s">
        <v>6420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6349</v>
      </c>
      <c r="E463" s="454" t="s">
        <v>6476</v>
      </c>
      <c r="F463" s="454" t="s">
        <v>6480</v>
      </c>
      <c r="G463" s="459" t="s">
        <v>6481</v>
      </c>
      <c r="H463" s="817" t="s">
        <v>6482</v>
      </c>
      <c r="I463" s="454" t="s">
        <v>6523</v>
      </c>
      <c r="J463" s="453" t="s">
        <v>6490</v>
      </c>
      <c r="K463" s="136" t="s">
        <v>6359</v>
      </c>
      <c r="L463" s="459" t="s">
        <v>6367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6492</v>
      </c>
      <c r="F464" s="454" t="s">
        <v>6425</v>
      </c>
      <c r="G464" s="459" t="s">
        <v>6426</v>
      </c>
      <c r="H464" s="453" t="s">
        <v>6427</v>
      </c>
      <c r="I464" s="454"/>
      <c r="J464" s="453" t="s">
        <v>6489</v>
      </c>
      <c r="K464" s="136" t="s">
        <v>6383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6349</v>
      </c>
      <c r="E465" s="454" t="s">
        <v>6476</v>
      </c>
      <c r="F465" s="454" t="s">
        <v>6480</v>
      </c>
      <c r="G465" s="459" t="s">
        <v>6352</v>
      </c>
      <c r="H465" s="828" t="s">
        <v>6525</v>
      </c>
      <c r="I465" s="454" t="s">
        <v>6524</v>
      </c>
      <c r="J465" s="453" t="s">
        <v>6526</v>
      </c>
      <c r="K465" s="136" t="s">
        <v>6359</v>
      </c>
      <c r="L465" s="459" t="s">
        <v>6367</v>
      </c>
      <c r="M465" s="455">
        <v>3</v>
      </c>
      <c r="N465" s="827"/>
      <c r="O465" s="431"/>
      <c r="P465" s="822"/>
    </row>
    <row r="466" spans="1:17" s="17" customFormat="1" ht="33" customHeight="1">
      <c r="A466" s="604"/>
      <c r="B466" s="399">
        <v>46213</v>
      </c>
      <c r="C466" s="3" t="s">
        <v>6410</v>
      </c>
      <c r="D466" s="3" t="s">
        <v>6411</v>
      </c>
      <c r="E466" s="454" t="s">
        <v>6412</v>
      </c>
      <c r="F466" s="454">
        <v>7064</v>
      </c>
      <c r="G466" s="459" t="s">
        <v>6413</v>
      </c>
      <c r="H466" s="453" t="s">
        <v>6424</v>
      </c>
      <c r="I466" s="454" t="s">
        <v>6414</v>
      </c>
      <c r="J466" s="453" t="s">
        <v>6415</v>
      </c>
      <c r="K466" s="136" t="s">
        <v>6383</v>
      </c>
      <c r="L466" s="459" t="s">
        <v>6416</v>
      </c>
      <c r="M466" s="455">
        <v>4</v>
      </c>
      <c r="N466" s="816"/>
      <c r="O466" s="430"/>
      <c r="P466" s="806" t="s">
        <v>6294</v>
      </c>
    </row>
    <row r="467" spans="1:17" s="17" customFormat="1" ht="33" customHeight="1">
      <c r="A467" s="604"/>
      <c r="B467" s="399">
        <v>46213</v>
      </c>
      <c r="C467" s="4" t="s">
        <v>6472</v>
      </c>
      <c r="D467" s="4" t="s">
        <v>6368</v>
      </c>
      <c r="E467" s="822" t="s">
        <v>6506</v>
      </c>
      <c r="F467" s="822" t="s">
        <v>6473</v>
      </c>
      <c r="G467" s="16" t="s">
        <v>6474</v>
      </c>
      <c r="H467" s="828" t="s">
        <v>6533</v>
      </c>
      <c r="I467" s="822" t="s">
        <v>6507</v>
      </c>
      <c r="J467" s="822" t="s">
        <v>6496</v>
      </c>
      <c r="K467" s="125" t="s">
        <v>6475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6349</v>
      </c>
      <c r="E468" s="454" t="s">
        <v>6476</v>
      </c>
      <c r="F468" s="454" t="s">
        <v>6480</v>
      </c>
      <c r="G468" s="459" t="s">
        <v>6352</v>
      </c>
      <c r="H468" s="828" t="s">
        <v>6525</v>
      </c>
      <c r="I468" s="454" t="s">
        <v>6534</v>
      </c>
      <c r="J468" s="453" t="s">
        <v>6358</v>
      </c>
      <c r="K468" s="136" t="s">
        <v>6359</v>
      </c>
      <c r="L468" s="459" t="s">
        <v>6367</v>
      </c>
      <c r="M468" s="455">
        <v>3</v>
      </c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6527</v>
      </c>
      <c r="I470" s="848" t="s">
        <v>6376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6528</v>
      </c>
      <c r="P470" s="822" t="s">
        <v>6294</v>
      </c>
      <c r="Q470" s="17" t="s">
        <v>6389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6498</v>
      </c>
      <c r="G471" s="459" t="s">
        <v>6497</v>
      </c>
      <c r="H471" s="828" t="s">
        <v>6499</v>
      </c>
      <c r="I471" s="822" t="s">
        <v>6501</v>
      </c>
      <c r="J471" s="822" t="s">
        <v>6521</v>
      </c>
      <c r="K471" s="125" t="s">
        <v>6495</v>
      </c>
      <c r="L471" s="16">
        <v>9080</v>
      </c>
      <c r="M471" s="8">
        <v>2</v>
      </c>
      <c r="N471" s="806"/>
      <c r="O471" s="431" t="s">
        <v>6529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6428</v>
      </c>
      <c r="F472" s="454" t="s">
        <v>6425</v>
      </c>
      <c r="G472" s="459" t="s">
        <v>6426</v>
      </c>
      <c r="H472" s="817" t="s">
        <v>6557</v>
      </c>
      <c r="I472" s="822" t="s">
        <v>6501</v>
      </c>
      <c r="J472" s="822" t="s">
        <v>6521</v>
      </c>
      <c r="K472" s="125" t="s">
        <v>911</v>
      </c>
      <c r="L472" s="16">
        <v>9080</v>
      </c>
      <c r="M472" s="8">
        <v>2</v>
      </c>
      <c r="N472" s="594"/>
      <c r="O472" s="431" t="s">
        <v>6530</v>
      </c>
      <c r="P472" s="76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6428</v>
      </c>
      <c r="F473" s="454" t="s">
        <v>6425</v>
      </c>
      <c r="G473" s="459" t="s">
        <v>6429</v>
      </c>
      <c r="H473" s="817" t="s">
        <v>6500</v>
      </c>
      <c r="I473" s="822" t="s">
        <v>6501</v>
      </c>
      <c r="J473" s="822" t="s">
        <v>6521</v>
      </c>
      <c r="K473" s="125" t="s">
        <v>6495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6567</v>
      </c>
      <c r="I474" s="848" t="s">
        <v>6568</v>
      </c>
      <c r="J474" s="848" t="s">
        <v>6560</v>
      </c>
      <c r="K474" s="125" t="s">
        <v>15</v>
      </c>
      <c r="L474" s="16" t="s">
        <v>6556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6312</v>
      </c>
      <c r="I475" s="454" t="s">
        <v>6313</v>
      </c>
      <c r="J475" s="453" t="s">
        <v>999</v>
      </c>
      <c r="K475" s="136" t="s">
        <v>15</v>
      </c>
      <c r="L475" s="459" t="s">
        <v>6556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6518</v>
      </c>
      <c r="F476" s="454" t="s">
        <v>3386</v>
      </c>
      <c r="G476" s="459" t="s">
        <v>964</v>
      </c>
      <c r="H476" s="453" t="s">
        <v>6522</v>
      </c>
      <c r="I476" s="454" t="s">
        <v>6519</v>
      </c>
      <c r="J476" s="822" t="s">
        <v>6560</v>
      </c>
      <c r="K476" s="125" t="s">
        <v>911</v>
      </c>
      <c r="L476" s="459" t="s">
        <v>6520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6349</v>
      </c>
      <c r="E477" s="822" t="s">
        <v>6476</v>
      </c>
      <c r="F477" s="822" t="s">
        <v>6477</v>
      </c>
      <c r="G477" s="16" t="s">
        <v>6493</v>
      </c>
      <c r="H477" s="828" t="s">
        <v>6575</v>
      </c>
      <c r="I477" s="822" t="s">
        <v>6572</v>
      </c>
      <c r="J477" s="822" t="s">
        <v>6574</v>
      </c>
      <c r="K477" s="125" t="s">
        <v>911</v>
      </c>
      <c r="L477" s="16" t="s">
        <v>6516</v>
      </c>
      <c r="M477" s="8">
        <v>3</v>
      </c>
      <c r="N477" s="827"/>
      <c r="O477" s="437" t="s">
        <v>6598</v>
      </c>
      <c r="P477" s="822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6571</v>
      </c>
      <c r="I478" s="848" t="s">
        <v>6572</v>
      </c>
      <c r="J478" s="848" t="s">
        <v>6574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6601</v>
      </c>
      <c r="I479" s="848" t="s">
        <v>6572</v>
      </c>
      <c r="J479" s="848" t="s">
        <v>6574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6562</v>
      </c>
      <c r="E480" s="848" t="s">
        <v>3335</v>
      </c>
      <c r="F480" s="848" t="s">
        <v>6586</v>
      </c>
      <c r="G480" s="16" t="s">
        <v>6563</v>
      </c>
      <c r="H480" s="851" t="s">
        <v>1279</v>
      </c>
      <c r="I480" s="848" t="s">
        <v>1690</v>
      </c>
      <c r="J480" s="848" t="s">
        <v>6595</v>
      </c>
      <c r="K480" s="125" t="s">
        <v>6564</v>
      </c>
      <c r="L480" s="16" t="s">
        <v>6596</v>
      </c>
      <c r="M480" s="8">
        <v>4</v>
      </c>
      <c r="N480" s="850"/>
      <c r="O480" s="437" t="s">
        <v>6597</v>
      </c>
      <c r="P480" s="848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6562</v>
      </c>
      <c r="E481" s="848" t="s">
        <v>3335</v>
      </c>
      <c r="F481" s="848" t="s">
        <v>4939</v>
      </c>
      <c r="G481" s="16" t="s">
        <v>6565</v>
      </c>
      <c r="H481" s="851" t="s">
        <v>6566</v>
      </c>
      <c r="I481" s="848" t="s">
        <v>1690</v>
      </c>
      <c r="J481" s="848" t="s">
        <v>6595</v>
      </c>
      <c r="K481" s="125" t="s">
        <v>6564</v>
      </c>
      <c r="L481" s="16" t="s">
        <v>6596</v>
      </c>
      <c r="M481" s="8">
        <v>4</v>
      </c>
      <c r="N481" s="850"/>
      <c r="O481" s="437" t="s">
        <v>6597</v>
      </c>
      <c r="P481" s="848"/>
      <c r="Q481" s="474"/>
    </row>
    <row r="482" spans="1:17" s="17" customFormat="1" ht="33" customHeight="1">
      <c r="A482" s="604"/>
      <c r="B482" s="399">
        <v>46219</v>
      </c>
      <c r="C482" s="4" t="s">
        <v>6276</v>
      </c>
      <c r="D482" s="4" t="s">
        <v>14</v>
      </c>
      <c r="E482" s="769" t="s">
        <v>6277</v>
      </c>
      <c r="F482" s="769" t="s">
        <v>6279</v>
      </c>
      <c r="G482" s="16" t="s">
        <v>6278</v>
      </c>
      <c r="H482" s="771" t="s">
        <v>6280</v>
      </c>
      <c r="I482" s="769" t="s">
        <v>6265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6599</v>
      </c>
      <c r="K483" s="125" t="s">
        <v>911</v>
      </c>
      <c r="L483" s="459">
        <v>9080</v>
      </c>
      <c r="M483" s="455">
        <v>3</v>
      </c>
      <c r="N483" s="850"/>
      <c r="O483" s="437" t="s">
        <v>6600</v>
      </c>
      <c r="P483" s="848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2"/>
      <c r="F484" s="822"/>
      <c r="G484" s="16"/>
      <c r="H484" s="404" t="s">
        <v>6561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60" t="s">
        <v>107</v>
      </c>
      <c r="F487" s="860" t="s">
        <v>3386</v>
      </c>
      <c r="G487" s="16" t="s">
        <v>23</v>
      </c>
      <c r="H487" s="861" t="s">
        <v>6638</v>
      </c>
      <c r="I487" s="861" t="s">
        <v>6639</v>
      </c>
      <c r="J487" s="860"/>
      <c r="K487" s="125" t="s">
        <v>15</v>
      </c>
      <c r="L487" s="16">
        <v>9080</v>
      </c>
      <c r="M487" s="8">
        <v>4</v>
      </c>
      <c r="N487" s="860"/>
      <c r="O487" s="431"/>
      <c r="P487" s="760" t="s">
        <v>6294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6587</v>
      </c>
      <c r="F488" s="454">
        <v>8262</v>
      </c>
      <c r="G488" s="459" t="s">
        <v>1225</v>
      </c>
      <c r="H488" s="851" t="s">
        <v>6673</v>
      </c>
      <c r="I488" s="454" t="s">
        <v>6589</v>
      </c>
      <c r="J488" s="453"/>
      <c r="K488" s="136" t="s">
        <v>6569</v>
      </c>
      <c r="L488" s="459" t="s">
        <v>33</v>
      </c>
      <c r="M488" s="455">
        <v>2</v>
      </c>
      <c r="N488" s="848"/>
      <c r="O488" s="429" t="s">
        <v>6614</v>
      </c>
      <c r="P488" s="848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6531</v>
      </c>
      <c r="F489" s="454" t="s">
        <v>2653</v>
      </c>
      <c r="G489" s="459" t="s">
        <v>263</v>
      </c>
      <c r="H489" s="851" t="s">
        <v>6608</v>
      </c>
      <c r="I489" s="454" t="s">
        <v>6589</v>
      </c>
      <c r="J489" s="453"/>
      <c r="K489" s="136" t="s">
        <v>6569</v>
      </c>
      <c r="L489" s="459" t="s">
        <v>33</v>
      </c>
      <c r="M489" s="455">
        <v>2</v>
      </c>
      <c r="N489" s="848"/>
      <c r="O489" s="431"/>
      <c r="P489" s="848"/>
    </row>
    <row r="490" spans="1:17" s="17" customFormat="1" ht="33" customHeight="1">
      <c r="A490" s="604"/>
      <c r="B490" s="1168">
        <v>46224</v>
      </c>
      <c r="C490" s="1169" t="s">
        <v>21</v>
      </c>
      <c r="D490" s="1169" t="s">
        <v>6484</v>
      </c>
      <c r="E490" s="1170" t="s">
        <v>6485</v>
      </c>
      <c r="F490" s="1171" t="s">
        <v>6486</v>
      </c>
      <c r="G490" s="1172" t="s">
        <v>6487</v>
      </c>
      <c r="H490" s="1170" t="s">
        <v>6675</v>
      </c>
      <c r="I490" s="1171" t="s">
        <v>6643</v>
      </c>
      <c r="J490" s="1171" t="s">
        <v>686</v>
      </c>
      <c r="K490" s="1173" t="s">
        <v>6590</v>
      </c>
      <c r="L490" s="1172" t="s">
        <v>3304</v>
      </c>
      <c r="M490" s="1174">
        <v>3</v>
      </c>
      <c r="N490" s="1171"/>
      <c r="O490" s="1175"/>
      <c r="P490" s="806"/>
    </row>
    <row r="491" spans="1:17" s="17" customFormat="1" ht="33" customHeight="1">
      <c r="A491" s="604"/>
      <c r="B491" s="1168">
        <v>46224</v>
      </c>
      <c r="C491" s="1169" t="s">
        <v>1475</v>
      </c>
      <c r="D491" s="1169" t="s">
        <v>31</v>
      </c>
      <c r="E491" s="1170" t="s">
        <v>6095</v>
      </c>
      <c r="F491" s="1171" t="s">
        <v>3336</v>
      </c>
      <c r="G491" s="1172" t="s">
        <v>23</v>
      </c>
      <c r="H491" s="1170" t="s">
        <v>6483</v>
      </c>
      <c r="I491" s="1171" t="s">
        <v>737</v>
      </c>
      <c r="J491" s="1170" t="s">
        <v>41</v>
      </c>
      <c r="K491" s="1173" t="s">
        <v>15</v>
      </c>
      <c r="L491" s="1172" t="s">
        <v>4550</v>
      </c>
      <c r="M491" s="1174">
        <v>2</v>
      </c>
      <c r="N491" s="1171"/>
      <c r="O491" s="1176"/>
      <c r="P491" s="854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60" t="s">
        <v>1893</v>
      </c>
      <c r="F492" s="860" t="s">
        <v>4939</v>
      </c>
      <c r="G492" s="16" t="s">
        <v>34</v>
      </c>
      <c r="H492" s="861" t="s">
        <v>1279</v>
      </c>
      <c r="I492" s="860"/>
      <c r="J492" s="860" t="s">
        <v>641</v>
      </c>
      <c r="K492" s="125" t="s">
        <v>15</v>
      </c>
      <c r="L492" s="16" t="s">
        <v>4550</v>
      </c>
      <c r="M492" s="8">
        <v>2</v>
      </c>
      <c r="N492" s="860"/>
      <c r="O492" s="862"/>
      <c r="P492" s="860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9" t="s">
        <v>6095</v>
      </c>
      <c r="F493" s="854" t="s">
        <v>2713</v>
      </c>
      <c r="G493" s="16" t="s">
        <v>23</v>
      </c>
      <c r="H493" s="859" t="s">
        <v>6656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4"/>
      <c r="O493" s="862"/>
      <c r="P493" s="854" t="s">
        <v>6294</v>
      </c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6613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6"/>
      <c r="O494" s="429"/>
      <c r="P494" s="760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6559</v>
      </c>
      <c r="F495" s="454" t="s">
        <v>2978</v>
      </c>
      <c r="G495" s="459" t="s">
        <v>843</v>
      </c>
      <c r="H495" s="859" t="s">
        <v>6654</v>
      </c>
      <c r="I495" s="454"/>
      <c r="J495" s="453" t="s">
        <v>5284</v>
      </c>
      <c r="K495" s="136" t="s">
        <v>15</v>
      </c>
      <c r="L495" s="459" t="s">
        <v>6655</v>
      </c>
      <c r="M495" s="8">
        <v>3</v>
      </c>
      <c r="N495" s="848"/>
      <c r="O495" s="431" t="s">
        <v>6674</v>
      </c>
      <c r="P495" s="848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9" t="s">
        <v>6623</v>
      </c>
      <c r="I496" s="454" t="s">
        <v>6376</v>
      </c>
      <c r="J496" s="453"/>
      <c r="K496" s="136" t="s">
        <v>15</v>
      </c>
      <c r="L496" s="459">
        <v>9080</v>
      </c>
      <c r="M496" s="8">
        <v>2</v>
      </c>
      <c r="N496" s="854"/>
      <c r="O496" s="431"/>
      <c r="P496" s="854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6667</v>
      </c>
      <c r="E497" s="454" t="s">
        <v>6627</v>
      </c>
      <c r="F497" s="454" t="s">
        <v>6668</v>
      </c>
      <c r="G497" s="459" t="s">
        <v>6669</v>
      </c>
      <c r="H497" s="859" t="s">
        <v>6670</v>
      </c>
      <c r="I497" s="454" t="s">
        <v>3661</v>
      </c>
      <c r="J497" s="453" t="s">
        <v>6671</v>
      </c>
      <c r="K497" s="136" t="s">
        <v>6672</v>
      </c>
      <c r="L497" s="459" t="s">
        <v>6635</v>
      </c>
      <c r="M497" s="8">
        <v>2</v>
      </c>
      <c r="N497" s="854"/>
      <c r="O497" s="431"/>
      <c r="P497" s="854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4" t="s">
        <v>5728</v>
      </c>
      <c r="F498" s="854" t="s">
        <v>5488</v>
      </c>
      <c r="G498" s="16" t="s">
        <v>5428</v>
      </c>
      <c r="H498" s="859" t="s">
        <v>6576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4"/>
      <c r="O498" s="431"/>
      <c r="P498" s="854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4" t="s">
        <v>6559</v>
      </c>
      <c r="F499" s="854" t="s">
        <v>2978</v>
      </c>
      <c r="G499" s="16" t="s">
        <v>23</v>
      </c>
      <c r="H499" s="859" t="s">
        <v>146</v>
      </c>
      <c r="I499" s="854" t="s">
        <v>6650</v>
      </c>
      <c r="J499" s="854" t="s">
        <v>6651</v>
      </c>
      <c r="K499" s="125" t="s">
        <v>15</v>
      </c>
      <c r="L499" s="16">
        <v>9080</v>
      </c>
      <c r="M499" s="8">
        <v>2</v>
      </c>
      <c r="N499" s="848"/>
      <c r="O499" s="429" t="s">
        <v>6652</v>
      </c>
      <c r="P499" s="848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6559</v>
      </c>
      <c r="F500" s="454" t="s">
        <v>2978</v>
      </c>
      <c r="G500" s="459" t="s">
        <v>843</v>
      </c>
      <c r="H500" s="859" t="s">
        <v>146</v>
      </c>
      <c r="I500" s="854" t="s">
        <v>6650</v>
      </c>
      <c r="J500" s="854" t="s">
        <v>6651</v>
      </c>
      <c r="K500" s="125" t="s">
        <v>15</v>
      </c>
      <c r="L500" s="16">
        <v>9080</v>
      </c>
      <c r="M500" s="8">
        <v>2</v>
      </c>
      <c r="N500" s="854"/>
      <c r="O500" s="429" t="s">
        <v>6652</v>
      </c>
      <c r="P500" s="854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6619</v>
      </c>
      <c r="H501" s="859" t="s">
        <v>6620</v>
      </c>
      <c r="I501" s="854" t="s">
        <v>6621</v>
      </c>
      <c r="J501" s="854" t="s">
        <v>6641</v>
      </c>
      <c r="K501" s="125" t="s">
        <v>15</v>
      </c>
      <c r="L501" s="16" t="s">
        <v>5263</v>
      </c>
      <c r="M501" s="8">
        <v>2</v>
      </c>
      <c r="N501" s="854"/>
      <c r="O501" s="429" t="s">
        <v>6642</v>
      </c>
      <c r="P501" s="854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8" t="s">
        <v>6114</v>
      </c>
      <c r="F502" s="848" t="s">
        <v>2557</v>
      </c>
      <c r="G502" s="16" t="s">
        <v>1514</v>
      </c>
      <c r="H502" s="851" t="s">
        <v>6514</v>
      </c>
      <c r="I502" s="848" t="s">
        <v>6603</v>
      </c>
      <c r="J502" s="848" t="s">
        <v>6604</v>
      </c>
      <c r="K502" s="125" t="s">
        <v>42</v>
      </c>
      <c r="L502" s="16" t="s">
        <v>4550</v>
      </c>
      <c r="M502" s="8">
        <v>3</v>
      </c>
      <c r="N502" s="850"/>
      <c r="O502" s="430"/>
      <c r="P502" s="848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6619</v>
      </c>
      <c r="H503" s="859" t="s">
        <v>6620</v>
      </c>
      <c r="I503" s="854" t="s">
        <v>6621</v>
      </c>
      <c r="J503" s="854" t="s">
        <v>6641</v>
      </c>
      <c r="K503" s="125" t="s">
        <v>15</v>
      </c>
      <c r="L503" s="16" t="s">
        <v>5263</v>
      </c>
      <c r="M503" s="8">
        <v>2</v>
      </c>
      <c r="N503" s="854"/>
      <c r="O503" s="429" t="s">
        <v>6642</v>
      </c>
      <c r="P503" s="854"/>
    </row>
    <row r="504" spans="1:16" s="17" customFormat="1" ht="33" customHeight="1">
      <c r="A504" s="604"/>
      <c r="B504" s="865">
        <v>46227</v>
      </c>
      <c r="C504" s="272" t="s">
        <v>21</v>
      </c>
      <c r="D504" s="272" t="s">
        <v>30</v>
      </c>
      <c r="E504" s="867" t="s">
        <v>6559</v>
      </c>
      <c r="F504" s="867" t="s">
        <v>2978</v>
      </c>
      <c r="G504" s="868" t="s">
        <v>23</v>
      </c>
      <c r="H504" s="866" t="s">
        <v>6617</v>
      </c>
      <c r="I504" s="867" t="s">
        <v>6650</v>
      </c>
      <c r="J504" s="867" t="s">
        <v>6651</v>
      </c>
      <c r="K504" s="869" t="s">
        <v>15</v>
      </c>
      <c r="L504" s="868">
        <v>9080</v>
      </c>
      <c r="M504" s="870">
        <v>2</v>
      </c>
      <c r="N504" s="871"/>
      <c r="O504" s="872" t="s">
        <v>6618</v>
      </c>
      <c r="P504" s="848"/>
    </row>
    <row r="505" spans="1:16" s="17" customFormat="1" ht="33" customHeight="1">
      <c r="A505" s="604"/>
      <c r="B505" s="865">
        <v>46227</v>
      </c>
      <c r="C505" s="272" t="s">
        <v>64</v>
      </c>
      <c r="D505" s="272" t="s">
        <v>14</v>
      </c>
      <c r="E505" s="866" t="s">
        <v>6559</v>
      </c>
      <c r="F505" s="867" t="s">
        <v>2978</v>
      </c>
      <c r="G505" s="868" t="s">
        <v>843</v>
      </c>
      <c r="H505" s="866" t="s">
        <v>6617</v>
      </c>
      <c r="I505" s="867" t="s">
        <v>6650</v>
      </c>
      <c r="J505" s="867" t="s">
        <v>6651</v>
      </c>
      <c r="K505" s="869" t="s">
        <v>15</v>
      </c>
      <c r="L505" s="868">
        <v>9080</v>
      </c>
      <c r="M505" s="870">
        <v>2</v>
      </c>
      <c r="N505" s="871"/>
      <c r="O505" s="872" t="s">
        <v>6618</v>
      </c>
      <c r="P505" s="854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8" t="s">
        <v>6114</v>
      </c>
      <c r="F506" s="848" t="s">
        <v>2557</v>
      </c>
      <c r="G506" s="16" t="s">
        <v>1514</v>
      </c>
      <c r="H506" s="828" t="s">
        <v>6555</v>
      </c>
      <c r="I506" s="848" t="s">
        <v>6603</v>
      </c>
      <c r="J506" s="848" t="s">
        <v>6604</v>
      </c>
      <c r="K506" s="125" t="s">
        <v>6605</v>
      </c>
      <c r="L506" s="16" t="s">
        <v>4550</v>
      </c>
      <c r="M506" s="8">
        <v>3</v>
      </c>
      <c r="N506" s="595"/>
      <c r="O506" s="430"/>
      <c r="P506" s="760"/>
    </row>
    <row r="507" spans="1:16" s="17" customFormat="1" ht="33" customHeight="1">
      <c r="A507" s="864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6619</v>
      </c>
      <c r="H507" s="859" t="s">
        <v>6620</v>
      </c>
      <c r="I507" s="854" t="s">
        <v>6621</v>
      </c>
      <c r="J507" s="854" t="s">
        <v>6641</v>
      </c>
      <c r="K507" s="125" t="s">
        <v>15</v>
      </c>
      <c r="L507" s="16" t="s">
        <v>5263</v>
      </c>
      <c r="M507" s="8">
        <v>2</v>
      </c>
      <c r="N507" s="854"/>
      <c r="O507" s="429" t="s">
        <v>6642</v>
      </c>
      <c r="P507" s="854"/>
    </row>
    <row r="508" spans="1:16" s="17" customFormat="1" ht="33" customHeight="1">
      <c r="A508" s="864"/>
      <c r="B508" s="369">
        <v>46228</v>
      </c>
      <c r="C508" s="4" t="s">
        <v>64</v>
      </c>
      <c r="D508" s="4" t="s">
        <v>30</v>
      </c>
      <c r="E508" s="854" t="s">
        <v>6114</v>
      </c>
      <c r="F508" s="854" t="s">
        <v>6509</v>
      </c>
      <c r="G508" s="16" t="s">
        <v>200</v>
      </c>
      <c r="H508" s="859" t="s">
        <v>6637</v>
      </c>
      <c r="I508" s="854" t="s">
        <v>6603</v>
      </c>
      <c r="J508" s="854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60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4" t="s">
        <v>6114</v>
      </c>
      <c r="F509" s="854" t="s">
        <v>6509</v>
      </c>
      <c r="G509" s="16" t="s">
        <v>200</v>
      </c>
      <c r="H509" s="859" t="s">
        <v>6637</v>
      </c>
      <c r="I509" s="854" t="s">
        <v>6603</v>
      </c>
      <c r="J509" s="854" t="s">
        <v>4463</v>
      </c>
      <c r="K509" s="125" t="s">
        <v>42</v>
      </c>
      <c r="L509" s="16" t="s">
        <v>4550</v>
      </c>
      <c r="M509" s="8">
        <v>3</v>
      </c>
      <c r="N509" s="863"/>
      <c r="O509" s="432"/>
      <c r="P509" s="854"/>
    </row>
    <row r="510" spans="1:16" s="17" customFormat="1" ht="33" customHeight="1">
      <c r="A510" s="877" t="s">
        <v>6640</v>
      </c>
      <c r="B510" s="865" t="s">
        <v>6653</v>
      </c>
      <c r="C510" s="272" t="s">
        <v>138</v>
      </c>
      <c r="D510" s="272" t="s">
        <v>6626</v>
      </c>
      <c r="E510" s="867" t="s">
        <v>6644</v>
      </c>
      <c r="F510" s="867" t="s">
        <v>6645</v>
      </c>
      <c r="G510" s="868" t="s">
        <v>6646</v>
      </c>
      <c r="H510" s="866" t="s">
        <v>6647</v>
      </c>
      <c r="I510" s="867" t="s">
        <v>6648</v>
      </c>
      <c r="J510" s="867" t="s">
        <v>6649</v>
      </c>
      <c r="K510" s="869" t="s">
        <v>15</v>
      </c>
      <c r="L510" s="868" t="s">
        <v>6658</v>
      </c>
      <c r="M510" s="870">
        <v>2</v>
      </c>
      <c r="N510" s="873"/>
      <c r="O510" s="874" t="s">
        <v>6622</v>
      </c>
      <c r="P510" s="854"/>
    </row>
    <row r="511" spans="1:16" s="17" customFormat="1" ht="33" customHeight="1">
      <c r="A511" s="878"/>
      <c r="B511" s="865" t="s">
        <v>6653</v>
      </c>
      <c r="C511" s="272" t="s">
        <v>6625</v>
      </c>
      <c r="D511" s="272" t="s">
        <v>6626</v>
      </c>
      <c r="E511" s="866" t="s">
        <v>6627</v>
      </c>
      <c r="F511" s="867" t="s">
        <v>6628</v>
      </c>
      <c r="G511" s="868" t="s">
        <v>6629</v>
      </c>
      <c r="H511" s="866" t="s">
        <v>6630</v>
      </c>
      <c r="I511" s="867" t="s">
        <v>3661</v>
      </c>
      <c r="J511" s="867" t="s">
        <v>6657</v>
      </c>
      <c r="K511" s="869" t="s">
        <v>15</v>
      </c>
      <c r="L511" s="868" t="s">
        <v>6659</v>
      </c>
      <c r="M511" s="870">
        <v>3</v>
      </c>
      <c r="N511" s="873"/>
      <c r="O511" s="874" t="s">
        <v>6622</v>
      </c>
      <c r="P511" s="854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 t="s">
        <v>5631</v>
      </c>
      <c r="B513" s="399">
        <v>46230</v>
      </c>
      <c r="C513" s="3" t="s">
        <v>64</v>
      </c>
      <c r="D513" s="3" t="s">
        <v>14</v>
      </c>
      <c r="E513" s="453" t="s">
        <v>107</v>
      </c>
      <c r="F513" s="454" t="s">
        <v>2959</v>
      </c>
      <c r="G513" s="459" t="s">
        <v>6619</v>
      </c>
      <c r="H513" s="859" t="s">
        <v>6620</v>
      </c>
      <c r="I513" s="854" t="s">
        <v>6621</v>
      </c>
      <c r="J513" s="854" t="s">
        <v>3298</v>
      </c>
      <c r="K513" s="125" t="s">
        <v>15</v>
      </c>
      <c r="L513" s="16" t="s">
        <v>6635</v>
      </c>
      <c r="M513" s="8">
        <v>2</v>
      </c>
      <c r="N513" s="594"/>
      <c r="O513" s="431"/>
      <c r="P513" s="760"/>
    </row>
    <row r="514" spans="1:16" s="17" customFormat="1" ht="33" customHeight="1">
      <c r="A514" s="604"/>
      <c r="B514" s="399">
        <v>46230</v>
      </c>
      <c r="C514" s="4" t="s">
        <v>6508</v>
      </c>
      <c r="D514" s="4" t="s">
        <v>797</v>
      </c>
      <c r="E514" s="822" t="s">
        <v>6114</v>
      </c>
      <c r="F514" s="822" t="s">
        <v>6509</v>
      </c>
      <c r="G514" s="16" t="s">
        <v>6510</v>
      </c>
      <c r="H514" s="828" t="s">
        <v>6511</v>
      </c>
      <c r="I514" s="848" t="s">
        <v>6603</v>
      </c>
      <c r="J514" s="848" t="s">
        <v>6604</v>
      </c>
      <c r="K514" s="125" t="s">
        <v>42</v>
      </c>
      <c r="L514" s="16" t="s">
        <v>4550</v>
      </c>
      <c r="M514" s="8">
        <v>3</v>
      </c>
      <c r="N514" s="822"/>
      <c r="O514" s="431"/>
      <c r="P514" s="822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6558</v>
      </c>
      <c r="E515" s="848" t="s">
        <v>6559</v>
      </c>
      <c r="F515" s="848" t="s">
        <v>2978</v>
      </c>
      <c r="G515" s="16" t="s">
        <v>23</v>
      </c>
      <c r="H515" s="851" t="s">
        <v>984</v>
      </c>
      <c r="I515" s="848" t="s">
        <v>6602</v>
      </c>
      <c r="J515" s="848" t="s">
        <v>6609</v>
      </c>
      <c r="K515" s="125" t="s">
        <v>15</v>
      </c>
      <c r="L515" s="16">
        <v>9080</v>
      </c>
      <c r="M515" s="8">
        <v>1</v>
      </c>
      <c r="N515" s="848"/>
      <c r="O515" s="431"/>
      <c r="P515" s="848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6558</v>
      </c>
      <c r="E516" s="848" t="s">
        <v>6559</v>
      </c>
      <c r="F516" s="848" t="s">
        <v>2978</v>
      </c>
      <c r="G516" s="16" t="s">
        <v>6594</v>
      </c>
      <c r="H516" s="851" t="s">
        <v>984</v>
      </c>
      <c r="I516" s="848" t="s">
        <v>6602</v>
      </c>
      <c r="J516" s="848" t="s">
        <v>6609</v>
      </c>
      <c r="K516" s="125" t="s">
        <v>15</v>
      </c>
      <c r="L516" s="16">
        <v>9080</v>
      </c>
      <c r="M516" s="8">
        <v>1</v>
      </c>
      <c r="N516" s="848"/>
      <c r="O516" s="431"/>
      <c r="P516" s="848"/>
    </row>
    <row r="517" spans="1:16" s="17" customFormat="1" ht="33" customHeight="1">
      <c r="A517" s="604"/>
      <c r="B517" s="399">
        <v>46231</v>
      </c>
      <c r="C517" s="4" t="s">
        <v>6508</v>
      </c>
      <c r="D517" s="4" t="s">
        <v>797</v>
      </c>
      <c r="E517" s="822" t="s">
        <v>6114</v>
      </c>
      <c r="F517" s="822" t="s">
        <v>6509</v>
      </c>
      <c r="G517" s="16" t="s">
        <v>6510</v>
      </c>
      <c r="H517" s="828" t="s">
        <v>6511</v>
      </c>
      <c r="I517" s="848" t="s">
        <v>6603</v>
      </c>
      <c r="J517" s="848" t="s">
        <v>6604</v>
      </c>
      <c r="K517" s="125" t="s">
        <v>42</v>
      </c>
      <c r="L517" s="16" t="s">
        <v>4550</v>
      </c>
      <c r="M517" s="8">
        <v>3</v>
      </c>
      <c r="N517" s="594"/>
      <c r="O517" s="431"/>
      <c r="P517" s="760"/>
    </row>
    <row r="518" spans="1:16" s="17" customFormat="1" ht="33" customHeight="1">
      <c r="A518" s="604"/>
      <c r="B518" s="399">
        <v>46231</v>
      </c>
      <c r="C518" s="4" t="s">
        <v>1255</v>
      </c>
      <c r="D518" s="4" t="s">
        <v>14</v>
      </c>
      <c r="E518" s="848" t="s">
        <v>107</v>
      </c>
      <c r="F518" s="848" t="s">
        <v>2959</v>
      </c>
      <c r="G518" s="16" t="s">
        <v>3421</v>
      </c>
      <c r="H518" s="851" t="s">
        <v>6631</v>
      </c>
      <c r="I518" s="848"/>
      <c r="J518" s="848" t="s">
        <v>6632</v>
      </c>
      <c r="K518" s="125" t="s">
        <v>6633</v>
      </c>
      <c r="L518" s="16" t="s">
        <v>5263</v>
      </c>
      <c r="M518" s="8">
        <v>2</v>
      </c>
      <c r="N518" s="848"/>
      <c r="O518" s="431"/>
      <c r="P518" s="848"/>
    </row>
    <row r="519" spans="1:16" s="17" customFormat="1" ht="33" customHeight="1">
      <c r="A519" s="604"/>
      <c r="B519" s="399">
        <v>46231</v>
      </c>
      <c r="C519" s="3" t="s">
        <v>64</v>
      </c>
      <c r="D519" s="3" t="s">
        <v>14</v>
      </c>
      <c r="E519" s="453" t="s">
        <v>107</v>
      </c>
      <c r="F519" s="454" t="s">
        <v>2959</v>
      </c>
      <c r="G519" s="459" t="s">
        <v>6619</v>
      </c>
      <c r="H519" s="859" t="s">
        <v>6620</v>
      </c>
      <c r="I519" s="854" t="s">
        <v>6621</v>
      </c>
      <c r="J519" s="854" t="s">
        <v>3298</v>
      </c>
      <c r="K519" s="125" t="s">
        <v>15</v>
      </c>
      <c r="L519" s="16" t="s">
        <v>33</v>
      </c>
      <c r="M519" s="8">
        <v>2</v>
      </c>
      <c r="N519" s="854"/>
      <c r="O519" s="431"/>
      <c r="P519" s="854"/>
    </row>
    <row r="520" spans="1:16" s="17" customFormat="1" ht="33" customHeight="1">
      <c r="A520" s="604"/>
      <c r="B520" s="399">
        <v>46231</v>
      </c>
      <c r="C520" s="4" t="s">
        <v>1255</v>
      </c>
      <c r="D520" s="4" t="s">
        <v>14</v>
      </c>
      <c r="E520" s="848" t="s">
        <v>107</v>
      </c>
      <c r="F520" s="848" t="s">
        <v>2959</v>
      </c>
      <c r="G520" s="16" t="s">
        <v>1172</v>
      </c>
      <c r="H520" s="851" t="s">
        <v>6634</v>
      </c>
      <c r="I520" s="822" t="s">
        <v>126</v>
      </c>
      <c r="J520" s="822" t="s">
        <v>2828</v>
      </c>
      <c r="K520" s="125" t="s">
        <v>15</v>
      </c>
      <c r="L520" s="16" t="s">
        <v>6624</v>
      </c>
      <c r="M520" s="8">
        <v>2</v>
      </c>
      <c r="N520" s="822"/>
      <c r="O520" s="431"/>
      <c r="P520" s="822"/>
    </row>
    <row r="521" spans="1:16" s="17" customFormat="1" ht="33" customHeight="1">
      <c r="A521" s="604"/>
      <c r="B521" s="399">
        <v>46232</v>
      </c>
      <c r="C521" s="4" t="s">
        <v>6508</v>
      </c>
      <c r="D521" s="4" t="s">
        <v>797</v>
      </c>
      <c r="E521" s="822" t="s">
        <v>6114</v>
      </c>
      <c r="F521" s="822" t="s">
        <v>6509</v>
      </c>
      <c r="G521" s="16" t="s">
        <v>6510</v>
      </c>
      <c r="H521" s="828" t="s">
        <v>6512</v>
      </c>
      <c r="I521" s="848" t="s">
        <v>6603</v>
      </c>
      <c r="J521" s="848" t="s">
        <v>6604</v>
      </c>
      <c r="K521" s="125" t="s">
        <v>6606</v>
      </c>
      <c r="L521" s="16" t="s">
        <v>4550</v>
      </c>
      <c r="M521" s="8">
        <v>3</v>
      </c>
      <c r="N521" s="595"/>
      <c r="O521" s="430"/>
      <c r="P521" s="760"/>
    </row>
    <row r="522" spans="1:16" s="17" customFormat="1" ht="33" customHeight="1">
      <c r="A522" s="604"/>
      <c r="B522" s="399">
        <v>46232</v>
      </c>
      <c r="C522" s="4" t="s">
        <v>64</v>
      </c>
      <c r="D522" s="4" t="s">
        <v>14</v>
      </c>
      <c r="E522" s="854" t="s">
        <v>107</v>
      </c>
      <c r="F522" s="854" t="s">
        <v>2959</v>
      </c>
      <c r="G522" s="16" t="s">
        <v>1172</v>
      </c>
      <c r="H522" s="859" t="s">
        <v>6634</v>
      </c>
      <c r="I522" s="854" t="s">
        <v>126</v>
      </c>
      <c r="J522" s="854" t="s">
        <v>2828</v>
      </c>
      <c r="K522" s="125" t="s">
        <v>15</v>
      </c>
      <c r="L522" s="16" t="s">
        <v>6624</v>
      </c>
      <c r="M522" s="8">
        <v>2</v>
      </c>
      <c r="N522" s="827"/>
      <c r="O522" s="430"/>
      <c r="P522" s="822"/>
    </row>
    <row r="523" spans="1:16" s="17" customFormat="1" ht="33" customHeight="1">
      <c r="A523" s="604"/>
      <c r="B523" s="399">
        <v>46232</v>
      </c>
      <c r="C523" s="4" t="s">
        <v>6660</v>
      </c>
      <c r="D523" s="4" t="s">
        <v>31</v>
      </c>
      <c r="E523" s="854" t="s">
        <v>6661</v>
      </c>
      <c r="F523" s="854" t="s">
        <v>6662</v>
      </c>
      <c r="G523" s="16" t="s">
        <v>6663</v>
      </c>
      <c r="H523" s="859" t="s">
        <v>6664</v>
      </c>
      <c r="I523" s="854" t="s">
        <v>6665</v>
      </c>
      <c r="J523" s="854" t="s">
        <v>6658</v>
      </c>
      <c r="K523" s="125" t="s">
        <v>6666</v>
      </c>
      <c r="L523" s="16"/>
      <c r="M523" s="8">
        <v>2</v>
      </c>
      <c r="N523" s="858"/>
      <c r="O523" s="430"/>
      <c r="P523" s="854"/>
    </row>
    <row r="524" spans="1:16" s="17" customFormat="1" ht="33" customHeight="1">
      <c r="A524" s="604"/>
      <c r="B524" s="399">
        <v>46233</v>
      </c>
      <c r="C524" s="4" t="s">
        <v>6508</v>
      </c>
      <c r="D524" s="4" t="s">
        <v>797</v>
      </c>
      <c r="E524" s="822" t="s">
        <v>6114</v>
      </c>
      <c r="F524" s="822" t="s">
        <v>6509</v>
      </c>
      <c r="G524" s="16" t="s">
        <v>6510</v>
      </c>
      <c r="H524" s="828" t="s">
        <v>6512</v>
      </c>
      <c r="I524" s="848" t="s">
        <v>6603</v>
      </c>
      <c r="J524" s="848" t="s">
        <v>6604</v>
      </c>
      <c r="K524" s="125" t="s">
        <v>6607</v>
      </c>
      <c r="L524" s="16" t="s">
        <v>4550</v>
      </c>
      <c r="M524" s="8">
        <v>3</v>
      </c>
      <c r="N524" s="595"/>
      <c r="O524" s="430"/>
      <c r="P524" s="760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2"/>
      <c r="J525" s="822"/>
      <c r="K525" s="125"/>
      <c r="L525" s="16"/>
      <c r="M525" s="8"/>
      <c r="N525" s="827"/>
      <c r="O525" s="430"/>
      <c r="P525" s="822"/>
    </row>
    <row r="526" spans="1:16" s="17" customFormat="1" ht="33" customHeight="1">
      <c r="A526" s="604"/>
      <c r="B526" s="399">
        <v>46234</v>
      </c>
      <c r="C526" s="4" t="s">
        <v>6508</v>
      </c>
      <c r="D526" s="4" t="s">
        <v>797</v>
      </c>
      <c r="E526" s="822" t="s">
        <v>6114</v>
      </c>
      <c r="F526" s="822" t="s">
        <v>6509</v>
      </c>
      <c r="G526" s="16" t="s">
        <v>6510</v>
      </c>
      <c r="H526" s="828" t="s">
        <v>6513</v>
      </c>
      <c r="I526" s="848" t="s">
        <v>6603</v>
      </c>
      <c r="J526" s="848" t="s">
        <v>6604</v>
      </c>
      <c r="K526" s="125" t="s">
        <v>42</v>
      </c>
      <c r="L526" s="16" t="s">
        <v>4550</v>
      </c>
      <c r="M526" s="8">
        <v>3</v>
      </c>
      <c r="N526" s="595"/>
      <c r="O526" s="430"/>
      <c r="P526" s="760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2" t="s">
        <v>211</v>
      </c>
      <c r="F527" s="822" t="s">
        <v>6355</v>
      </c>
      <c r="G527" s="16" t="s">
        <v>6356</v>
      </c>
      <c r="H527" s="828" t="s">
        <v>6360</v>
      </c>
      <c r="I527" s="822"/>
      <c r="J527" s="594"/>
      <c r="K527" s="125"/>
      <c r="L527" s="16"/>
      <c r="M527" s="8"/>
      <c r="N527" s="594"/>
      <c r="O527" s="432"/>
      <c r="P527" s="760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6330</v>
      </c>
      <c r="B529" s="399">
        <v>46237</v>
      </c>
      <c r="C529" s="4"/>
      <c r="D529" s="4"/>
      <c r="E529" s="799"/>
      <c r="F529" s="799"/>
      <c r="G529" s="16"/>
      <c r="H529" s="805" t="s">
        <v>6554</v>
      </c>
      <c r="I529" s="799"/>
      <c r="J529" s="799"/>
      <c r="K529" s="125"/>
      <c r="L529" s="16"/>
      <c r="M529" s="8"/>
      <c r="N529" s="799"/>
      <c r="O529" s="431"/>
      <c r="P529" s="799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6577</v>
      </c>
      <c r="I530" s="454"/>
      <c r="J530" s="848"/>
      <c r="K530" s="125"/>
      <c r="L530" s="459"/>
      <c r="M530" s="455"/>
      <c r="N530" s="848"/>
      <c r="O530" s="431"/>
      <c r="P530" s="848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9"/>
      <c r="G531" s="16"/>
      <c r="H531" s="851" t="s">
        <v>6554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46239</v>
      </c>
      <c r="C532" s="4"/>
      <c r="D532" s="4"/>
      <c r="E532" s="799"/>
      <c r="F532" s="799"/>
      <c r="G532" s="16"/>
      <c r="H532" s="851" t="s">
        <v>6554</v>
      </c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>
      <c r="A533" s="604"/>
      <c r="B533" s="399">
        <v>46240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46241</v>
      </c>
      <c r="C534" s="4"/>
      <c r="D534" s="4"/>
      <c r="E534" s="848"/>
      <c r="F534" s="848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6331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6532</v>
      </c>
      <c r="I537" s="854" t="s">
        <v>6313</v>
      </c>
      <c r="J537" s="854" t="s">
        <v>6636</v>
      </c>
      <c r="K537" s="125"/>
      <c r="L537" s="16"/>
      <c r="M537" s="8"/>
      <c r="N537" s="799"/>
      <c r="O537" s="431"/>
      <c r="P537" s="799"/>
    </row>
    <row r="538" spans="1:16" s="17" customFormat="1" ht="33" customHeight="1">
      <c r="A538" s="604"/>
      <c r="B538" s="399">
        <v>46245</v>
      </c>
      <c r="C538" s="4" t="s">
        <v>6578</v>
      </c>
      <c r="D538" s="4" t="s">
        <v>6579</v>
      </c>
      <c r="E538" s="848" t="s">
        <v>6580</v>
      </c>
      <c r="F538" s="848" t="s">
        <v>6581</v>
      </c>
      <c r="G538" s="16" t="s">
        <v>6582</v>
      </c>
      <c r="H538" s="851" t="s">
        <v>6583</v>
      </c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>
        <v>46246</v>
      </c>
      <c r="C539" s="4" t="s">
        <v>6578</v>
      </c>
      <c r="D539" s="4" t="s">
        <v>6579</v>
      </c>
      <c r="E539" s="848" t="s">
        <v>6580</v>
      </c>
      <c r="F539" s="848" t="s">
        <v>6581</v>
      </c>
      <c r="G539" s="16" t="s">
        <v>6584</v>
      </c>
      <c r="H539" s="851" t="s">
        <v>6583</v>
      </c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>
      <c r="A540" s="604"/>
      <c r="B540" s="399">
        <v>46247</v>
      </c>
      <c r="C540" s="4" t="s">
        <v>6578</v>
      </c>
      <c r="D540" s="4" t="s">
        <v>6579</v>
      </c>
      <c r="E540" s="848" t="s">
        <v>6580</v>
      </c>
      <c r="F540" s="848" t="s">
        <v>6581</v>
      </c>
      <c r="G540" s="16" t="s">
        <v>6585</v>
      </c>
      <c r="H540" s="851" t="s">
        <v>6583</v>
      </c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>
        <v>46248</v>
      </c>
      <c r="C541" s="4"/>
      <c r="D541" s="4"/>
      <c r="E541" s="848"/>
      <c r="F541" s="848"/>
      <c r="G541" s="16"/>
      <c r="H541" s="851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6332</v>
      </c>
      <c r="B544" s="399">
        <v>46251</v>
      </c>
      <c r="C544" s="4" t="s">
        <v>6348</v>
      </c>
      <c r="D544" s="4" t="s">
        <v>6349</v>
      </c>
      <c r="E544" s="799" t="s">
        <v>6350</v>
      </c>
      <c r="F544" s="799" t="s">
        <v>6351</v>
      </c>
      <c r="G544" s="16" t="s">
        <v>6352</v>
      </c>
      <c r="H544" s="805" t="s">
        <v>6353</v>
      </c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>
      <c r="A545" s="604"/>
      <c r="B545" s="399">
        <v>46252</v>
      </c>
      <c r="C545" s="4" t="s">
        <v>113</v>
      </c>
      <c r="D545" s="4" t="s">
        <v>14</v>
      </c>
      <c r="E545" s="799" t="s">
        <v>427</v>
      </c>
      <c r="F545" s="799" t="s">
        <v>1968</v>
      </c>
      <c r="G545" s="16" t="s">
        <v>376</v>
      </c>
      <c r="H545" s="805" t="s">
        <v>900</v>
      </c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>
        <v>46252</v>
      </c>
      <c r="C546" s="4" t="s">
        <v>6339</v>
      </c>
      <c r="D546" s="4" t="s">
        <v>6340</v>
      </c>
      <c r="E546" s="799" t="s">
        <v>6341</v>
      </c>
      <c r="F546" s="799" t="s">
        <v>6342</v>
      </c>
      <c r="G546" s="16" t="s">
        <v>6343</v>
      </c>
      <c r="H546" s="805" t="s">
        <v>6344</v>
      </c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>
        <v>46253</v>
      </c>
      <c r="C547" s="4" t="s">
        <v>113</v>
      </c>
      <c r="D547" s="4" t="s">
        <v>14</v>
      </c>
      <c r="E547" s="799" t="s">
        <v>427</v>
      </c>
      <c r="F547" s="799" t="s">
        <v>1968</v>
      </c>
      <c r="G547" s="16" t="s">
        <v>553</v>
      </c>
      <c r="H547" s="805" t="s">
        <v>900</v>
      </c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>
        <v>46254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>
        <v>46255</v>
      </c>
      <c r="C549" s="4" t="s">
        <v>6348</v>
      </c>
      <c r="D549" s="4" t="s">
        <v>6349</v>
      </c>
      <c r="E549" s="806" t="s">
        <v>6350</v>
      </c>
      <c r="F549" s="806" t="s">
        <v>6351</v>
      </c>
      <c r="G549" s="16" t="s">
        <v>6352</v>
      </c>
      <c r="H549" s="817" t="s">
        <v>6354</v>
      </c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6333</v>
      </c>
      <c r="B552" s="399">
        <v>46258</v>
      </c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>
        <v>46260</v>
      </c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>
        <v>46261</v>
      </c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>
        <v>46262</v>
      </c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6334</v>
      </c>
      <c r="B559" s="399">
        <v>46265</v>
      </c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>
        <v>46267</v>
      </c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>
        <v>46268</v>
      </c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>
        <v>46269</v>
      </c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9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>
      <c r="A588" s="604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>
      <c r="A592" s="605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2"/>
      <c r="P592" s="799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9"/>
      <c r="F594" s="799"/>
      <c r="G594" s="16"/>
      <c r="H594" s="805"/>
      <c r="I594" s="799"/>
      <c r="J594" s="799"/>
      <c r="K594" s="125"/>
      <c r="L594" s="16"/>
      <c r="M594" s="8"/>
      <c r="N594" s="799"/>
      <c r="O594" s="431"/>
      <c r="P594" s="799"/>
    </row>
    <row r="595" spans="1:16" s="17" customFormat="1" ht="33" customHeight="1">
      <c r="A595" s="604"/>
      <c r="B595" s="399"/>
      <c r="C595" s="4"/>
      <c r="D595" s="4"/>
      <c r="E595" s="291"/>
      <c r="F595" s="799"/>
      <c r="G595" s="16"/>
      <c r="H595" s="805"/>
      <c r="I595" s="799"/>
      <c r="J595" s="799"/>
      <c r="K595" s="125"/>
      <c r="L595" s="16"/>
      <c r="M595" s="8"/>
      <c r="N595" s="799"/>
      <c r="O595" s="431"/>
      <c r="P595" s="799"/>
    </row>
    <row r="596" spans="1:16" s="17" customFormat="1" ht="33" customHeight="1">
      <c r="A596" s="604"/>
      <c r="B596" s="399"/>
      <c r="C596" s="4"/>
      <c r="D596" s="4"/>
      <c r="E596" s="799"/>
      <c r="F596" s="799"/>
      <c r="G596" s="16"/>
      <c r="H596" s="805"/>
      <c r="I596" s="799"/>
      <c r="J596" s="805"/>
      <c r="K596" s="125"/>
      <c r="L596" s="16"/>
      <c r="M596" s="8"/>
      <c r="N596" s="804"/>
      <c r="O596" s="430"/>
      <c r="P596" s="799"/>
    </row>
    <row r="597" spans="1:16" s="17" customFormat="1" ht="33" customHeight="1">
      <c r="A597" s="604"/>
      <c r="B597" s="399"/>
      <c r="C597" s="4"/>
      <c r="D597" s="4"/>
      <c r="E597" s="799"/>
      <c r="F597" s="799"/>
      <c r="G597" s="16"/>
      <c r="H597" s="805"/>
      <c r="I597" s="799"/>
      <c r="J597" s="805"/>
      <c r="K597" s="125"/>
      <c r="L597" s="16"/>
      <c r="M597" s="8"/>
      <c r="N597" s="804"/>
      <c r="O597" s="430"/>
      <c r="P597" s="799"/>
    </row>
    <row r="598" spans="1:16" s="17" customFormat="1" ht="33" customHeight="1">
      <c r="A598" s="604"/>
      <c r="B598" s="399"/>
      <c r="C598" s="4"/>
      <c r="D598" s="4"/>
      <c r="E598" s="799"/>
      <c r="F598" s="799"/>
      <c r="G598" s="16"/>
      <c r="H598" s="805"/>
      <c r="I598" s="799"/>
      <c r="J598" s="805"/>
      <c r="K598" s="125"/>
      <c r="L598" s="16"/>
      <c r="M598" s="8"/>
      <c r="N598" s="804"/>
      <c r="O598" s="430"/>
      <c r="P598" s="799"/>
    </row>
    <row r="599" spans="1:16" s="17" customFormat="1" ht="33" customHeight="1">
      <c r="A599" s="605"/>
      <c r="B599" s="399"/>
      <c r="C599" s="4"/>
      <c r="D599" s="4"/>
      <c r="E599" s="291"/>
      <c r="F599" s="799"/>
      <c r="G599" s="16"/>
      <c r="H599" s="805"/>
      <c r="I599" s="799"/>
      <c r="J599" s="799"/>
      <c r="K599" s="125"/>
      <c r="L599" s="16"/>
      <c r="M599" s="8"/>
      <c r="N599" s="799"/>
      <c r="O599" s="432"/>
      <c r="P599" s="799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9"/>
      <c r="F601" s="799"/>
      <c r="G601" s="16"/>
      <c r="H601" s="805"/>
      <c r="I601" s="799"/>
      <c r="J601" s="799"/>
      <c r="K601" s="125"/>
      <c r="L601" s="16"/>
      <c r="M601" s="8"/>
      <c r="N601" s="799"/>
      <c r="O601" s="431"/>
      <c r="P601" s="799"/>
    </row>
    <row r="602" spans="1:16" s="17" customFormat="1" ht="33" customHeight="1">
      <c r="A602" s="604"/>
      <c r="B602" s="399"/>
      <c r="C602" s="4"/>
      <c r="D602" s="4"/>
      <c r="E602" s="291"/>
      <c r="F602" s="799"/>
      <c r="G602" s="16"/>
      <c r="H602" s="805"/>
      <c r="I602" s="799"/>
      <c r="J602" s="799"/>
      <c r="K602" s="125"/>
      <c r="L602" s="16"/>
      <c r="M602" s="8"/>
      <c r="N602" s="799"/>
      <c r="O602" s="431"/>
      <c r="P602" s="799"/>
    </row>
    <row r="603" spans="1:16" s="17" customFormat="1" ht="33" customHeight="1">
      <c r="A603" s="604"/>
      <c r="B603" s="399"/>
      <c r="C603" s="4"/>
      <c r="D603" s="4"/>
      <c r="E603" s="799"/>
      <c r="F603" s="799"/>
      <c r="G603" s="16"/>
      <c r="H603" s="805"/>
      <c r="I603" s="799"/>
      <c r="J603" s="805"/>
      <c r="K603" s="125"/>
      <c r="L603" s="16"/>
      <c r="M603" s="8"/>
      <c r="N603" s="804"/>
      <c r="O603" s="430"/>
      <c r="P603" s="799"/>
    </row>
    <row r="604" spans="1:16" s="17" customFormat="1" ht="33" customHeight="1">
      <c r="A604" s="604"/>
      <c r="B604" s="399"/>
      <c r="C604" s="4"/>
      <c r="D604" s="4"/>
      <c r="E604" s="799"/>
      <c r="F604" s="799"/>
      <c r="G604" s="16"/>
      <c r="H604" s="805"/>
      <c r="I604" s="799"/>
      <c r="J604" s="805"/>
      <c r="K604" s="125"/>
      <c r="L604" s="16"/>
      <c r="M604" s="8"/>
      <c r="N604" s="804"/>
      <c r="O604" s="430"/>
      <c r="P604" s="799"/>
    </row>
    <row r="605" spans="1:16" s="17" customFormat="1" ht="33" customHeight="1">
      <c r="A605" s="604"/>
      <c r="B605" s="399"/>
      <c r="C605" s="4"/>
      <c r="D605" s="4"/>
      <c r="E605" s="799"/>
      <c r="F605" s="799"/>
      <c r="G605" s="16"/>
      <c r="H605" s="805"/>
      <c r="I605" s="799"/>
      <c r="J605" s="805"/>
      <c r="K605" s="125"/>
      <c r="L605" s="16"/>
      <c r="M605" s="8"/>
      <c r="N605" s="804"/>
      <c r="O605" s="430"/>
      <c r="P605" s="799"/>
    </row>
    <row r="606" spans="1:16" s="17" customFormat="1" ht="33" customHeight="1">
      <c r="A606" s="605"/>
      <c r="B606" s="399"/>
      <c r="C606" s="4"/>
      <c r="D606" s="4"/>
      <c r="E606" s="291"/>
      <c r="F606" s="799"/>
      <c r="G606" s="16"/>
      <c r="H606" s="805"/>
      <c r="I606" s="799"/>
      <c r="J606" s="799"/>
      <c r="K606" s="125"/>
      <c r="L606" s="16"/>
      <c r="M606" s="8"/>
      <c r="N606" s="799"/>
      <c r="O606" s="432"/>
      <c r="P606" s="799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0:A511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>
      <c r="A3" s="55">
        <v>1</v>
      </c>
      <c r="B3" s="95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7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0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0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0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0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0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0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0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7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6"/>
    </row>
    <row r="24" spans="1:17" ht="27">
      <c r="A24" s="55">
        <v>4</v>
      </c>
      <c r="B24" s="954" t="s">
        <v>21</v>
      </c>
      <c r="C24" s="95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0" t="s">
        <v>85</v>
      </c>
      <c r="K24" s="977" t="s">
        <v>41</v>
      </c>
      <c r="L24" s="6" t="s">
        <v>15</v>
      </c>
      <c r="M24" s="982">
        <v>180000</v>
      </c>
      <c r="N24" s="45" t="s">
        <v>194</v>
      </c>
    </row>
    <row r="25" spans="1:17" ht="27">
      <c r="A25" s="55">
        <v>4</v>
      </c>
      <c r="B25" s="970"/>
      <c r="C25" s="95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1"/>
      <c r="K25" s="978"/>
      <c r="L25" s="6" t="s">
        <v>15</v>
      </c>
      <c r="M25" s="983"/>
      <c r="N25" s="45" t="s">
        <v>194</v>
      </c>
    </row>
    <row r="26" spans="1:17">
      <c r="A26" s="55">
        <v>4</v>
      </c>
      <c r="B26" s="970"/>
      <c r="C26" s="95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5"/>
      <c r="C27" s="95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0"/>
      <c r="C32" s="95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0"/>
      <c r="C33" s="95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4" t="s">
        <v>20</v>
      </c>
      <c r="C35" s="95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5"/>
      <c r="C36" s="95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4" t="s">
        <v>20</v>
      </c>
      <c r="C37" s="95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5"/>
      <c r="C38" s="95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89"/>
      <c r="C40" s="95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89"/>
      <c r="C41" s="95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7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0"/>
      <c r="C45" s="97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0"/>
      <c r="C46" s="9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7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4" t="s">
        <v>64</v>
      </c>
      <c r="C67" s="95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982">
        <v>750000</v>
      </c>
      <c r="N67" s="45" t="s">
        <v>446</v>
      </c>
    </row>
    <row r="68" spans="1:15" ht="27">
      <c r="A68" s="55">
        <v>19</v>
      </c>
      <c r="B68" s="970"/>
      <c r="C68" s="97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983"/>
      <c r="N68" s="45" t="s">
        <v>445</v>
      </c>
    </row>
    <row r="69" spans="1:15">
      <c r="A69" s="55">
        <v>19</v>
      </c>
      <c r="B69" s="970"/>
      <c r="C69" s="95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0"/>
      <c r="C83" s="9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0"/>
      <c r="C84" s="95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0"/>
      <c r="C85" s="95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0"/>
      <c r="C86" s="95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0"/>
      <c r="C93" s="95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0"/>
      <c r="C94" s="97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0"/>
      <c r="C95" s="95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4" t="s">
        <v>21</v>
      </c>
      <c r="C99" s="95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0"/>
      <c r="C100" s="95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1" t="s">
        <v>658</v>
      </c>
      <c r="C110" s="97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2"/>
      <c r="C111" s="10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2"/>
      <c r="C112" s="10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4"/>
      <c r="C113" s="10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2"/>
      <c r="C115" s="97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3"/>
      <c r="C116" s="10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4" t="s">
        <v>20</v>
      </c>
      <c r="C117" s="101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0" t="s">
        <v>168</v>
      </c>
      <c r="K117" s="977" t="s">
        <v>645</v>
      </c>
      <c r="L117" s="57" t="s">
        <v>209</v>
      </c>
      <c r="M117" s="1006">
        <f>250000*5</f>
        <v>1250000</v>
      </c>
      <c r="N117" s="954" t="s">
        <v>121</v>
      </c>
    </row>
    <row r="118" spans="1:14">
      <c r="A118" s="101">
        <v>28</v>
      </c>
      <c r="B118" s="970"/>
      <c r="C118" s="97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16"/>
      <c r="K118" s="1015"/>
      <c r="L118" s="57" t="s">
        <v>209</v>
      </c>
      <c r="M118" s="1007"/>
      <c r="N118" s="970"/>
    </row>
    <row r="119" spans="1:14">
      <c r="A119" s="101">
        <v>28</v>
      </c>
      <c r="B119" s="970"/>
      <c r="C119" s="97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1"/>
      <c r="K119" s="978"/>
      <c r="L119" s="57" t="s">
        <v>209</v>
      </c>
      <c r="M119" s="1008"/>
      <c r="N119" s="955"/>
    </row>
    <row r="120" spans="1:14">
      <c r="A120" s="101">
        <v>28</v>
      </c>
      <c r="B120" s="955"/>
      <c r="C120" s="95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1" t="s">
        <v>307</v>
      </c>
      <c r="C122" s="97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2"/>
      <c r="C123" s="97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1" t="s">
        <v>664</v>
      </c>
      <c r="K123" s="979" t="s">
        <v>707</v>
      </c>
      <c r="L123" s="110" t="s">
        <v>324</v>
      </c>
      <c r="M123" s="1009" t="s">
        <v>708</v>
      </c>
      <c r="N123" s="110"/>
    </row>
    <row r="124" spans="1:14">
      <c r="A124" s="55">
        <v>29</v>
      </c>
      <c r="B124" s="972"/>
      <c r="C124" s="97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2"/>
      <c r="K124" s="980"/>
      <c r="L124" s="110" t="s">
        <v>324</v>
      </c>
      <c r="M124" s="1010"/>
      <c r="N124" s="110"/>
    </row>
    <row r="125" spans="1:14">
      <c r="A125" s="55">
        <v>29</v>
      </c>
      <c r="B125" s="972"/>
      <c r="C125" s="97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3"/>
      <c r="K125" s="981"/>
      <c r="L125" s="110" t="s">
        <v>324</v>
      </c>
      <c r="M125" s="1011"/>
      <c r="N125" s="110"/>
    </row>
    <row r="126" spans="1:14">
      <c r="A126" s="55">
        <v>29</v>
      </c>
      <c r="B126" s="973"/>
      <c r="C126" s="97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2"/>
      <c r="C130" s="97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2"/>
      <c r="C131" s="97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2"/>
      <c r="C132" s="97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2"/>
      <c r="C133" s="97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4" t="s">
        <v>618</v>
      </c>
      <c r="C135" s="95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0"/>
      <c r="C136" s="97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0"/>
      <c r="C137" s="97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5"/>
      <c r="C138" s="95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0"/>
      <c r="C140" s="95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0"/>
      <c r="C141" s="95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4" t="s">
        <v>735</v>
      </c>
    </row>
    <row r="142" spans="1:14">
      <c r="A142" s="55">
        <v>30</v>
      </c>
      <c r="B142" s="95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4" t="s">
        <v>20</v>
      </c>
      <c r="C146" s="952" t="s">
        <v>869</v>
      </c>
      <c r="D146" s="977" t="s">
        <v>19</v>
      </c>
      <c r="E146" s="101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5"/>
      <c r="C147" s="953"/>
      <c r="D147" s="978"/>
      <c r="E147" s="101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4" t="s">
        <v>123</v>
      </c>
      <c r="C148" s="952" t="s">
        <v>782</v>
      </c>
      <c r="D148" s="977" t="s">
        <v>19</v>
      </c>
      <c r="E148" s="101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5"/>
      <c r="C149" s="953"/>
      <c r="D149" s="978"/>
      <c r="E149" s="101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4" t="s">
        <v>247</v>
      </c>
    </row>
    <row r="154" spans="1:14" ht="27">
      <c r="A154" s="55">
        <v>34</v>
      </c>
      <c r="B154" s="970"/>
      <c r="C154" s="95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0"/>
    </row>
    <row r="155" spans="1:14" ht="27">
      <c r="A155" s="55">
        <v>34</v>
      </c>
      <c r="B155" s="970"/>
      <c r="C155" s="95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5"/>
    </row>
    <row r="156" spans="1:14" ht="27">
      <c r="A156" s="55">
        <v>34</v>
      </c>
      <c r="B156" s="970"/>
      <c r="C156" s="95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4" t="s">
        <v>825</v>
      </c>
    </row>
    <row r="157" spans="1:14" ht="27">
      <c r="A157" s="55">
        <v>34</v>
      </c>
      <c r="B157" s="970"/>
      <c r="C157" s="95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0"/>
    </row>
    <row r="158" spans="1:14" ht="27">
      <c r="A158" s="55">
        <v>34</v>
      </c>
      <c r="B158" s="970"/>
      <c r="C158" s="95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0"/>
    </row>
    <row r="159" spans="1:14" ht="27">
      <c r="A159" s="55">
        <v>34</v>
      </c>
      <c r="B159" s="970"/>
      <c r="C159" s="95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0"/>
    </row>
    <row r="160" spans="1:14" ht="27">
      <c r="A160" s="55">
        <v>34</v>
      </c>
      <c r="B160" s="97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0"/>
    </row>
    <row r="161" spans="1:15" ht="27">
      <c r="A161" s="55">
        <v>34</v>
      </c>
      <c r="B161" s="97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5"/>
    </row>
    <row r="162" spans="1:15" ht="27">
      <c r="A162" s="55">
        <v>34</v>
      </c>
      <c r="B162" s="95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0" t="s">
        <v>849</v>
      </c>
      <c r="C167" s="92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1"/>
      <c r="C168" s="92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1"/>
      <c r="C169" s="92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2"/>
      <c r="C170" s="92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1"/>
      <c r="C178" s="92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2"/>
      <c r="C179" s="92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1"/>
      <c r="C181" s="95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0" t="s">
        <v>838</v>
      </c>
      <c r="K181" s="977" t="s">
        <v>985</v>
      </c>
      <c r="L181" s="6" t="s">
        <v>910</v>
      </c>
      <c r="M181" s="1006">
        <f>180000+200000+200000</f>
        <v>580000</v>
      </c>
      <c r="N181" s="45" t="s">
        <v>806</v>
      </c>
    </row>
    <row r="182" spans="1:14">
      <c r="A182" s="55">
        <v>36</v>
      </c>
      <c r="B182" s="931"/>
      <c r="C182" s="97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1"/>
      <c r="K182" s="978"/>
      <c r="L182" s="6" t="s">
        <v>911</v>
      </c>
      <c r="M182" s="1008"/>
      <c r="N182" s="45" t="s">
        <v>806</v>
      </c>
    </row>
    <row r="183" spans="1:14">
      <c r="A183" s="55">
        <v>36</v>
      </c>
      <c r="B183" s="931"/>
      <c r="C183" s="95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1"/>
      <c r="C187" s="92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2"/>
      <c r="C188" s="92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0" t="s">
        <v>939</v>
      </c>
      <c r="C192" s="92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1"/>
      <c r="C193" s="92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1"/>
      <c r="C196" s="95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1"/>
      <c r="C197" s="95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1"/>
      <c r="C198" s="95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2"/>
      <c r="C199" s="95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0" t="s">
        <v>20</v>
      </c>
      <c r="C200" s="92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1"/>
      <c r="C201" s="92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1"/>
      <c r="C202" s="92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2"/>
      <c r="C203" s="92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0" t="s">
        <v>20</v>
      </c>
      <c r="C207" s="92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1"/>
      <c r="C208" s="92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0" t="s">
        <v>20</v>
      </c>
      <c r="C218" s="92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1"/>
      <c r="C219" s="92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4" t="s">
        <v>247</v>
      </c>
    </row>
    <row r="226" spans="1:14">
      <c r="A226" s="55">
        <v>44</v>
      </c>
      <c r="B226" s="93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0"/>
    </row>
    <row r="227" spans="1:14">
      <c r="A227" s="55">
        <v>44</v>
      </c>
      <c r="B227" s="93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5"/>
    </row>
    <row r="228" spans="1:14">
      <c r="A228" s="55">
        <v>44</v>
      </c>
      <c r="B228" s="93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1"/>
      <c r="C249" s="92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4" t="s">
        <v>247</v>
      </c>
    </row>
    <row r="250" spans="1:14">
      <c r="A250" s="55">
        <v>48</v>
      </c>
      <c r="B250" s="932"/>
      <c r="C250" s="92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5"/>
    </row>
    <row r="251" spans="1:14">
      <c r="A251" s="55">
        <v>48</v>
      </c>
      <c r="B251" s="93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1"/>
      <c r="C256" s="92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4" t="s">
        <v>247</v>
      </c>
    </row>
    <row r="257" spans="1:14">
      <c r="A257" s="55">
        <v>49</v>
      </c>
      <c r="B257" s="932"/>
      <c r="C257" s="92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5"/>
    </row>
    <row r="258" spans="1:14" ht="40.5">
      <c r="A258" s="55">
        <v>49</v>
      </c>
      <c r="B258" s="93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1" t="s">
        <v>1103</v>
      </c>
    </row>
    <row r="262" spans="1:14" ht="25.5">
      <c r="A262" s="132">
        <v>49</v>
      </c>
      <c r="B262" s="94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2"/>
    </row>
    <row r="263" spans="1:14" ht="16.5" customHeight="1">
      <c r="A263" s="55">
        <v>50</v>
      </c>
      <c r="B263" s="930" t="s">
        <v>20</v>
      </c>
      <c r="C263" s="92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1"/>
      <c r="C264" s="92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1"/>
      <c r="C265" s="92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1"/>
      <c r="C266" s="92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2"/>
      <c r="C267" s="92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3" t="s">
        <v>658</v>
      </c>
      <c r="C268" s="94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4"/>
      <c r="C269" s="96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5"/>
      <c r="C270" s="94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0" t="s">
        <v>20</v>
      </c>
      <c r="C271" s="92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1"/>
      <c r="C272" s="92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1"/>
      <c r="C273" s="92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1"/>
      <c r="C275" s="92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1"/>
      <c r="C276" s="92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4" t="s">
        <v>1196</v>
      </c>
      <c r="B278" s="965"/>
      <c r="C278" s="965"/>
      <c r="D278" s="965"/>
      <c r="E278" s="965"/>
      <c r="F278" s="965"/>
      <c r="G278" s="965"/>
      <c r="H278" s="965"/>
      <c r="I278" s="965"/>
      <c r="J278" s="965"/>
      <c r="K278" s="965"/>
      <c r="L278" s="965"/>
      <c r="M278" s="965"/>
      <c r="N278" s="966"/>
    </row>
    <row r="279" spans="1:15" ht="16.5" customHeight="1">
      <c r="A279" s="55">
        <v>1</v>
      </c>
      <c r="B279" s="930" t="s">
        <v>20</v>
      </c>
      <c r="C279" s="92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2"/>
      <c r="C280" s="92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0" t="s">
        <v>64</v>
      </c>
      <c r="C281" s="92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1"/>
      <c r="C282" s="92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1"/>
      <c r="C283" s="92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0" t="s">
        <v>1174</v>
      </c>
      <c r="K283" s="96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1"/>
      <c r="C284" s="92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1"/>
      <c r="K284" s="96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67" t="s">
        <v>123</v>
      </c>
      <c r="C287" s="94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68"/>
      <c r="C288" s="94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3" t="s">
        <v>64</v>
      </c>
      <c r="C289" s="94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4"/>
      <c r="C290" s="95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4"/>
      <c r="C291" s="95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1" t="s">
        <v>638</v>
      </c>
      <c r="K291" s="956" t="s">
        <v>671</v>
      </c>
      <c r="L291" s="148" t="s">
        <v>309</v>
      </c>
      <c r="M291" s="950" t="s">
        <v>672</v>
      </c>
      <c r="N291" s="148" t="s">
        <v>723</v>
      </c>
    </row>
    <row r="292" spans="1:15">
      <c r="A292" s="55">
        <v>2</v>
      </c>
      <c r="B292" s="944"/>
      <c r="C292" s="95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2"/>
      <c r="K292" s="957"/>
      <c r="L292" s="148" t="s">
        <v>309</v>
      </c>
      <c r="M292" s="951"/>
      <c r="N292" s="148" t="s">
        <v>723</v>
      </c>
    </row>
    <row r="293" spans="1:15">
      <c r="A293" s="55">
        <v>2</v>
      </c>
      <c r="B293" s="944"/>
      <c r="C293" s="95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4"/>
      <c r="C294" s="94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0" t="s">
        <v>20</v>
      </c>
      <c r="C296" s="92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1"/>
      <c r="C297" s="92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2"/>
      <c r="C298" s="92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0" t="s">
        <v>20</v>
      </c>
      <c r="C302" s="92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1"/>
      <c r="C303" s="92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1"/>
      <c r="C304" s="92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1"/>
      <c r="C305" s="92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2"/>
      <c r="C306" s="92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0" t="s">
        <v>20</v>
      </c>
      <c r="C308" s="92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2"/>
      <c r="C309" s="92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3" t="s">
        <v>307</v>
      </c>
      <c r="C313" s="94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5"/>
      <c r="C314" s="94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0" t="s">
        <v>20</v>
      </c>
      <c r="C316" s="92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1"/>
      <c r="C317" s="92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2"/>
      <c r="C318" s="92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0" t="s">
        <v>20</v>
      </c>
      <c r="C322" s="92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2"/>
      <c r="C323" s="92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0" t="s">
        <v>20</v>
      </c>
      <c r="C329" s="92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1"/>
      <c r="C330" s="92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2"/>
      <c r="C331" s="92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0" t="s">
        <v>20</v>
      </c>
      <c r="C334" s="92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1"/>
      <c r="C335" s="92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1"/>
      <c r="C336" s="92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2"/>
      <c r="C337" s="92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0" t="s">
        <v>20</v>
      </c>
      <c r="C342" s="92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1"/>
      <c r="C343" s="92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1"/>
      <c r="C349" s="95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2"/>
      <c r="C350" s="95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3" t="s">
        <v>307</v>
      </c>
      <c r="C375" s="128" t="s">
        <v>1531</v>
      </c>
      <c r="D375" s="941" t="s">
        <v>306</v>
      </c>
      <c r="E375" s="941" t="s">
        <v>322</v>
      </c>
      <c r="F375" s="941" t="s">
        <v>307</v>
      </c>
      <c r="G375" s="946">
        <v>4266</v>
      </c>
      <c r="H375" s="941" t="s">
        <v>640</v>
      </c>
      <c r="I375" s="946" t="s">
        <v>1533</v>
      </c>
      <c r="J375" s="941" t="s">
        <v>1534</v>
      </c>
      <c r="K375" s="948" t="s">
        <v>692</v>
      </c>
      <c r="L375" s="941" t="s">
        <v>324</v>
      </c>
      <c r="M375" s="950" t="s">
        <v>1535</v>
      </c>
      <c r="N375" s="941" t="s">
        <v>425</v>
      </c>
    </row>
    <row r="376" spans="1:19">
      <c r="A376" s="199" t="s">
        <v>1539</v>
      </c>
      <c r="B376" s="944"/>
      <c r="C376" s="129" t="s">
        <v>1532</v>
      </c>
      <c r="D376" s="942"/>
      <c r="E376" s="942"/>
      <c r="F376" s="942"/>
      <c r="G376" s="947"/>
      <c r="H376" s="942"/>
      <c r="I376" s="947"/>
      <c r="J376" s="942"/>
      <c r="K376" s="949"/>
      <c r="L376" s="942"/>
      <c r="M376" s="951"/>
      <c r="N376" s="942"/>
    </row>
    <row r="377" spans="1:19">
      <c r="A377" s="199" t="s">
        <v>1539</v>
      </c>
      <c r="B377" s="944"/>
      <c r="C377" s="128" t="s">
        <v>1536</v>
      </c>
      <c r="D377" s="941" t="s">
        <v>306</v>
      </c>
      <c r="E377" s="941" t="s">
        <v>322</v>
      </c>
      <c r="F377" s="941" t="s">
        <v>307</v>
      </c>
      <c r="G377" s="946">
        <v>3306</v>
      </c>
      <c r="H377" s="941" t="s">
        <v>1153</v>
      </c>
      <c r="I377" s="946" t="s">
        <v>1538</v>
      </c>
      <c r="J377" s="941" t="s">
        <v>1534</v>
      </c>
      <c r="K377" s="948" t="s">
        <v>692</v>
      </c>
      <c r="L377" s="941" t="s">
        <v>324</v>
      </c>
      <c r="M377" s="950" t="s">
        <v>1535</v>
      </c>
      <c r="N377" s="941" t="s">
        <v>425</v>
      </c>
    </row>
    <row r="378" spans="1:19">
      <c r="A378" s="199" t="s">
        <v>1539</v>
      </c>
      <c r="B378" s="945"/>
      <c r="C378" s="129" t="s">
        <v>1537</v>
      </c>
      <c r="D378" s="942"/>
      <c r="E378" s="942"/>
      <c r="F378" s="942"/>
      <c r="G378" s="947"/>
      <c r="H378" s="942"/>
      <c r="I378" s="947"/>
      <c r="J378" s="942"/>
      <c r="K378" s="949"/>
      <c r="L378" s="942"/>
      <c r="M378" s="951"/>
      <c r="N378" s="942"/>
    </row>
    <row r="379" spans="1:19" ht="27" customHeight="1">
      <c r="A379" s="123">
        <v>15</v>
      </c>
      <c r="B379" s="93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18" t="s">
        <v>1782</v>
      </c>
      <c r="C403" s="226" t="s">
        <v>1748</v>
      </c>
      <c r="D403" s="935" t="s">
        <v>306</v>
      </c>
      <c r="E403" s="935" t="s">
        <v>322</v>
      </c>
      <c r="F403" s="935" t="s">
        <v>307</v>
      </c>
      <c r="G403" s="937">
        <v>3306</v>
      </c>
      <c r="H403" s="935" t="s">
        <v>1153</v>
      </c>
      <c r="I403" s="937" t="s">
        <v>1749</v>
      </c>
      <c r="J403" s="935" t="s">
        <v>664</v>
      </c>
      <c r="K403" s="939" t="s">
        <v>1288</v>
      </c>
      <c r="L403" s="935" t="s">
        <v>324</v>
      </c>
      <c r="M403" s="933" t="s">
        <v>1750</v>
      </c>
      <c r="N403" s="935" t="s">
        <v>665</v>
      </c>
    </row>
    <row r="404" spans="1:14">
      <c r="A404" s="123">
        <v>18</v>
      </c>
      <c r="B404" s="919"/>
      <c r="C404" s="226" t="s">
        <v>1751</v>
      </c>
      <c r="D404" s="936"/>
      <c r="E404" s="936"/>
      <c r="F404" s="936"/>
      <c r="G404" s="938"/>
      <c r="H404" s="936"/>
      <c r="I404" s="938"/>
      <c r="J404" s="936"/>
      <c r="K404" s="940"/>
      <c r="L404" s="936"/>
      <c r="M404" s="934"/>
      <c r="N404" s="936"/>
    </row>
    <row r="405" spans="1:14" ht="22.5">
      <c r="A405" s="123">
        <v>18</v>
      </c>
      <c r="B405" s="91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19"/>
      <c r="C406" s="226" t="s">
        <v>1755</v>
      </c>
      <c r="D406" s="935" t="s">
        <v>306</v>
      </c>
      <c r="E406" s="935" t="s">
        <v>322</v>
      </c>
      <c r="F406" s="935" t="s">
        <v>307</v>
      </c>
      <c r="G406" s="937" t="s">
        <v>1756</v>
      </c>
      <c r="H406" s="935" t="s">
        <v>347</v>
      </c>
      <c r="I406" s="937" t="s">
        <v>1154</v>
      </c>
      <c r="J406" s="935" t="s">
        <v>664</v>
      </c>
      <c r="K406" s="935" t="s">
        <v>1757</v>
      </c>
      <c r="L406" s="935" t="s">
        <v>324</v>
      </c>
      <c r="M406" s="933" t="s">
        <v>1758</v>
      </c>
      <c r="N406" s="935" t="s">
        <v>665</v>
      </c>
    </row>
    <row r="407" spans="1:14">
      <c r="A407" s="123">
        <v>18</v>
      </c>
      <c r="B407" s="919"/>
      <c r="C407" s="226" t="s">
        <v>1759</v>
      </c>
      <c r="D407" s="936"/>
      <c r="E407" s="936"/>
      <c r="F407" s="936"/>
      <c r="G407" s="938"/>
      <c r="H407" s="936"/>
      <c r="I407" s="938"/>
      <c r="J407" s="936"/>
      <c r="K407" s="936"/>
      <c r="L407" s="936"/>
      <c r="M407" s="934"/>
      <c r="N407" s="936"/>
    </row>
    <row r="408" spans="1:14" ht="16.5" customHeight="1">
      <c r="A408" s="123">
        <v>18</v>
      </c>
      <c r="B408" s="919"/>
      <c r="C408" s="228" t="s">
        <v>1760</v>
      </c>
      <c r="D408" s="935" t="s">
        <v>306</v>
      </c>
      <c r="E408" s="935" t="s">
        <v>322</v>
      </c>
      <c r="F408" s="935" t="s">
        <v>307</v>
      </c>
      <c r="G408" s="937" t="s">
        <v>1761</v>
      </c>
      <c r="H408" s="935" t="s">
        <v>329</v>
      </c>
      <c r="I408" s="937" t="s">
        <v>1762</v>
      </c>
      <c r="J408" s="935" t="s">
        <v>664</v>
      </c>
      <c r="K408" s="935" t="s">
        <v>1763</v>
      </c>
      <c r="L408" s="935" t="s">
        <v>324</v>
      </c>
      <c r="M408" s="933" t="s">
        <v>1764</v>
      </c>
      <c r="N408" s="935" t="s">
        <v>1765</v>
      </c>
    </row>
    <row r="409" spans="1:14">
      <c r="A409" s="123">
        <v>18</v>
      </c>
      <c r="B409" s="920"/>
      <c r="C409" s="226" t="s">
        <v>1766</v>
      </c>
      <c r="D409" s="936"/>
      <c r="E409" s="936"/>
      <c r="F409" s="936"/>
      <c r="G409" s="938"/>
      <c r="H409" s="936"/>
      <c r="I409" s="938"/>
      <c r="J409" s="936"/>
      <c r="K409" s="936"/>
      <c r="L409" s="936"/>
      <c r="M409" s="934"/>
      <c r="N409" s="936"/>
    </row>
    <row r="410" spans="1:14" ht="16.5" customHeight="1">
      <c r="A410" s="123">
        <v>18</v>
      </c>
      <c r="B410" s="918" t="s">
        <v>253</v>
      </c>
      <c r="C410" s="1017" t="s">
        <v>1767</v>
      </c>
      <c r="D410" s="935" t="s">
        <v>311</v>
      </c>
      <c r="E410" s="935" t="s">
        <v>320</v>
      </c>
      <c r="F410" s="935" t="s">
        <v>709</v>
      </c>
      <c r="G410" s="935" t="s">
        <v>1768</v>
      </c>
      <c r="H410" s="1017" t="s">
        <v>1769</v>
      </c>
      <c r="I410" s="227" t="s">
        <v>1770</v>
      </c>
      <c r="J410" s="935"/>
      <c r="K410" s="1019" t="s">
        <v>1771</v>
      </c>
      <c r="L410" s="935" t="s">
        <v>309</v>
      </c>
      <c r="M410" s="933" t="s">
        <v>1764</v>
      </c>
      <c r="N410" s="935" t="s">
        <v>1772</v>
      </c>
    </row>
    <row r="411" spans="1:14">
      <c r="A411" s="123">
        <v>18</v>
      </c>
      <c r="B411" s="919"/>
      <c r="C411" s="1018"/>
      <c r="D411" s="936"/>
      <c r="E411" s="936"/>
      <c r="F411" s="936"/>
      <c r="G411" s="936"/>
      <c r="H411" s="1018"/>
      <c r="I411" s="227" t="s">
        <v>1773</v>
      </c>
      <c r="J411" s="936"/>
      <c r="K411" s="1020"/>
      <c r="L411" s="936"/>
      <c r="M411" s="934"/>
      <c r="N411" s="936"/>
    </row>
    <row r="412" spans="1:14" ht="22.5">
      <c r="A412" s="123">
        <v>18</v>
      </c>
      <c r="B412" s="91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19"/>
      <c r="C413" s="1017" t="s">
        <v>1776</v>
      </c>
      <c r="D413" s="1017" t="s">
        <v>700</v>
      </c>
      <c r="E413" s="935" t="s">
        <v>675</v>
      </c>
      <c r="F413" s="1017" t="s">
        <v>1777</v>
      </c>
      <c r="G413" s="1017" t="s">
        <v>1778</v>
      </c>
      <c r="H413" s="1017" t="s">
        <v>662</v>
      </c>
      <c r="I413" s="227" t="s">
        <v>1779</v>
      </c>
      <c r="J413" s="935" t="s">
        <v>638</v>
      </c>
      <c r="K413" s="935" t="s">
        <v>731</v>
      </c>
      <c r="L413" s="935" t="s">
        <v>309</v>
      </c>
      <c r="M413" s="933" t="s">
        <v>1780</v>
      </c>
      <c r="N413" s="935" t="s">
        <v>1781</v>
      </c>
    </row>
    <row r="414" spans="1:14">
      <c r="A414" s="123">
        <v>18</v>
      </c>
      <c r="B414" s="920"/>
      <c r="C414" s="1018"/>
      <c r="D414" s="1018"/>
      <c r="E414" s="936"/>
      <c r="F414" s="1018"/>
      <c r="G414" s="1018"/>
      <c r="H414" s="1018"/>
      <c r="I414" s="26"/>
      <c r="J414" s="936"/>
      <c r="K414" s="936"/>
      <c r="L414" s="936"/>
      <c r="M414" s="934"/>
      <c r="N414" s="936"/>
    </row>
    <row r="415" spans="1:14" ht="16.5" customHeight="1">
      <c r="A415" s="123">
        <v>19</v>
      </c>
      <c r="B415" s="918" t="s">
        <v>20</v>
      </c>
      <c r="C415" s="148" t="s">
        <v>1794</v>
      </c>
      <c r="D415" s="941" t="s">
        <v>306</v>
      </c>
      <c r="E415" s="941" t="s">
        <v>322</v>
      </c>
      <c r="F415" s="941" t="s">
        <v>307</v>
      </c>
      <c r="G415" s="946" t="s">
        <v>1796</v>
      </c>
      <c r="H415" s="941" t="s">
        <v>1797</v>
      </c>
      <c r="I415" s="946" t="s">
        <v>1792</v>
      </c>
      <c r="J415" s="941" t="s">
        <v>664</v>
      </c>
      <c r="K415" s="148" t="s">
        <v>1520</v>
      </c>
      <c r="L415" s="941" t="s">
        <v>324</v>
      </c>
      <c r="M415" s="950" t="s">
        <v>1799</v>
      </c>
      <c r="N415" s="941" t="s">
        <v>665</v>
      </c>
    </row>
    <row r="416" spans="1:14">
      <c r="A416" s="123">
        <v>19</v>
      </c>
      <c r="B416" s="919"/>
      <c r="C416" s="148" t="s">
        <v>1795</v>
      </c>
      <c r="D416" s="942"/>
      <c r="E416" s="942"/>
      <c r="F416" s="942"/>
      <c r="G416" s="947"/>
      <c r="H416" s="942"/>
      <c r="I416" s="947"/>
      <c r="J416" s="942"/>
      <c r="K416" s="148" t="s">
        <v>1798</v>
      </c>
      <c r="L416" s="942"/>
      <c r="M416" s="951"/>
      <c r="N416" s="942"/>
    </row>
    <row r="417" spans="1:14">
      <c r="A417" s="123">
        <v>19</v>
      </c>
      <c r="B417" s="919"/>
      <c r="C417" s="148" t="s">
        <v>1800</v>
      </c>
      <c r="D417" s="941" t="s">
        <v>306</v>
      </c>
      <c r="E417" s="941" t="s">
        <v>322</v>
      </c>
      <c r="F417" s="941" t="s">
        <v>307</v>
      </c>
      <c r="G417" s="946" t="s">
        <v>1801</v>
      </c>
      <c r="H417" s="941" t="s">
        <v>1802</v>
      </c>
      <c r="I417" s="946" t="s">
        <v>1803</v>
      </c>
      <c r="J417" s="941" t="s">
        <v>664</v>
      </c>
      <c r="K417" s="956" t="s">
        <v>1155</v>
      </c>
      <c r="L417" s="941" t="s">
        <v>324</v>
      </c>
      <c r="M417" s="950" t="s">
        <v>1804</v>
      </c>
      <c r="N417" s="941" t="s">
        <v>665</v>
      </c>
    </row>
    <row r="418" spans="1:14">
      <c r="A418" s="123">
        <v>19</v>
      </c>
      <c r="B418" s="920"/>
      <c r="C418" s="148" t="s">
        <v>1795</v>
      </c>
      <c r="D418" s="942"/>
      <c r="E418" s="942"/>
      <c r="F418" s="942"/>
      <c r="G418" s="947"/>
      <c r="H418" s="942"/>
      <c r="I418" s="947"/>
      <c r="J418" s="942"/>
      <c r="K418" s="957"/>
      <c r="L418" s="942"/>
      <c r="M418" s="951"/>
      <c r="N418" s="942"/>
    </row>
    <row r="419" spans="1:14" ht="16.5" customHeight="1">
      <c r="A419" s="123">
        <v>19</v>
      </c>
      <c r="B419" s="918" t="s">
        <v>21</v>
      </c>
      <c r="C419" s="971" t="s">
        <v>1805</v>
      </c>
      <c r="D419" s="971" t="s">
        <v>700</v>
      </c>
      <c r="E419" s="941" t="s">
        <v>675</v>
      </c>
      <c r="F419" s="971" t="s">
        <v>1806</v>
      </c>
      <c r="G419" s="971" t="s">
        <v>1807</v>
      </c>
      <c r="H419" s="971" t="s">
        <v>662</v>
      </c>
      <c r="I419" s="946" t="s">
        <v>1808</v>
      </c>
      <c r="J419" s="941"/>
      <c r="K419" s="1021" t="s">
        <v>1809</v>
      </c>
      <c r="L419" s="941" t="s">
        <v>309</v>
      </c>
      <c r="M419" s="950" t="s">
        <v>1810</v>
      </c>
      <c r="N419" s="149" t="s">
        <v>1811</v>
      </c>
    </row>
    <row r="420" spans="1:14">
      <c r="A420" s="123">
        <v>19</v>
      </c>
      <c r="B420" s="919"/>
      <c r="C420" s="973"/>
      <c r="D420" s="973"/>
      <c r="E420" s="942"/>
      <c r="F420" s="973"/>
      <c r="G420" s="973"/>
      <c r="H420" s="973"/>
      <c r="I420" s="947"/>
      <c r="J420" s="942"/>
      <c r="K420" s="1022"/>
      <c r="L420" s="942"/>
      <c r="M420" s="951"/>
      <c r="N420" s="149" t="s">
        <v>1812</v>
      </c>
    </row>
    <row r="421" spans="1:14">
      <c r="A421" s="123">
        <v>19</v>
      </c>
      <c r="B421" s="919"/>
      <c r="C421" s="1023" t="s">
        <v>1813</v>
      </c>
      <c r="D421" s="971" t="s">
        <v>700</v>
      </c>
      <c r="E421" s="941" t="s">
        <v>320</v>
      </c>
      <c r="F421" s="941" t="s">
        <v>337</v>
      </c>
      <c r="G421" s="971" t="s">
        <v>353</v>
      </c>
      <c r="H421" s="971" t="s">
        <v>1814</v>
      </c>
      <c r="I421" s="946" t="s">
        <v>1815</v>
      </c>
      <c r="J421" s="941" t="s">
        <v>638</v>
      </c>
      <c r="K421" s="1025" t="s">
        <v>692</v>
      </c>
      <c r="L421" s="941" t="s">
        <v>309</v>
      </c>
      <c r="M421" s="950" t="s">
        <v>1816</v>
      </c>
      <c r="N421" s="148" t="s">
        <v>1817</v>
      </c>
    </row>
    <row r="422" spans="1:14">
      <c r="A422" s="123">
        <v>19</v>
      </c>
      <c r="B422" s="919"/>
      <c r="C422" s="1024"/>
      <c r="D422" s="973"/>
      <c r="E422" s="942"/>
      <c r="F422" s="942"/>
      <c r="G422" s="973"/>
      <c r="H422" s="973"/>
      <c r="I422" s="947"/>
      <c r="J422" s="942"/>
      <c r="K422" s="1026"/>
      <c r="L422" s="942"/>
      <c r="M422" s="951"/>
      <c r="N422" s="148" t="s">
        <v>1818</v>
      </c>
    </row>
    <row r="423" spans="1:14">
      <c r="A423" s="123">
        <v>19</v>
      </c>
      <c r="B423" s="91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19"/>
      <c r="C424" s="971" t="s">
        <v>1820</v>
      </c>
      <c r="D424" s="971" t="s">
        <v>700</v>
      </c>
      <c r="E424" s="941" t="s">
        <v>320</v>
      </c>
      <c r="F424" s="941" t="s">
        <v>709</v>
      </c>
      <c r="G424" s="941" t="s">
        <v>1768</v>
      </c>
      <c r="H424" s="971" t="s">
        <v>1821</v>
      </c>
      <c r="I424" s="149" t="s">
        <v>1822</v>
      </c>
      <c r="J424" s="941" t="s">
        <v>638</v>
      </c>
      <c r="K424" s="941" t="s">
        <v>692</v>
      </c>
      <c r="L424" s="941" t="s">
        <v>309</v>
      </c>
      <c r="M424" s="950" t="s">
        <v>1535</v>
      </c>
      <c r="N424" s="946" t="s">
        <v>1824</v>
      </c>
    </row>
    <row r="425" spans="1:14">
      <c r="A425" s="123">
        <v>19</v>
      </c>
      <c r="B425" s="919"/>
      <c r="C425" s="973"/>
      <c r="D425" s="973"/>
      <c r="E425" s="942"/>
      <c r="F425" s="942"/>
      <c r="G425" s="942"/>
      <c r="H425" s="973"/>
      <c r="I425" s="149" t="s">
        <v>1823</v>
      </c>
      <c r="J425" s="942"/>
      <c r="K425" s="942"/>
      <c r="L425" s="942"/>
      <c r="M425" s="951"/>
      <c r="N425" s="947"/>
    </row>
    <row r="426" spans="1:14">
      <c r="A426" s="123">
        <v>19</v>
      </c>
      <c r="B426" s="92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1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1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1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1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1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1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1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1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1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1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1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1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1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1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1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1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1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1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1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18" t="s">
        <v>2078</v>
      </c>
      <c r="C452" s="243" t="s">
        <v>1906</v>
      </c>
      <c r="D452" s="916" t="s">
        <v>306</v>
      </c>
      <c r="E452" s="916" t="s">
        <v>322</v>
      </c>
      <c r="F452" s="916" t="s">
        <v>307</v>
      </c>
      <c r="G452" s="916">
        <v>3306</v>
      </c>
      <c r="H452" s="916" t="s">
        <v>1153</v>
      </c>
      <c r="I452" s="916" t="s">
        <v>1907</v>
      </c>
      <c r="J452" s="916" t="s">
        <v>1111</v>
      </c>
      <c r="K452" s="916" t="s">
        <v>692</v>
      </c>
      <c r="L452" s="916" t="s">
        <v>324</v>
      </c>
      <c r="M452" s="928" t="s">
        <v>1908</v>
      </c>
      <c r="N452" s="916" t="s">
        <v>665</v>
      </c>
    </row>
    <row r="453" spans="1:14">
      <c r="A453" s="123">
        <v>23</v>
      </c>
      <c r="B453" s="919"/>
      <c r="C453" s="243" t="s">
        <v>1909</v>
      </c>
      <c r="D453" s="917"/>
      <c r="E453" s="917"/>
      <c r="F453" s="917"/>
      <c r="G453" s="917"/>
      <c r="H453" s="917"/>
      <c r="I453" s="917"/>
      <c r="J453" s="917"/>
      <c r="K453" s="917"/>
      <c r="L453" s="917"/>
      <c r="M453" s="929"/>
      <c r="N453" s="917"/>
    </row>
    <row r="454" spans="1:14">
      <c r="A454" s="123">
        <v>23</v>
      </c>
      <c r="B454" s="919"/>
      <c r="C454" s="243" t="s">
        <v>1910</v>
      </c>
      <c r="D454" s="916" t="s">
        <v>306</v>
      </c>
      <c r="E454" s="916" t="s">
        <v>322</v>
      </c>
      <c r="F454" s="916" t="s">
        <v>307</v>
      </c>
      <c r="G454" s="924" t="s">
        <v>1418</v>
      </c>
      <c r="H454" s="916" t="s">
        <v>1911</v>
      </c>
      <c r="I454" s="924" t="s">
        <v>1154</v>
      </c>
      <c r="J454" s="916" t="s">
        <v>664</v>
      </c>
      <c r="K454" s="1027" t="s">
        <v>1763</v>
      </c>
      <c r="L454" s="916" t="s">
        <v>324</v>
      </c>
      <c r="M454" s="928" t="s">
        <v>1535</v>
      </c>
      <c r="N454" s="916" t="s">
        <v>665</v>
      </c>
    </row>
    <row r="455" spans="1:14">
      <c r="A455" s="123">
        <v>23</v>
      </c>
      <c r="B455" s="919"/>
      <c r="C455" s="243" t="s">
        <v>1909</v>
      </c>
      <c r="D455" s="917"/>
      <c r="E455" s="917"/>
      <c r="F455" s="917"/>
      <c r="G455" s="925"/>
      <c r="H455" s="917"/>
      <c r="I455" s="925"/>
      <c r="J455" s="917"/>
      <c r="K455" s="1028"/>
      <c r="L455" s="917"/>
      <c r="M455" s="929"/>
      <c r="N455" s="917"/>
    </row>
    <row r="456" spans="1:14">
      <c r="A456" s="123">
        <v>23</v>
      </c>
      <c r="B456" s="91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19"/>
      <c r="C457" s="243" t="s">
        <v>1917</v>
      </c>
      <c r="D457" s="916" t="s">
        <v>306</v>
      </c>
      <c r="E457" s="916" t="s">
        <v>322</v>
      </c>
      <c r="F457" s="916" t="s">
        <v>307</v>
      </c>
      <c r="G457" s="924">
        <v>4267</v>
      </c>
      <c r="H457" s="916" t="s">
        <v>640</v>
      </c>
      <c r="I457" s="924" t="s">
        <v>1154</v>
      </c>
      <c r="J457" s="916" t="s">
        <v>664</v>
      </c>
      <c r="K457" s="1027" t="s">
        <v>1763</v>
      </c>
      <c r="L457" s="916" t="s">
        <v>324</v>
      </c>
      <c r="M457" s="928" t="s">
        <v>1535</v>
      </c>
      <c r="N457" s="916" t="s">
        <v>665</v>
      </c>
    </row>
    <row r="458" spans="1:14">
      <c r="A458" s="123">
        <v>23</v>
      </c>
      <c r="B458" s="919"/>
      <c r="C458" s="243" t="s">
        <v>1918</v>
      </c>
      <c r="D458" s="917"/>
      <c r="E458" s="917"/>
      <c r="F458" s="917"/>
      <c r="G458" s="925"/>
      <c r="H458" s="917"/>
      <c r="I458" s="925"/>
      <c r="J458" s="917"/>
      <c r="K458" s="1028"/>
      <c r="L458" s="917"/>
      <c r="M458" s="929"/>
      <c r="N458" s="917"/>
    </row>
    <row r="459" spans="1:14">
      <c r="A459" s="123">
        <v>23</v>
      </c>
      <c r="B459" s="919"/>
      <c r="C459" s="243" t="s">
        <v>1917</v>
      </c>
      <c r="D459" s="916" t="s">
        <v>306</v>
      </c>
      <c r="E459" s="916" t="s">
        <v>322</v>
      </c>
      <c r="F459" s="916" t="s">
        <v>307</v>
      </c>
      <c r="G459" s="924" t="s">
        <v>1919</v>
      </c>
      <c r="H459" s="916" t="s">
        <v>662</v>
      </c>
      <c r="I459" s="924" t="s">
        <v>1920</v>
      </c>
      <c r="J459" s="916" t="s">
        <v>349</v>
      </c>
      <c r="K459" s="1029" t="s">
        <v>1916</v>
      </c>
      <c r="L459" s="916" t="s">
        <v>324</v>
      </c>
      <c r="M459" s="928" t="s">
        <v>1535</v>
      </c>
      <c r="N459" s="916" t="s">
        <v>425</v>
      </c>
    </row>
    <row r="460" spans="1:14">
      <c r="A460" s="123">
        <v>23</v>
      </c>
      <c r="B460" s="920"/>
      <c r="C460" s="244" t="s">
        <v>1918</v>
      </c>
      <c r="D460" s="917"/>
      <c r="E460" s="917"/>
      <c r="F460" s="917"/>
      <c r="G460" s="925"/>
      <c r="H460" s="917"/>
      <c r="I460" s="925"/>
      <c r="J460" s="917"/>
      <c r="K460" s="1030"/>
      <c r="L460" s="917"/>
      <c r="M460" s="929"/>
      <c r="N460" s="917"/>
    </row>
    <row r="461" spans="1:14">
      <c r="A461" s="123">
        <v>23</v>
      </c>
      <c r="B461" s="91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19"/>
      <c r="C462" s="916" t="s">
        <v>1921</v>
      </c>
      <c r="D462" s="916" t="s">
        <v>311</v>
      </c>
      <c r="E462" s="916" t="s">
        <v>675</v>
      </c>
      <c r="F462" s="916" t="s">
        <v>1926</v>
      </c>
      <c r="G462" s="916" t="s">
        <v>1927</v>
      </c>
      <c r="H462" s="926" t="s">
        <v>347</v>
      </c>
      <c r="I462" s="242" t="s">
        <v>1928</v>
      </c>
      <c r="J462" s="916"/>
      <c r="K462" s="924" t="s">
        <v>1924</v>
      </c>
      <c r="L462" s="916" t="s">
        <v>309</v>
      </c>
      <c r="M462" s="928" t="s">
        <v>1828</v>
      </c>
      <c r="N462" s="924" t="s">
        <v>1925</v>
      </c>
    </row>
    <row r="463" spans="1:14">
      <c r="A463" s="123">
        <v>23</v>
      </c>
      <c r="B463" s="919"/>
      <c r="C463" s="917"/>
      <c r="D463" s="917"/>
      <c r="E463" s="917"/>
      <c r="F463" s="917"/>
      <c r="G463" s="917"/>
      <c r="H463" s="927"/>
      <c r="I463" s="242" t="s">
        <v>1929</v>
      </c>
      <c r="J463" s="917"/>
      <c r="K463" s="925"/>
      <c r="L463" s="917"/>
      <c r="M463" s="929"/>
      <c r="N463" s="925"/>
    </row>
    <row r="464" spans="1:14" ht="24">
      <c r="A464" s="123">
        <v>23</v>
      </c>
      <c r="B464" s="91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1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1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1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1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1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1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1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1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1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1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1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1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1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1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1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1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1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1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1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1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1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1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1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1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1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1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1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1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1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1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1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1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1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1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1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1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1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1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1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1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1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1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1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1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1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1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1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1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1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1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1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1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1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1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1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1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1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1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1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1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1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1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1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1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1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1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1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1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1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1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1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1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1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1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1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1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1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1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1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1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1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1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1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1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1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1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1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1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1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1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1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1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1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1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1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1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1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1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1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1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1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1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1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1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1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1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1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1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1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1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1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1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1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1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1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1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1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1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1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1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1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1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1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1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1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1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1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1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1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1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1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1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1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1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1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1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1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1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1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1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1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1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1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1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1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1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19"/>
      <c r="C687" s="148" t="s">
        <v>2726</v>
      </c>
      <c r="D687" s="941" t="s">
        <v>306</v>
      </c>
      <c r="E687" s="941" t="s">
        <v>322</v>
      </c>
      <c r="F687" s="941" t="s">
        <v>307</v>
      </c>
      <c r="G687" s="946" t="s">
        <v>2719</v>
      </c>
      <c r="H687" s="941" t="s">
        <v>1047</v>
      </c>
      <c r="I687" s="946" t="s">
        <v>704</v>
      </c>
      <c r="J687" s="941" t="s">
        <v>664</v>
      </c>
      <c r="K687" s="1035" t="s">
        <v>1763</v>
      </c>
      <c r="L687" s="941"/>
      <c r="M687" s="950" t="s">
        <v>458</v>
      </c>
      <c r="N687" s="941" t="s">
        <v>665</v>
      </c>
    </row>
    <row r="688" spans="1:14">
      <c r="A688" s="123">
        <v>8</v>
      </c>
      <c r="B688" s="919"/>
      <c r="C688" s="148" t="s">
        <v>2727</v>
      </c>
      <c r="D688" s="942"/>
      <c r="E688" s="942"/>
      <c r="F688" s="942"/>
      <c r="G688" s="947"/>
      <c r="H688" s="942"/>
      <c r="I688" s="947"/>
      <c r="J688" s="942"/>
      <c r="K688" s="1036"/>
      <c r="L688" s="942"/>
      <c r="M688" s="951"/>
      <c r="N688" s="942"/>
    </row>
    <row r="689" spans="1:14">
      <c r="A689" s="123">
        <v>8</v>
      </c>
      <c r="B689" s="91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19"/>
      <c r="C690" s="148" t="s">
        <v>2730</v>
      </c>
      <c r="D690" s="941" t="s">
        <v>306</v>
      </c>
      <c r="E690" s="941" t="s">
        <v>322</v>
      </c>
      <c r="F690" s="941" t="s">
        <v>307</v>
      </c>
      <c r="G690" s="946" t="s">
        <v>2731</v>
      </c>
      <c r="H690" s="941" t="s">
        <v>640</v>
      </c>
      <c r="I690" s="946" t="s">
        <v>668</v>
      </c>
      <c r="J690" s="941" t="s">
        <v>349</v>
      </c>
      <c r="K690" s="1037" t="s">
        <v>2732</v>
      </c>
      <c r="L690" s="941"/>
      <c r="M690" s="950" t="s">
        <v>2769</v>
      </c>
      <c r="N690" s="941" t="s">
        <v>425</v>
      </c>
    </row>
    <row r="691" spans="1:14">
      <c r="A691" s="123">
        <v>8</v>
      </c>
      <c r="B691" s="920"/>
      <c r="C691" s="148" t="s">
        <v>2723</v>
      </c>
      <c r="D691" s="942"/>
      <c r="E691" s="942"/>
      <c r="F691" s="942"/>
      <c r="G691" s="947"/>
      <c r="H691" s="942"/>
      <c r="I691" s="947"/>
      <c r="J691" s="942"/>
      <c r="K691" s="1038"/>
      <c r="L691" s="942"/>
      <c r="M691" s="951"/>
      <c r="N691" s="942"/>
    </row>
    <row r="692" spans="1:14">
      <c r="A692" s="123">
        <v>8</v>
      </c>
      <c r="B692" s="91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19"/>
      <c r="C693" s="941" t="s">
        <v>2768</v>
      </c>
      <c r="D693" s="941" t="s">
        <v>311</v>
      </c>
      <c r="E693" s="941" t="s">
        <v>675</v>
      </c>
      <c r="F693" s="149" t="s">
        <v>1806</v>
      </c>
      <c r="G693" s="946" t="s">
        <v>689</v>
      </c>
      <c r="H693" s="946" t="s">
        <v>662</v>
      </c>
      <c r="I693" s="946" t="s">
        <v>2739</v>
      </c>
      <c r="J693" s="946"/>
      <c r="K693" s="946" t="s">
        <v>698</v>
      </c>
      <c r="L693" s="941" t="s">
        <v>309</v>
      </c>
      <c r="M693" s="950" t="s">
        <v>672</v>
      </c>
      <c r="N693" s="941" t="s">
        <v>2740</v>
      </c>
    </row>
    <row r="694" spans="1:14">
      <c r="A694" s="123">
        <v>8</v>
      </c>
      <c r="B694" s="920"/>
      <c r="C694" s="942"/>
      <c r="D694" s="942"/>
      <c r="E694" s="942"/>
      <c r="F694" s="149" t="s">
        <v>2738</v>
      </c>
      <c r="G694" s="947"/>
      <c r="H694" s="947"/>
      <c r="I694" s="947"/>
      <c r="J694" s="947"/>
      <c r="K694" s="947"/>
      <c r="L694" s="942"/>
      <c r="M694" s="951"/>
      <c r="N694" s="969"/>
    </row>
    <row r="695" spans="1:14">
      <c r="A695" s="123">
        <v>9</v>
      </c>
      <c r="B695" s="91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1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19"/>
      <c r="C697" s="243" t="s">
        <v>2745</v>
      </c>
      <c r="D697" s="916" t="s">
        <v>306</v>
      </c>
      <c r="E697" s="916" t="s">
        <v>322</v>
      </c>
      <c r="F697" s="916" t="s">
        <v>307</v>
      </c>
      <c r="G697" s="924" t="s">
        <v>2746</v>
      </c>
      <c r="H697" s="916" t="s">
        <v>405</v>
      </c>
      <c r="I697" s="924" t="s">
        <v>2747</v>
      </c>
      <c r="J697" s="916" t="s">
        <v>664</v>
      </c>
      <c r="K697" s="1039" t="s">
        <v>1757</v>
      </c>
      <c r="L697" s="916"/>
      <c r="M697" s="928">
        <v>750000</v>
      </c>
      <c r="N697" s="916" t="s">
        <v>665</v>
      </c>
    </row>
    <row r="698" spans="1:14">
      <c r="A698" s="123">
        <v>9</v>
      </c>
      <c r="B698" s="919"/>
      <c r="C698" s="243" t="s">
        <v>2748</v>
      </c>
      <c r="D698" s="917"/>
      <c r="E698" s="917"/>
      <c r="F698" s="917"/>
      <c r="G698" s="925"/>
      <c r="H698" s="917"/>
      <c r="I698" s="925"/>
      <c r="J698" s="917"/>
      <c r="K698" s="1040"/>
      <c r="L698" s="917"/>
      <c r="M698" s="929"/>
      <c r="N698" s="917"/>
    </row>
    <row r="699" spans="1:14">
      <c r="A699" s="123">
        <v>9</v>
      </c>
      <c r="B699" s="919"/>
      <c r="C699" s="243" t="s">
        <v>2745</v>
      </c>
      <c r="D699" s="916" t="s">
        <v>306</v>
      </c>
      <c r="E699" s="916" t="s">
        <v>322</v>
      </c>
      <c r="F699" s="916" t="s">
        <v>307</v>
      </c>
      <c r="G699" s="924" t="s">
        <v>2749</v>
      </c>
      <c r="H699" s="916" t="s">
        <v>662</v>
      </c>
      <c r="I699" s="924" t="s">
        <v>668</v>
      </c>
      <c r="J699" s="916" t="s">
        <v>349</v>
      </c>
      <c r="K699" s="1041" t="s">
        <v>2732</v>
      </c>
      <c r="L699" s="916"/>
      <c r="M699" s="928">
        <v>1000000</v>
      </c>
      <c r="N699" s="916" t="s">
        <v>425</v>
      </c>
    </row>
    <row r="700" spans="1:14">
      <c r="A700" s="123">
        <v>9</v>
      </c>
      <c r="B700" s="919"/>
      <c r="C700" s="243" t="s">
        <v>2750</v>
      </c>
      <c r="D700" s="917"/>
      <c r="E700" s="917"/>
      <c r="F700" s="917"/>
      <c r="G700" s="925"/>
      <c r="H700" s="917"/>
      <c r="I700" s="925"/>
      <c r="J700" s="917"/>
      <c r="K700" s="1042"/>
      <c r="L700" s="917"/>
      <c r="M700" s="929"/>
      <c r="N700" s="917"/>
    </row>
    <row r="701" spans="1:14">
      <c r="A701" s="123">
        <v>9</v>
      </c>
      <c r="B701" s="92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1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1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1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1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1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1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1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1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1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1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1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1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1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1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1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1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1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1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1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1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1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1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1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3" t="s">
        <v>2821</v>
      </c>
    </row>
    <row r="734" spans="1:14" ht="27">
      <c r="A734" s="123">
        <v>15</v>
      </c>
      <c r="B734" s="91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4"/>
    </row>
    <row r="735" spans="1:14">
      <c r="A735" s="123">
        <v>15</v>
      </c>
      <c r="B735" s="91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1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1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1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1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1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1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1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1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1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1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1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1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1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1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1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1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1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1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1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1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1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1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1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1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1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1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1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1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1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1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1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1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1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1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1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1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1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1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1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1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1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1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1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1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1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1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1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1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1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1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1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1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1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1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1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1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1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1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1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1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1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1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1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1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1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1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1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1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1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1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1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1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1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1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18" t="s">
        <v>3097</v>
      </c>
      <c r="C835" s="148" t="s">
        <v>3079</v>
      </c>
      <c r="D835" s="941" t="s">
        <v>306</v>
      </c>
      <c r="E835" s="941" t="s">
        <v>322</v>
      </c>
      <c r="F835" s="941" t="s">
        <v>307</v>
      </c>
      <c r="G835" s="946" t="s">
        <v>3051</v>
      </c>
      <c r="H835" s="941" t="s">
        <v>1993</v>
      </c>
      <c r="I835" s="946" t="s">
        <v>3052</v>
      </c>
      <c r="J835" s="941" t="s">
        <v>664</v>
      </c>
      <c r="K835" s="148" t="s">
        <v>3081</v>
      </c>
      <c r="L835" s="941"/>
      <c r="M835" s="1046" t="s">
        <v>3082</v>
      </c>
      <c r="N835" s="148" t="s">
        <v>3083</v>
      </c>
    </row>
    <row r="836" spans="1:14">
      <c r="A836" s="123">
        <v>29</v>
      </c>
      <c r="B836" s="919"/>
      <c r="C836" s="148" t="s">
        <v>3080</v>
      </c>
      <c r="D836" s="969"/>
      <c r="E836" s="969"/>
      <c r="F836" s="969"/>
      <c r="G836" s="1045"/>
      <c r="H836" s="969"/>
      <c r="I836" s="1045"/>
      <c r="J836" s="969"/>
      <c r="K836" s="148" t="s">
        <v>707</v>
      </c>
      <c r="L836" s="969"/>
      <c r="M836" s="1047"/>
      <c r="N836" s="148"/>
    </row>
    <row r="837" spans="1:14">
      <c r="A837" s="123">
        <v>29</v>
      </c>
      <c r="B837" s="919"/>
      <c r="C837" s="148"/>
      <c r="D837" s="942"/>
      <c r="E837" s="942"/>
      <c r="F837" s="942"/>
      <c r="G837" s="947"/>
      <c r="H837" s="942"/>
      <c r="I837" s="947"/>
      <c r="J837" s="942"/>
      <c r="K837" s="148"/>
      <c r="L837" s="942"/>
      <c r="M837" s="1048"/>
      <c r="N837" s="148" t="s">
        <v>3084</v>
      </c>
    </row>
    <row r="838" spans="1:14">
      <c r="A838" s="123">
        <v>29</v>
      </c>
      <c r="B838" s="91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18" t="s">
        <v>21</v>
      </c>
      <c r="C840" s="111" t="s">
        <v>3087</v>
      </c>
      <c r="D840" s="941" t="s">
        <v>311</v>
      </c>
      <c r="E840" s="941" t="s">
        <v>320</v>
      </c>
      <c r="F840" s="946" t="s">
        <v>2601</v>
      </c>
      <c r="G840" s="946" t="s">
        <v>3059</v>
      </c>
      <c r="H840" s="946" t="s">
        <v>3060</v>
      </c>
      <c r="I840" s="946" t="s">
        <v>3061</v>
      </c>
      <c r="J840" s="946" t="s">
        <v>702</v>
      </c>
      <c r="K840" s="946" t="s">
        <v>3062</v>
      </c>
      <c r="L840" s="941" t="s">
        <v>309</v>
      </c>
      <c r="M840" s="1046" t="s">
        <v>1816</v>
      </c>
      <c r="N840" s="941" t="s">
        <v>3088</v>
      </c>
    </row>
    <row r="841" spans="1:14">
      <c r="A841" s="123">
        <v>29</v>
      </c>
      <c r="B841" s="919"/>
      <c r="C841" s="111" t="s">
        <v>3065</v>
      </c>
      <c r="D841" s="942"/>
      <c r="E841" s="942"/>
      <c r="F841" s="947"/>
      <c r="G841" s="947"/>
      <c r="H841" s="947"/>
      <c r="I841" s="947"/>
      <c r="J841" s="947"/>
      <c r="K841" s="947"/>
      <c r="L841" s="942"/>
      <c r="M841" s="1048"/>
      <c r="N841" s="942"/>
    </row>
    <row r="842" spans="1:14">
      <c r="A842" s="123">
        <v>29</v>
      </c>
      <c r="B842" s="91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1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19"/>
      <c r="C844" s="111" t="s">
        <v>3079</v>
      </c>
      <c r="D844" s="941" t="s">
        <v>311</v>
      </c>
      <c r="E844" s="941" t="s">
        <v>320</v>
      </c>
      <c r="F844" s="946" t="s">
        <v>3068</v>
      </c>
      <c r="G844" s="946" t="s">
        <v>1919</v>
      </c>
      <c r="H844" s="946" t="s">
        <v>3069</v>
      </c>
      <c r="I844" s="149" t="s">
        <v>3090</v>
      </c>
      <c r="J844" s="946"/>
      <c r="K844" s="946" t="s">
        <v>3070</v>
      </c>
      <c r="L844" s="941" t="s">
        <v>309</v>
      </c>
      <c r="M844" s="1049" t="s">
        <v>3092</v>
      </c>
      <c r="N844" s="941" t="s">
        <v>1206</v>
      </c>
    </row>
    <row r="845" spans="1:14">
      <c r="A845" s="123">
        <v>29</v>
      </c>
      <c r="B845" s="919"/>
      <c r="C845" s="111" t="s">
        <v>3089</v>
      </c>
      <c r="D845" s="942"/>
      <c r="E845" s="942"/>
      <c r="F845" s="947"/>
      <c r="G845" s="947"/>
      <c r="H845" s="947"/>
      <c r="I845" s="149" t="s">
        <v>3091</v>
      </c>
      <c r="J845" s="947"/>
      <c r="K845" s="947"/>
      <c r="L845" s="942"/>
      <c r="M845" s="1050"/>
      <c r="N845" s="942"/>
    </row>
    <row r="846" spans="1:14">
      <c r="A846" s="123">
        <v>29</v>
      </c>
      <c r="B846" s="919"/>
      <c r="C846" s="111" t="s">
        <v>3079</v>
      </c>
      <c r="D846" s="941" t="s">
        <v>311</v>
      </c>
      <c r="E846" s="941" t="s">
        <v>320</v>
      </c>
      <c r="F846" s="946" t="s">
        <v>2601</v>
      </c>
      <c r="G846" s="946" t="s">
        <v>3059</v>
      </c>
      <c r="H846" s="946" t="s">
        <v>3060</v>
      </c>
      <c r="I846" s="946" t="s">
        <v>3071</v>
      </c>
      <c r="J846" s="946" t="s">
        <v>702</v>
      </c>
      <c r="K846" s="946" t="s">
        <v>1054</v>
      </c>
      <c r="L846" s="941" t="s">
        <v>309</v>
      </c>
      <c r="M846" s="1046" t="s">
        <v>3094</v>
      </c>
      <c r="N846" s="941" t="s">
        <v>3095</v>
      </c>
    </row>
    <row r="847" spans="1:14">
      <c r="A847" s="123">
        <v>29</v>
      </c>
      <c r="B847" s="919"/>
      <c r="C847" s="111"/>
      <c r="D847" s="969"/>
      <c r="E847" s="969"/>
      <c r="F847" s="1045"/>
      <c r="G847" s="1045"/>
      <c r="H847" s="1045"/>
      <c r="I847" s="1045"/>
      <c r="J847" s="1045"/>
      <c r="K847" s="1045"/>
      <c r="L847" s="969"/>
      <c r="M847" s="1047"/>
      <c r="N847" s="969"/>
    </row>
    <row r="848" spans="1:14">
      <c r="A848" s="123">
        <v>29</v>
      </c>
      <c r="B848" s="919"/>
      <c r="C848" s="111" t="s">
        <v>3093</v>
      </c>
      <c r="D848" s="942"/>
      <c r="E848" s="942"/>
      <c r="F848" s="947"/>
      <c r="G848" s="947"/>
      <c r="H848" s="947"/>
      <c r="I848" s="947"/>
      <c r="J848" s="947"/>
      <c r="K848" s="947"/>
      <c r="L848" s="942"/>
      <c r="M848" s="1048"/>
      <c r="N848" s="942"/>
    </row>
    <row r="849" spans="1:14">
      <c r="A849" s="123">
        <v>29</v>
      </c>
      <c r="B849" s="919"/>
      <c r="C849" s="111" t="s">
        <v>3096</v>
      </c>
      <c r="D849" s="941" t="s">
        <v>311</v>
      </c>
      <c r="E849" s="941" t="s">
        <v>320</v>
      </c>
      <c r="F849" s="946" t="s">
        <v>337</v>
      </c>
      <c r="G849" s="946" t="s">
        <v>3072</v>
      </c>
      <c r="H849" s="946" t="s">
        <v>354</v>
      </c>
      <c r="I849" s="946" t="s">
        <v>310</v>
      </c>
      <c r="J849" s="946" t="s">
        <v>638</v>
      </c>
      <c r="K849" s="946" t="s">
        <v>3073</v>
      </c>
      <c r="L849" s="941" t="s">
        <v>309</v>
      </c>
      <c r="M849" s="1046" t="s">
        <v>1816</v>
      </c>
      <c r="N849" s="941" t="s">
        <v>3095</v>
      </c>
    </row>
    <row r="850" spans="1:14">
      <c r="A850" s="123">
        <v>29</v>
      </c>
      <c r="B850" s="920"/>
      <c r="C850" s="111" t="s">
        <v>3089</v>
      </c>
      <c r="D850" s="942"/>
      <c r="E850" s="942"/>
      <c r="F850" s="947"/>
      <c r="G850" s="947"/>
      <c r="H850" s="947"/>
      <c r="I850" s="947"/>
      <c r="J850" s="947"/>
      <c r="K850" s="947"/>
      <c r="L850" s="942"/>
      <c r="M850" s="1048"/>
      <c r="N850" s="942"/>
    </row>
    <row r="851" spans="1:14">
      <c r="A851" s="123">
        <v>30</v>
      </c>
      <c r="B851" s="105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4"/>
      <c r="C853" s="148" t="s">
        <v>3106</v>
      </c>
      <c r="D853" s="941" t="s">
        <v>306</v>
      </c>
      <c r="E853" s="941" t="s">
        <v>322</v>
      </c>
      <c r="F853" s="941" t="s">
        <v>307</v>
      </c>
      <c r="G853" s="946" t="s">
        <v>3051</v>
      </c>
      <c r="H853" s="941" t="s">
        <v>1993</v>
      </c>
      <c r="I853" s="946" t="s">
        <v>3108</v>
      </c>
      <c r="J853" s="941" t="s">
        <v>664</v>
      </c>
      <c r="K853" s="148" t="s">
        <v>3109</v>
      </c>
      <c r="L853" s="941"/>
      <c r="M853" s="950" t="s">
        <v>3110</v>
      </c>
      <c r="N853" s="941" t="s">
        <v>665</v>
      </c>
    </row>
    <row r="854" spans="1:14">
      <c r="A854" s="123">
        <v>30</v>
      </c>
      <c r="B854" s="1054"/>
      <c r="C854" s="148" t="s">
        <v>3107</v>
      </c>
      <c r="D854" s="942"/>
      <c r="E854" s="942"/>
      <c r="F854" s="942"/>
      <c r="G854" s="947"/>
      <c r="H854" s="942"/>
      <c r="I854" s="947"/>
      <c r="J854" s="942"/>
      <c r="K854" s="148" t="s">
        <v>655</v>
      </c>
      <c r="L854" s="942"/>
      <c r="M854" s="951"/>
      <c r="N854" s="942"/>
    </row>
    <row r="855" spans="1:14">
      <c r="A855" s="123">
        <v>30</v>
      </c>
      <c r="B855" s="105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18" t="s">
        <v>3116</v>
      </c>
      <c r="C856" s="1051" t="s">
        <v>3117</v>
      </c>
      <c r="D856" s="941" t="s">
        <v>311</v>
      </c>
      <c r="E856" s="941" t="s">
        <v>320</v>
      </c>
      <c r="F856" s="946" t="s">
        <v>2601</v>
      </c>
      <c r="G856" s="946" t="s">
        <v>2749</v>
      </c>
      <c r="H856" s="946" t="s">
        <v>347</v>
      </c>
      <c r="I856" s="946" t="s">
        <v>3118</v>
      </c>
      <c r="J856" s="946" t="s">
        <v>638</v>
      </c>
      <c r="K856" s="946" t="s">
        <v>698</v>
      </c>
      <c r="L856" s="941" t="s">
        <v>309</v>
      </c>
      <c r="M856" s="950" t="s">
        <v>1810</v>
      </c>
      <c r="N856" s="148" t="s">
        <v>3119</v>
      </c>
    </row>
    <row r="857" spans="1:14">
      <c r="A857" s="123">
        <v>30</v>
      </c>
      <c r="B857" s="919"/>
      <c r="C857" s="1052"/>
      <c r="D857" s="942"/>
      <c r="E857" s="942"/>
      <c r="F857" s="947"/>
      <c r="G857" s="947"/>
      <c r="H857" s="947"/>
      <c r="I857" s="947"/>
      <c r="J857" s="947"/>
      <c r="K857" s="947"/>
      <c r="L857" s="942"/>
      <c r="M857" s="951"/>
      <c r="N857" s="148" t="s">
        <v>3120</v>
      </c>
    </row>
    <row r="858" spans="1:14" ht="16.5" customHeight="1">
      <c r="A858" s="123">
        <v>30</v>
      </c>
      <c r="B858" s="919"/>
      <c r="C858" s="1051" t="s">
        <v>3117</v>
      </c>
      <c r="D858" s="941" t="s">
        <v>311</v>
      </c>
      <c r="E858" s="941" t="s">
        <v>320</v>
      </c>
      <c r="F858" s="946" t="s">
        <v>709</v>
      </c>
      <c r="G858" s="149" t="s">
        <v>3121</v>
      </c>
      <c r="H858" s="946" t="s">
        <v>640</v>
      </c>
      <c r="I858" s="946" t="s">
        <v>3122</v>
      </c>
      <c r="J858" s="946"/>
      <c r="K858" s="946" t="s">
        <v>692</v>
      </c>
      <c r="L858" s="941" t="s">
        <v>309</v>
      </c>
      <c r="M858" s="950" t="s">
        <v>1535</v>
      </c>
      <c r="N858" s="941" t="s">
        <v>1772</v>
      </c>
    </row>
    <row r="859" spans="1:14">
      <c r="A859" s="123">
        <v>30</v>
      </c>
      <c r="B859" s="919"/>
      <c r="C859" s="1052"/>
      <c r="D859" s="942"/>
      <c r="E859" s="942"/>
      <c r="F859" s="947"/>
      <c r="G859" s="149">
        <v>2651</v>
      </c>
      <c r="H859" s="947"/>
      <c r="I859" s="947"/>
      <c r="J859" s="947"/>
      <c r="K859" s="947"/>
      <c r="L859" s="942"/>
      <c r="M859" s="951"/>
      <c r="N859" s="942"/>
    </row>
    <row r="860" spans="1:14">
      <c r="A860" s="123">
        <v>30</v>
      </c>
      <c r="B860" s="919"/>
      <c r="C860" s="1051" t="s">
        <v>3123</v>
      </c>
      <c r="D860" s="941" t="s">
        <v>311</v>
      </c>
      <c r="E860" s="941" t="s">
        <v>320</v>
      </c>
      <c r="F860" s="946" t="s">
        <v>720</v>
      </c>
      <c r="G860" s="946" t="s">
        <v>1756</v>
      </c>
      <c r="H860" s="946" t="s">
        <v>347</v>
      </c>
      <c r="I860" s="149" t="s">
        <v>3124</v>
      </c>
      <c r="J860" s="946"/>
      <c r="K860" s="946" t="s">
        <v>3126</v>
      </c>
      <c r="L860" s="941" t="s">
        <v>309</v>
      </c>
      <c r="M860" s="950" t="s">
        <v>1933</v>
      </c>
      <c r="N860" s="941" t="s">
        <v>1206</v>
      </c>
    </row>
    <row r="861" spans="1:14">
      <c r="A861" s="123">
        <v>30</v>
      </c>
      <c r="B861" s="919"/>
      <c r="C861" s="1052"/>
      <c r="D861" s="942"/>
      <c r="E861" s="942"/>
      <c r="F861" s="947"/>
      <c r="G861" s="947"/>
      <c r="H861" s="947"/>
      <c r="I861" s="149" t="s">
        <v>3125</v>
      </c>
      <c r="J861" s="947"/>
      <c r="K861" s="947"/>
      <c r="L861" s="942"/>
      <c r="M861" s="951"/>
      <c r="N861" s="942"/>
    </row>
    <row r="862" spans="1:14">
      <c r="A862" s="123">
        <v>30</v>
      </c>
      <c r="B862" s="919"/>
      <c r="C862" s="111" t="s">
        <v>3127</v>
      </c>
      <c r="D862" s="941" t="s">
        <v>311</v>
      </c>
      <c r="E862" s="941" t="s">
        <v>320</v>
      </c>
      <c r="F862" s="946" t="s">
        <v>690</v>
      </c>
      <c r="G862" s="946" t="s">
        <v>3066</v>
      </c>
      <c r="H862" s="946" t="s">
        <v>354</v>
      </c>
      <c r="I862" s="946" t="s">
        <v>3129</v>
      </c>
      <c r="J862" s="946" t="s">
        <v>638</v>
      </c>
      <c r="K862" s="946" t="s">
        <v>655</v>
      </c>
      <c r="L862" s="941" t="s">
        <v>309</v>
      </c>
      <c r="M862" s="950" t="s">
        <v>1535</v>
      </c>
      <c r="N862" s="941" t="s">
        <v>1206</v>
      </c>
    </row>
    <row r="863" spans="1:14">
      <c r="A863" s="123">
        <v>30</v>
      </c>
      <c r="B863" s="919"/>
      <c r="C863" s="111" t="s">
        <v>3128</v>
      </c>
      <c r="D863" s="942"/>
      <c r="E863" s="942"/>
      <c r="F863" s="947"/>
      <c r="G863" s="947"/>
      <c r="H863" s="947"/>
      <c r="I863" s="947"/>
      <c r="J863" s="947"/>
      <c r="K863" s="947"/>
      <c r="L863" s="942"/>
      <c r="M863" s="951"/>
      <c r="N863" s="942"/>
    </row>
    <row r="864" spans="1:14">
      <c r="A864" s="123">
        <v>30</v>
      </c>
      <c r="B864" s="919"/>
      <c r="C864" s="111" t="s">
        <v>3130</v>
      </c>
      <c r="D864" s="941" t="s">
        <v>311</v>
      </c>
      <c r="E864" s="941" t="s">
        <v>320</v>
      </c>
      <c r="F864" s="946" t="s">
        <v>337</v>
      </c>
      <c r="G864" s="946" t="s">
        <v>3072</v>
      </c>
      <c r="H864" s="946" t="s">
        <v>354</v>
      </c>
      <c r="I864" s="946" t="s">
        <v>3131</v>
      </c>
      <c r="J864" s="946" t="s">
        <v>638</v>
      </c>
      <c r="K864" s="946" t="s">
        <v>713</v>
      </c>
      <c r="L864" s="941" t="s">
        <v>309</v>
      </c>
      <c r="M864" s="950" t="s">
        <v>1810</v>
      </c>
      <c r="N864" s="941" t="s">
        <v>1206</v>
      </c>
    </row>
    <row r="865" spans="1:14">
      <c r="A865" s="123">
        <v>30</v>
      </c>
      <c r="B865" s="919"/>
      <c r="C865" s="111" t="s">
        <v>3107</v>
      </c>
      <c r="D865" s="942"/>
      <c r="E865" s="942"/>
      <c r="F865" s="947"/>
      <c r="G865" s="947"/>
      <c r="H865" s="947"/>
      <c r="I865" s="947"/>
      <c r="J865" s="947"/>
      <c r="K865" s="947"/>
      <c r="L865" s="942"/>
      <c r="M865" s="951"/>
      <c r="N865" s="942"/>
    </row>
    <row r="866" spans="1:14" ht="25.5">
      <c r="A866" s="123">
        <v>30</v>
      </c>
      <c r="B866" s="91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19"/>
      <c r="C867" s="1051" t="s">
        <v>3111</v>
      </c>
      <c r="D867" s="941" t="s">
        <v>311</v>
      </c>
      <c r="E867" s="941" t="s">
        <v>675</v>
      </c>
      <c r="F867" s="946" t="s">
        <v>660</v>
      </c>
      <c r="G867" s="946" t="s">
        <v>661</v>
      </c>
      <c r="H867" s="946" t="s">
        <v>662</v>
      </c>
      <c r="I867" s="149" t="s">
        <v>3134</v>
      </c>
      <c r="J867" s="946" t="s">
        <v>638</v>
      </c>
      <c r="K867" s="946" t="s">
        <v>731</v>
      </c>
      <c r="L867" s="941" t="s">
        <v>309</v>
      </c>
      <c r="M867" s="950" t="s">
        <v>1828</v>
      </c>
      <c r="N867" s="941" t="s">
        <v>3136</v>
      </c>
    </row>
    <row r="868" spans="1:14">
      <c r="A868" s="123">
        <v>30</v>
      </c>
      <c r="B868" s="920"/>
      <c r="C868" s="1052"/>
      <c r="D868" s="942"/>
      <c r="E868" s="942"/>
      <c r="F868" s="947"/>
      <c r="G868" s="947"/>
      <c r="H868" s="947"/>
      <c r="I868" s="149" t="s">
        <v>3135</v>
      </c>
      <c r="J868" s="947"/>
      <c r="K868" s="947"/>
      <c r="L868" s="942"/>
      <c r="M868" s="951"/>
      <c r="N868" s="942"/>
    </row>
    <row r="869" spans="1:14">
      <c r="A869" s="123">
        <v>31</v>
      </c>
      <c r="B869" s="91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19"/>
      <c r="C870" s="148" t="s">
        <v>3140</v>
      </c>
      <c r="D870" s="941" t="s">
        <v>306</v>
      </c>
      <c r="E870" s="941" t="s">
        <v>322</v>
      </c>
      <c r="F870" s="941" t="s">
        <v>307</v>
      </c>
      <c r="G870" s="946">
        <v>1566</v>
      </c>
      <c r="H870" s="941" t="s">
        <v>1911</v>
      </c>
      <c r="I870" s="946" t="s">
        <v>3142</v>
      </c>
      <c r="J870" s="941" t="s">
        <v>664</v>
      </c>
      <c r="K870" s="941" t="s">
        <v>3143</v>
      </c>
      <c r="L870" s="941"/>
      <c r="M870" s="950" t="s">
        <v>3144</v>
      </c>
      <c r="N870" s="941" t="s">
        <v>665</v>
      </c>
    </row>
    <row r="871" spans="1:14">
      <c r="A871" s="123">
        <v>31</v>
      </c>
      <c r="B871" s="919"/>
      <c r="C871" s="148" t="s">
        <v>3141</v>
      </c>
      <c r="D871" s="942"/>
      <c r="E871" s="942"/>
      <c r="F871" s="942"/>
      <c r="G871" s="947"/>
      <c r="H871" s="942"/>
      <c r="I871" s="947"/>
      <c r="J871" s="942"/>
      <c r="K871" s="942"/>
      <c r="L871" s="942"/>
      <c r="M871" s="951"/>
      <c r="N871" s="942"/>
    </row>
    <row r="872" spans="1:14">
      <c r="A872" s="123">
        <v>31</v>
      </c>
      <c r="B872" s="91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19"/>
      <c r="C873" s="388" t="s">
        <v>3140</v>
      </c>
      <c r="D873" s="941" t="s">
        <v>306</v>
      </c>
      <c r="E873" s="941" t="s">
        <v>322</v>
      </c>
      <c r="F873" s="941" t="s">
        <v>307</v>
      </c>
      <c r="G873" s="946" t="s">
        <v>3147</v>
      </c>
      <c r="H873" s="941" t="s">
        <v>3148</v>
      </c>
      <c r="I873" s="946" t="s">
        <v>332</v>
      </c>
      <c r="J873" s="941" t="s">
        <v>1534</v>
      </c>
      <c r="K873" s="941" t="s">
        <v>1157</v>
      </c>
      <c r="L873" s="941"/>
      <c r="M873" s="950" t="s">
        <v>3149</v>
      </c>
      <c r="N873" s="941" t="s">
        <v>425</v>
      </c>
    </row>
    <row r="874" spans="1:14">
      <c r="A874" s="123">
        <v>31</v>
      </c>
      <c r="B874" s="920"/>
      <c r="C874" s="388" t="s">
        <v>3146</v>
      </c>
      <c r="D874" s="942"/>
      <c r="E874" s="942"/>
      <c r="F874" s="942"/>
      <c r="G874" s="947"/>
      <c r="H874" s="942"/>
      <c r="I874" s="947"/>
      <c r="J874" s="942"/>
      <c r="K874" s="942"/>
      <c r="L874" s="942"/>
      <c r="M874" s="951"/>
      <c r="N874" s="942"/>
    </row>
    <row r="875" spans="1:14">
      <c r="A875" s="123">
        <v>31</v>
      </c>
      <c r="B875" s="91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19"/>
      <c r="C876" s="941" t="s">
        <v>3128</v>
      </c>
      <c r="D876" s="941" t="s">
        <v>311</v>
      </c>
      <c r="E876" s="941" t="s">
        <v>675</v>
      </c>
      <c r="F876" s="946" t="s">
        <v>660</v>
      </c>
      <c r="G876" s="946" t="s">
        <v>661</v>
      </c>
      <c r="H876" s="946" t="s">
        <v>662</v>
      </c>
      <c r="I876" s="149" t="s">
        <v>3134</v>
      </c>
      <c r="J876" s="946"/>
      <c r="K876" s="946" t="s">
        <v>698</v>
      </c>
      <c r="L876" s="941" t="s">
        <v>309</v>
      </c>
      <c r="M876" s="950" t="s">
        <v>3139</v>
      </c>
      <c r="N876" s="941" t="s">
        <v>3152</v>
      </c>
    </row>
    <row r="877" spans="1:14">
      <c r="A877" s="123">
        <v>31</v>
      </c>
      <c r="B877" s="919"/>
      <c r="C877" s="942"/>
      <c r="D877" s="942"/>
      <c r="E877" s="942"/>
      <c r="F877" s="947"/>
      <c r="G877" s="947"/>
      <c r="H877" s="947"/>
      <c r="I877" s="149" t="s">
        <v>3135</v>
      </c>
      <c r="J877" s="947"/>
      <c r="K877" s="947"/>
      <c r="L877" s="942"/>
      <c r="M877" s="951"/>
      <c r="N877" s="942"/>
    </row>
    <row r="878" spans="1:14" ht="16.5" customHeight="1">
      <c r="A878" s="123">
        <v>31</v>
      </c>
      <c r="B878" s="919"/>
      <c r="C878" s="148" t="s">
        <v>3153</v>
      </c>
      <c r="D878" s="941" t="s">
        <v>311</v>
      </c>
      <c r="E878" s="941" t="s">
        <v>320</v>
      </c>
      <c r="F878" s="946" t="s">
        <v>3068</v>
      </c>
      <c r="G878" s="946" t="s">
        <v>1919</v>
      </c>
      <c r="H878" s="946" t="s">
        <v>3069</v>
      </c>
      <c r="I878" s="946" t="s">
        <v>3154</v>
      </c>
      <c r="J878" s="946"/>
      <c r="K878" s="946" t="s">
        <v>3155</v>
      </c>
      <c r="L878" s="941" t="s">
        <v>309</v>
      </c>
      <c r="M878" s="950" t="s">
        <v>3156</v>
      </c>
      <c r="N878" s="941" t="s">
        <v>3151</v>
      </c>
    </row>
    <row r="879" spans="1:14">
      <c r="A879" s="123">
        <v>31</v>
      </c>
      <c r="B879" s="919"/>
      <c r="C879" s="148" t="s">
        <v>3111</v>
      </c>
      <c r="D879" s="942"/>
      <c r="E879" s="942"/>
      <c r="F879" s="947"/>
      <c r="G879" s="947"/>
      <c r="H879" s="947"/>
      <c r="I879" s="947"/>
      <c r="J879" s="947"/>
      <c r="K879" s="947"/>
      <c r="L879" s="942"/>
      <c r="M879" s="951"/>
      <c r="N879" s="942"/>
    </row>
    <row r="880" spans="1:14">
      <c r="A880" s="123">
        <v>31</v>
      </c>
      <c r="B880" s="91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1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1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19"/>
      <c r="C883" s="111" t="s">
        <v>3166</v>
      </c>
      <c r="D883" s="941" t="s">
        <v>311</v>
      </c>
      <c r="E883" s="941" t="s">
        <v>320</v>
      </c>
      <c r="F883" s="946" t="s">
        <v>337</v>
      </c>
      <c r="G883" s="946" t="s">
        <v>3168</v>
      </c>
      <c r="H883" s="946" t="s">
        <v>3169</v>
      </c>
      <c r="I883" s="946" t="s">
        <v>3170</v>
      </c>
      <c r="J883" s="946" t="s">
        <v>3171</v>
      </c>
      <c r="K883" s="946" t="s">
        <v>3172</v>
      </c>
      <c r="L883" s="941" t="s">
        <v>309</v>
      </c>
      <c r="M883" s="950" t="s">
        <v>3173</v>
      </c>
      <c r="N883" s="941" t="s">
        <v>3136</v>
      </c>
    </row>
    <row r="884" spans="1:14">
      <c r="A884" s="123">
        <v>31</v>
      </c>
      <c r="B884" s="920"/>
      <c r="C884" s="111" t="s">
        <v>3167</v>
      </c>
      <c r="D884" s="942"/>
      <c r="E884" s="942"/>
      <c r="F884" s="947"/>
      <c r="G884" s="947"/>
      <c r="H884" s="947"/>
      <c r="I884" s="947"/>
      <c r="J884" s="947"/>
      <c r="K884" s="947"/>
      <c r="L884" s="942"/>
      <c r="M884" s="951"/>
      <c r="N884" s="942"/>
    </row>
    <row r="885" spans="1:14" ht="27">
      <c r="A885" s="123">
        <v>32</v>
      </c>
      <c r="B885" s="105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5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5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5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5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5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5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5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5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5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5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5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5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5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9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9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9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9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9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9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9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9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9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9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9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9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9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9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9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9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9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9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9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99"/>
      <c r="C1208" s="907" t="s">
        <v>5007</v>
      </c>
      <c r="D1208" s="900" t="s">
        <v>311</v>
      </c>
      <c r="E1208" s="900" t="s">
        <v>675</v>
      </c>
      <c r="F1208" s="907" t="s">
        <v>337</v>
      </c>
      <c r="G1208" s="907" t="s">
        <v>353</v>
      </c>
      <c r="H1208" s="907" t="s">
        <v>5008</v>
      </c>
      <c r="I1208" s="476" t="s">
        <v>5009</v>
      </c>
      <c r="J1208" s="907" t="s">
        <v>638</v>
      </c>
      <c r="K1208" s="907" t="s">
        <v>713</v>
      </c>
      <c r="L1208" s="900" t="s">
        <v>309</v>
      </c>
      <c r="M1208" s="910">
        <v>250000</v>
      </c>
      <c r="N1208" s="900" t="s">
        <v>4990</v>
      </c>
    </row>
    <row r="1209" spans="1:14">
      <c r="A1209" s="123">
        <v>2</v>
      </c>
      <c r="B1209" s="899"/>
      <c r="C1209" s="907"/>
      <c r="D1209" s="900"/>
      <c r="E1209" s="900"/>
      <c r="F1209" s="907"/>
      <c r="G1209" s="907"/>
      <c r="H1209" s="907"/>
      <c r="I1209" s="476" t="s">
        <v>5010</v>
      </c>
      <c r="J1209" s="907"/>
      <c r="K1209" s="907"/>
      <c r="L1209" s="900"/>
      <c r="M1209" s="910"/>
      <c r="N1209" s="900"/>
    </row>
    <row r="1210" spans="1:14">
      <c r="A1210" s="123">
        <v>2</v>
      </c>
      <c r="B1210" s="89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9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9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9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9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9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9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9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9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9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9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9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99"/>
      <c r="C1222" s="907" t="s">
        <v>5033</v>
      </c>
      <c r="D1222" s="900" t="s">
        <v>311</v>
      </c>
      <c r="E1222" s="900" t="s">
        <v>675</v>
      </c>
      <c r="F1222" s="149" t="s">
        <v>5034</v>
      </c>
      <c r="G1222" s="149" t="s">
        <v>5036</v>
      </c>
      <c r="H1222" s="907" t="s">
        <v>347</v>
      </c>
      <c r="I1222" s="149" t="s">
        <v>5038</v>
      </c>
      <c r="J1222" s="907"/>
      <c r="K1222" s="907" t="s">
        <v>705</v>
      </c>
      <c r="L1222" s="900" t="s">
        <v>309</v>
      </c>
      <c r="M1222" s="910">
        <v>500000</v>
      </c>
      <c r="N1222" s="900" t="s">
        <v>5032</v>
      </c>
    </row>
    <row r="1223" spans="1:14">
      <c r="A1223" s="123">
        <v>3</v>
      </c>
      <c r="B1223" s="899"/>
      <c r="C1223" s="907"/>
      <c r="D1223" s="900"/>
      <c r="E1223" s="900"/>
      <c r="F1223" s="149" t="s">
        <v>5035</v>
      </c>
      <c r="G1223" s="149" t="s">
        <v>5037</v>
      </c>
      <c r="H1223" s="907"/>
      <c r="I1223" s="149" t="s">
        <v>5039</v>
      </c>
      <c r="J1223" s="907"/>
      <c r="K1223" s="907"/>
      <c r="L1223" s="900"/>
      <c r="M1223" s="910"/>
      <c r="N1223" s="900"/>
    </row>
    <row r="1224" spans="1:14">
      <c r="A1224" s="123">
        <v>3</v>
      </c>
      <c r="B1224" s="89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9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9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9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9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9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9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9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9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9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9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9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9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9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9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9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9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9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9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9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9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9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9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9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9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9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99"/>
      <c r="C1250" s="907" t="s">
        <v>5098</v>
      </c>
      <c r="D1250" s="900" t="s">
        <v>311</v>
      </c>
      <c r="E1250" s="900" t="s">
        <v>675</v>
      </c>
      <c r="F1250" s="900" t="s">
        <v>4986</v>
      </c>
      <c r="G1250" s="900">
        <v>1017</v>
      </c>
      <c r="H1250" s="900" t="s">
        <v>347</v>
      </c>
      <c r="I1250" s="149" t="s">
        <v>5099</v>
      </c>
      <c r="J1250" s="907"/>
      <c r="K1250" s="907" t="s">
        <v>692</v>
      </c>
      <c r="L1250" s="900" t="s">
        <v>309</v>
      </c>
      <c r="M1250" s="910">
        <v>500000</v>
      </c>
      <c r="N1250" s="900" t="s">
        <v>5032</v>
      </c>
    </row>
    <row r="1251" spans="1:14">
      <c r="A1251" s="123">
        <v>5</v>
      </c>
      <c r="B1251" s="899"/>
      <c r="C1251" s="907"/>
      <c r="D1251" s="900"/>
      <c r="E1251" s="900"/>
      <c r="F1251" s="900"/>
      <c r="G1251" s="900"/>
      <c r="H1251" s="900"/>
      <c r="I1251" s="149" t="s">
        <v>5100</v>
      </c>
      <c r="J1251" s="907"/>
      <c r="K1251" s="907"/>
      <c r="L1251" s="900"/>
      <c r="M1251" s="910"/>
      <c r="N1251" s="900"/>
    </row>
    <row r="1252" spans="1:14">
      <c r="A1252" s="123">
        <v>5</v>
      </c>
      <c r="B1252" s="89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9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99"/>
      <c r="C1254" s="907" t="s">
        <v>5103</v>
      </c>
      <c r="D1254" s="900" t="s">
        <v>311</v>
      </c>
      <c r="E1254" s="900" t="s">
        <v>675</v>
      </c>
      <c r="F1254" s="907" t="s">
        <v>5070</v>
      </c>
      <c r="G1254" s="907">
        <v>3006</v>
      </c>
      <c r="H1254" s="907" t="s">
        <v>347</v>
      </c>
      <c r="I1254" s="476" t="s">
        <v>5104</v>
      </c>
      <c r="J1254" s="907"/>
      <c r="K1254" s="907" t="s">
        <v>705</v>
      </c>
      <c r="L1254" s="900" t="s">
        <v>309</v>
      </c>
      <c r="M1254" s="910">
        <v>500000</v>
      </c>
      <c r="N1254" s="900" t="s">
        <v>5032</v>
      </c>
    </row>
    <row r="1255" spans="1:14">
      <c r="A1255" s="123">
        <v>5</v>
      </c>
      <c r="B1255" s="899"/>
      <c r="C1255" s="907"/>
      <c r="D1255" s="900"/>
      <c r="E1255" s="900"/>
      <c r="F1255" s="907"/>
      <c r="G1255" s="907"/>
      <c r="H1255" s="907"/>
      <c r="I1255" s="476" t="s">
        <v>5105</v>
      </c>
      <c r="J1255" s="907"/>
      <c r="K1255" s="907"/>
      <c r="L1255" s="900"/>
      <c r="M1255" s="910"/>
      <c r="N1255" s="900"/>
    </row>
    <row r="1256" spans="1:14">
      <c r="A1256" s="123">
        <v>5</v>
      </c>
      <c r="B1256" s="899"/>
      <c r="C1256" s="907" t="s">
        <v>5103</v>
      </c>
      <c r="D1256" s="900" t="s">
        <v>311</v>
      </c>
      <c r="E1256" s="900" t="s">
        <v>675</v>
      </c>
      <c r="F1256" s="907" t="s">
        <v>5070</v>
      </c>
      <c r="G1256" s="907">
        <v>3006</v>
      </c>
      <c r="H1256" s="907" t="s">
        <v>347</v>
      </c>
      <c r="I1256" s="476" t="s">
        <v>5104</v>
      </c>
      <c r="J1256" s="907"/>
      <c r="K1256" s="907" t="s">
        <v>4936</v>
      </c>
      <c r="L1256" s="900" t="s">
        <v>309</v>
      </c>
      <c r="M1256" s="910">
        <v>600000</v>
      </c>
      <c r="N1256" s="900" t="s">
        <v>5032</v>
      </c>
    </row>
    <row r="1257" spans="1:14">
      <c r="A1257" s="123">
        <v>5</v>
      </c>
      <c r="B1257" s="899"/>
      <c r="C1257" s="907"/>
      <c r="D1257" s="900"/>
      <c r="E1257" s="900"/>
      <c r="F1257" s="907"/>
      <c r="G1257" s="907"/>
      <c r="H1257" s="907"/>
      <c r="I1257" s="476" t="s">
        <v>5105</v>
      </c>
      <c r="J1257" s="907"/>
      <c r="K1257" s="907"/>
      <c r="L1257" s="900"/>
      <c r="M1257" s="910"/>
      <c r="N1257" s="900"/>
    </row>
    <row r="1258" spans="1:14">
      <c r="A1258" s="123">
        <v>5</v>
      </c>
      <c r="B1258" s="89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9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9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9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9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9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9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9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9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9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99"/>
      <c r="C1268" s="907" t="s">
        <v>5122</v>
      </c>
      <c r="D1268" s="900" t="s">
        <v>311</v>
      </c>
      <c r="E1268" s="900" t="s">
        <v>675</v>
      </c>
      <c r="F1268" s="149" t="s">
        <v>5123</v>
      </c>
      <c r="G1268" s="475" t="s">
        <v>5125</v>
      </c>
      <c r="H1268" s="389" t="s">
        <v>347</v>
      </c>
      <c r="I1268" s="907" t="s">
        <v>5128</v>
      </c>
      <c r="J1268" s="907" t="s">
        <v>638</v>
      </c>
      <c r="K1268" s="907" t="s">
        <v>692</v>
      </c>
      <c r="L1268" s="900" t="s">
        <v>309</v>
      </c>
      <c r="M1268" s="910">
        <v>500000</v>
      </c>
      <c r="N1268" s="900" t="s">
        <v>1772</v>
      </c>
    </row>
    <row r="1269" spans="1:14">
      <c r="A1269" s="123">
        <v>6</v>
      </c>
      <c r="B1269" s="899"/>
      <c r="C1269" s="907"/>
      <c r="D1269" s="900"/>
      <c r="E1269" s="900"/>
      <c r="F1269" s="149" t="s">
        <v>5124</v>
      </c>
      <c r="G1269" s="475" t="s">
        <v>5126</v>
      </c>
      <c r="H1269" s="389" t="s">
        <v>5127</v>
      </c>
      <c r="I1269" s="907"/>
      <c r="J1269" s="907"/>
      <c r="K1269" s="907"/>
      <c r="L1269" s="900"/>
      <c r="M1269" s="910"/>
      <c r="N1269" s="900"/>
    </row>
    <row r="1270" spans="1:14" ht="24">
      <c r="A1270" s="123">
        <v>6</v>
      </c>
      <c r="B1270" s="89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9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9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9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9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9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9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9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9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9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9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9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9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9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9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9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9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9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9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99"/>
      <c r="C1289" s="906" t="s">
        <v>5158</v>
      </c>
      <c r="D1289" s="908" t="s">
        <v>311</v>
      </c>
      <c r="E1289" s="908" t="s">
        <v>675</v>
      </c>
      <c r="F1289" s="506" t="s">
        <v>5123</v>
      </c>
      <c r="G1289" s="507" t="s">
        <v>5125</v>
      </c>
      <c r="H1289" s="507" t="s">
        <v>347</v>
      </c>
      <c r="I1289" s="906" t="s">
        <v>5128</v>
      </c>
      <c r="J1289" s="906"/>
      <c r="K1289" s="906" t="s">
        <v>692</v>
      </c>
      <c r="L1289" s="908" t="s">
        <v>309</v>
      </c>
      <c r="M1289" s="909">
        <v>500000</v>
      </c>
      <c r="N1289" s="900" t="s">
        <v>5032</v>
      </c>
    </row>
    <row r="1290" spans="1:14" ht="19.5">
      <c r="A1290" s="123">
        <v>8</v>
      </c>
      <c r="B1290" s="899"/>
      <c r="C1290" s="907"/>
      <c r="D1290" s="900"/>
      <c r="E1290" s="900"/>
      <c r="F1290" s="149" t="s">
        <v>5124</v>
      </c>
      <c r="G1290" s="475" t="s">
        <v>5126</v>
      </c>
      <c r="H1290" s="477" t="s">
        <v>5127</v>
      </c>
      <c r="I1290" s="907"/>
      <c r="J1290" s="907"/>
      <c r="K1290" s="907"/>
      <c r="L1290" s="900"/>
      <c r="M1290" s="910"/>
      <c r="N1290" s="900"/>
    </row>
    <row r="1291" spans="1:14">
      <c r="A1291" s="123">
        <v>8</v>
      </c>
      <c r="B1291" s="899"/>
      <c r="C1291" s="906" t="s">
        <v>5159</v>
      </c>
      <c r="D1291" s="908" t="s">
        <v>311</v>
      </c>
      <c r="E1291" s="908" t="s">
        <v>320</v>
      </c>
      <c r="F1291" s="913" t="s">
        <v>709</v>
      </c>
      <c r="G1291" s="906" t="s">
        <v>3098</v>
      </c>
      <c r="H1291" s="906" t="s">
        <v>3099</v>
      </c>
      <c r="I1291" s="506" t="s">
        <v>5312</v>
      </c>
      <c r="J1291" s="906" t="s">
        <v>638</v>
      </c>
      <c r="K1291" s="906" t="s">
        <v>713</v>
      </c>
      <c r="L1291" s="908" t="s">
        <v>309</v>
      </c>
      <c r="M1291" s="909">
        <v>250000</v>
      </c>
      <c r="N1291" s="900" t="s">
        <v>5032</v>
      </c>
    </row>
    <row r="1292" spans="1:14">
      <c r="A1292" s="123">
        <v>8</v>
      </c>
      <c r="B1292" s="899"/>
      <c r="C1292" s="907"/>
      <c r="D1292" s="900"/>
      <c r="E1292" s="900"/>
      <c r="F1292" s="914"/>
      <c r="G1292" s="907"/>
      <c r="H1292" s="907"/>
      <c r="I1292" s="149" t="s">
        <v>5160</v>
      </c>
      <c r="J1292" s="907"/>
      <c r="K1292" s="907"/>
      <c r="L1292" s="900"/>
      <c r="M1292" s="910"/>
      <c r="N1292" s="900"/>
    </row>
    <row r="1293" spans="1:14">
      <c r="A1293" s="123">
        <v>8</v>
      </c>
      <c r="B1293" s="899"/>
      <c r="C1293" s="906" t="s">
        <v>5161</v>
      </c>
      <c r="D1293" s="908" t="s">
        <v>311</v>
      </c>
      <c r="E1293" s="908" t="s">
        <v>320</v>
      </c>
      <c r="F1293" s="906" t="s">
        <v>337</v>
      </c>
      <c r="G1293" s="906" t="s">
        <v>3168</v>
      </c>
      <c r="H1293" s="906" t="s">
        <v>3057</v>
      </c>
      <c r="I1293" s="506" t="s">
        <v>5313</v>
      </c>
      <c r="J1293" s="906" t="s">
        <v>638</v>
      </c>
      <c r="K1293" s="906" t="s">
        <v>692</v>
      </c>
      <c r="L1293" s="908" t="s">
        <v>309</v>
      </c>
      <c r="M1293" s="909">
        <v>500000</v>
      </c>
      <c r="N1293" s="900" t="s">
        <v>1206</v>
      </c>
    </row>
    <row r="1294" spans="1:14">
      <c r="A1294" s="123">
        <v>8</v>
      </c>
      <c r="B1294" s="899"/>
      <c r="C1294" s="907"/>
      <c r="D1294" s="900"/>
      <c r="E1294" s="900"/>
      <c r="F1294" s="907"/>
      <c r="G1294" s="907"/>
      <c r="H1294" s="907"/>
      <c r="I1294" s="149" t="s">
        <v>5162</v>
      </c>
      <c r="J1294" s="907"/>
      <c r="K1294" s="907"/>
      <c r="L1294" s="900"/>
      <c r="M1294" s="910"/>
      <c r="N1294" s="900"/>
    </row>
    <row r="1295" spans="1:14">
      <c r="A1295" s="123">
        <v>9</v>
      </c>
      <c r="B1295" s="89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9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9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9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9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9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9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9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9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99"/>
      <c r="C1304" s="906" t="s">
        <v>5175</v>
      </c>
      <c r="D1304" s="908" t="s">
        <v>311</v>
      </c>
      <c r="E1304" s="908" t="s">
        <v>320</v>
      </c>
      <c r="F1304" s="906" t="s">
        <v>337</v>
      </c>
      <c r="G1304" s="906" t="s">
        <v>3168</v>
      </c>
      <c r="H1304" s="906" t="s">
        <v>3057</v>
      </c>
      <c r="I1304" s="510" t="s">
        <v>5176</v>
      </c>
      <c r="J1304" s="906" t="s">
        <v>638</v>
      </c>
      <c r="K1304" s="906" t="s">
        <v>713</v>
      </c>
      <c r="L1304" s="908" t="s">
        <v>309</v>
      </c>
      <c r="M1304" s="909">
        <v>250000</v>
      </c>
      <c r="N1304" s="900" t="s">
        <v>5032</v>
      </c>
    </row>
    <row r="1305" spans="1:14">
      <c r="A1305" s="123">
        <v>9</v>
      </c>
      <c r="B1305" s="899"/>
      <c r="C1305" s="907"/>
      <c r="D1305" s="900"/>
      <c r="E1305" s="900"/>
      <c r="F1305" s="907"/>
      <c r="G1305" s="907"/>
      <c r="H1305" s="907"/>
      <c r="I1305" s="476" t="s">
        <v>5177</v>
      </c>
      <c r="J1305" s="907"/>
      <c r="K1305" s="907"/>
      <c r="L1305" s="900"/>
      <c r="M1305" s="910"/>
      <c r="N1305" s="900"/>
    </row>
    <row r="1306" spans="1:14">
      <c r="A1306" s="123">
        <v>9</v>
      </c>
      <c r="B1306" s="899"/>
      <c r="C1306" s="906" t="s">
        <v>5175</v>
      </c>
      <c r="D1306" s="908" t="s">
        <v>311</v>
      </c>
      <c r="E1306" s="908" t="s">
        <v>320</v>
      </c>
      <c r="F1306" s="906" t="s">
        <v>5178</v>
      </c>
      <c r="G1306" s="506" t="s">
        <v>689</v>
      </c>
      <c r="H1306" s="906" t="s">
        <v>5180</v>
      </c>
      <c r="I1306" s="506" t="s">
        <v>5315</v>
      </c>
      <c r="J1306" s="906"/>
      <c r="K1306" s="906" t="s">
        <v>713</v>
      </c>
      <c r="L1306" s="908" t="s">
        <v>309</v>
      </c>
      <c r="M1306" s="909">
        <v>250000</v>
      </c>
      <c r="N1306" s="900" t="s">
        <v>5032</v>
      </c>
    </row>
    <row r="1307" spans="1:14">
      <c r="A1307" s="123">
        <v>9</v>
      </c>
      <c r="B1307" s="899"/>
      <c r="C1307" s="907"/>
      <c r="D1307" s="900"/>
      <c r="E1307" s="900"/>
      <c r="F1307" s="907"/>
      <c r="G1307" s="149" t="s">
        <v>5179</v>
      </c>
      <c r="H1307" s="907"/>
      <c r="I1307" s="149" t="s">
        <v>5181</v>
      </c>
      <c r="J1307" s="907"/>
      <c r="K1307" s="907"/>
      <c r="L1307" s="900"/>
      <c r="M1307" s="910"/>
      <c r="N1307" s="900"/>
    </row>
    <row r="1308" spans="1:14">
      <c r="A1308" s="123">
        <v>9</v>
      </c>
      <c r="B1308" s="89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99"/>
      <c r="C1309" s="906" t="s">
        <v>5183</v>
      </c>
      <c r="D1309" s="908" t="s">
        <v>311</v>
      </c>
      <c r="E1309" s="908" t="s">
        <v>320</v>
      </c>
      <c r="F1309" s="906" t="s">
        <v>337</v>
      </c>
      <c r="G1309" s="506" t="s">
        <v>3401</v>
      </c>
      <c r="H1309" s="906" t="s">
        <v>5029</v>
      </c>
      <c r="I1309" s="906" t="s">
        <v>5316</v>
      </c>
      <c r="J1309" s="906"/>
      <c r="K1309" s="906" t="s">
        <v>692</v>
      </c>
      <c r="L1309" s="908" t="s">
        <v>309</v>
      </c>
      <c r="M1309" s="909">
        <v>500000</v>
      </c>
      <c r="N1309" s="900" t="s">
        <v>5032</v>
      </c>
    </row>
    <row r="1310" spans="1:14">
      <c r="A1310" s="123">
        <v>9</v>
      </c>
      <c r="B1310" s="899"/>
      <c r="C1310" s="907"/>
      <c r="D1310" s="900"/>
      <c r="E1310" s="900"/>
      <c r="F1310" s="907"/>
      <c r="G1310" s="149" t="s">
        <v>5184</v>
      </c>
      <c r="H1310" s="907"/>
      <c r="I1310" s="907"/>
      <c r="J1310" s="907"/>
      <c r="K1310" s="907"/>
      <c r="L1310" s="900"/>
      <c r="M1310" s="910"/>
      <c r="N1310" s="900"/>
    </row>
    <row r="1311" spans="1:14" ht="24">
      <c r="A1311" s="123">
        <v>9</v>
      </c>
      <c r="B1311" s="89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99"/>
      <c r="C1312" s="906" t="s">
        <v>5187</v>
      </c>
      <c r="D1312" s="908" t="s">
        <v>311</v>
      </c>
      <c r="E1312" s="908" t="s">
        <v>675</v>
      </c>
      <c r="F1312" s="906" t="s">
        <v>5188</v>
      </c>
      <c r="G1312" s="507" t="s">
        <v>1919</v>
      </c>
      <c r="H1312" s="906" t="s">
        <v>347</v>
      </c>
      <c r="I1312" s="906" t="s">
        <v>5319</v>
      </c>
      <c r="J1312" s="906"/>
      <c r="K1312" s="906" t="s">
        <v>692</v>
      </c>
      <c r="L1312" s="908" t="s">
        <v>309</v>
      </c>
      <c r="M1312" s="911">
        <v>500000</v>
      </c>
      <c r="N1312" s="900" t="s">
        <v>1925</v>
      </c>
    </row>
    <row r="1313" spans="1:14">
      <c r="A1313" s="123">
        <v>9</v>
      </c>
      <c r="B1313" s="899"/>
      <c r="C1313" s="907"/>
      <c r="D1313" s="900"/>
      <c r="E1313" s="900"/>
      <c r="F1313" s="907"/>
      <c r="G1313" s="475" t="s">
        <v>5189</v>
      </c>
      <c r="H1313" s="907"/>
      <c r="I1313" s="907"/>
      <c r="J1313" s="907"/>
      <c r="K1313" s="907"/>
      <c r="L1313" s="900"/>
      <c r="M1313" s="912"/>
      <c r="N1313" s="900"/>
    </row>
    <row r="1314" spans="1:14">
      <c r="A1314" s="123">
        <v>10</v>
      </c>
      <c r="B1314" s="89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9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9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9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9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9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9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99"/>
      <c r="C1321" s="907" t="s">
        <v>5201</v>
      </c>
      <c r="D1321" s="900" t="s">
        <v>311</v>
      </c>
      <c r="E1321" s="900" t="s">
        <v>320</v>
      </c>
      <c r="F1321" s="907" t="s">
        <v>337</v>
      </c>
      <c r="G1321" s="907" t="s">
        <v>3168</v>
      </c>
      <c r="H1321" s="907" t="s">
        <v>3057</v>
      </c>
      <c r="I1321" s="476" t="s">
        <v>5176</v>
      </c>
      <c r="J1321" s="907" t="s">
        <v>638</v>
      </c>
      <c r="K1321" s="907" t="s">
        <v>705</v>
      </c>
      <c r="L1321" s="900" t="s">
        <v>309</v>
      </c>
      <c r="M1321" s="910">
        <v>500000</v>
      </c>
      <c r="N1321" s="900" t="s">
        <v>1206</v>
      </c>
    </row>
    <row r="1322" spans="1:14">
      <c r="A1322" s="123">
        <v>10</v>
      </c>
      <c r="B1322" s="899"/>
      <c r="C1322" s="907"/>
      <c r="D1322" s="900"/>
      <c r="E1322" s="900"/>
      <c r="F1322" s="907"/>
      <c r="G1322" s="907"/>
      <c r="H1322" s="907"/>
      <c r="I1322" s="476" t="s">
        <v>5177</v>
      </c>
      <c r="J1322" s="907"/>
      <c r="K1322" s="907"/>
      <c r="L1322" s="900"/>
      <c r="M1322" s="910"/>
      <c r="N1322" s="900"/>
    </row>
    <row r="1323" spans="1:14">
      <c r="A1323" s="123">
        <v>10</v>
      </c>
      <c r="B1323" s="89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9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9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99"/>
      <c r="C1326" s="907" t="s">
        <v>5202</v>
      </c>
      <c r="D1326" s="900" t="s">
        <v>311</v>
      </c>
      <c r="E1326" s="900" t="s">
        <v>320</v>
      </c>
      <c r="F1326" s="907" t="s">
        <v>337</v>
      </c>
      <c r="G1326" s="907" t="s">
        <v>3168</v>
      </c>
      <c r="H1326" s="907" t="s">
        <v>3057</v>
      </c>
      <c r="I1326" s="476" t="s">
        <v>5176</v>
      </c>
      <c r="J1326" s="907"/>
      <c r="K1326" s="907" t="s">
        <v>705</v>
      </c>
      <c r="L1326" s="900" t="s">
        <v>309</v>
      </c>
      <c r="M1326" s="910">
        <v>500000</v>
      </c>
      <c r="N1326" s="900" t="s">
        <v>1206</v>
      </c>
    </row>
    <row r="1327" spans="1:14">
      <c r="A1327" s="123">
        <v>10</v>
      </c>
      <c r="B1327" s="899"/>
      <c r="C1327" s="907"/>
      <c r="D1327" s="900"/>
      <c r="E1327" s="900"/>
      <c r="F1327" s="907"/>
      <c r="G1327" s="907"/>
      <c r="H1327" s="907"/>
      <c r="I1327" s="476" t="s">
        <v>5177</v>
      </c>
      <c r="J1327" s="907"/>
      <c r="K1327" s="907"/>
      <c r="L1327" s="900"/>
      <c r="M1327" s="910"/>
      <c r="N1327" s="900"/>
    </row>
    <row r="1328" spans="1:14" ht="25.5">
      <c r="A1328" s="123">
        <v>10</v>
      </c>
      <c r="B1328" s="89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99"/>
      <c r="C1329" s="906" t="s">
        <v>5209</v>
      </c>
      <c r="D1329" s="908" t="s">
        <v>311</v>
      </c>
      <c r="E1329" s="908" t="s">
        <v>675</v>
      </c>
      <c r="F1329" s="506" t="s">
        <v>5210</v>
      </c>
      <c r="G1329" s="906" t="s">
        <v>5212</v>
      </c>
      <c r="H1329" s="906" t="s">
        <v>662</v>
      </c>
      <c r="I1329" s="906" t="s">
        <v>5321</v>
      </c>
      <c r="J1329" s="906" t="s">
        <v>638</v>
      </c>
      <c r="K1329" s="906" t="s">
        <v>713</v>
      </c>
      <c r="L1329" s="908" t="s">
        <v>309</v>
      </c>
      <c r="M1329" s="909">
        <v>250000</v>
      </c>
      <c r="N1329" s="900" t="s">
        <v>5032</v>
      </c>
    </row>
    <row r="1330" spans="1:14">
      <c r="A1330" s="123">
        <v>10</v>
      </c>
      <c r="B1330" s="899"/>
      <c r="C1330" s="907"/>
      <c r="D1330" s="900"/>
      <c r="E1330" s="900"/>
      <c r="F1330" s="149" t="s">
        <v>5211</v>
      </c>
      <c r="G1330" s="907"/>
      <c r="H1330" s="907"/>
      <c r="I1330" s="907"/>
      <c r="J1330" s="907"/>
      <c r="K1330" s="907"/>
      <c r="L1330" s="900"/>
      <c r="M1330" s="910"/>
      <c r="N1330" s="900"/>
    </row>
    <row r="1331" spans="1:14">
      <c r="A1331" s="123">
        <v>10</v>
      </c>
      <c r="B1331" s="899"/>
      <c r="C1331" s="906" t="s">
        <v>5213</v>
      </c>
      <c r="D1331" s="908" t="s">
        <v>311</v>
      </c>
      <c r="E1331" s="908" t="s">
        <v>675</v>
      </c>
      <c r="F1331" s="906" t="s">
        <v>5214</v>
      </c>
      <c r="G1331" s="507" t="s">
        <v>5126</v>
      </c>
      <c r="H1331" s="901" t="s">
        <v>347</v>
      </c>
      <c r="I1331" s="506" t="s">
        <v>5322</v>
      </c>
      <c r="J1331" s="906"/>
      <c r="K1331" s="906" t="s">
        <v>692</v>
      </c>
      <c r="L1331" s="908" t="s">
        <v>309</v>
      </c>
      <c r="M1331" s="909">
        <v>500000</v>
      </c>
      <c r="N1331" s="900" t="s">
        <v>5032</v>
      </c>
    </row>
    <row r="1332" spans="1:14">
      <c r="A1332" s="123">
        <v>10</v>
      </c>
      <c r="B1332" s="899"/>
      <c r="C1332" s="907"/>
      <c r="D1332" s="900"/>
      <c r="E1332" s="900"/>
      <c r="F1332" s="907"/>
      <c r="G1332" s="475" t="s">
        <v>5215</v>
      </c>
      <c r="H1332" s="902"/>
      <c r="I1332" s="149" t="s">
        <v>5217</v>
      </c>
      <c r="J1332" s="907"/>
      <c r="K1332" s="907"/>
      <c r="L1332" s="900"/>
      <c r="M1332" s="910"/>
      <c r="N1332" s="900"/>
    </row>
    <row r="1333" spans="1:14">
      <c r="A1333" s="123">
        <v>11</v>
      </c>
      <c r="B1333" s="89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9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9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9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9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9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99" t="s">
        <v>5163</v>
      </c>
      <c r="C1339" s="901" t="s">
        <v>5218</v>
      </c>
      <c r="D1339" s="903" t="s">
        <v>311</v>
      </c>
      <c r="E1339" s="903" t="s">
        <v>675</v>
      </c>
      <c r="F1339" s="901" t="s">
        <v>5214</v>
      </c>
      <c r="G1339" s="510" t="s">
        <v>5126</v>
      </c>
      <c r="H1339" s="901" t="s">
        <v>347</v>
      </c>
      <c r="I1339" s="510" t="s">
        <v>5216</v>
      </c>
      <c r="J1339" s="901"/>
      <c r="K1339" s="901" t="s">
        <v>692</v>
      </c>
      <c r="L1339" s="903" t="s">
        <v>309</v>
      </c>
      <c r="M1339" s="904">
        <v>500000</v>
      </c>
      <c r="N1339" s="902" t="s">
        <v>5225</v>
      </c>
    </row>
    <row r="1340" spans="1:14">
      <c r="A1340" s="123">
        <v>11</v>
      </c>
      <c r="B1340" s="899"/>
      <c r="C1340" s="902"/>
      <c r="D1340" s="897"/>
      <c r="E1340" s="897"/>
      <c r="F1340" s="902"/>
      <c r="G1340" s="476" t="s">
        <v>5215</v>
      </c>
      <c r="H1340" s="902"/>
      <c r="I1340" s="476" t="s">
        <v>5217</v>
      </c>
      <c r="J1340" s="902"/>
      <c r="K1340" s="902"/>
      <c r="L1340" s="897"/>
      <c r="M1340" s="905"/>
      <c r="N1340" s="902"/>
    </row>
    <row r="1341" spans="1:14">
      <c r="A1341" s="123">
        <v>11</v>
      </c>
      <c r="B1341" s="89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9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9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9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9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9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9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9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9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9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9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9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9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9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9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9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9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9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9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9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9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9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9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9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9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9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9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9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97" t="s">
        <v>5443</v>
      </c>
    </row>
    <row r="1370" spans="1:14">
      <c r="A1370" s="123">
        <v>14</v>
      </c>
      <c r="B1370" s="89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97"/>
    </row>
    <row r="1371" spans="1:14">
      <c r="A1371" s="123">
        <v>14</v>
      </c>
      <c r="B1371" s="89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9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9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9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9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9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9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9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9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9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9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9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9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9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9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9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9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1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1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1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1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9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9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9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9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9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9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9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9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9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9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6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106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106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106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106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106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106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106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91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91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91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91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92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91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919"/>
      <c r="C1439" s="1072" t="s">
        <v>5860</v>
      </c>
      <c r="D1439" s="1073" t="s">
        <v>311</v>
      </c>
      <c r="E1439" s="1073" t="s">
        <v>320</v>
      </c>
      <c r="F1439" s="1074" t="s">
        <v>5188</v>
      </c>
      <c r="G1439" s="678" t="s">
        <v>1919</v>
      </c>
      <c r="H1439" s="1074" t="s">
        <v>347</v>
      </c>
      <c r="I1439" s="1074" t="s">
        <v>5870</v>
      </c>
      <c r="J1439" s="1074"/>
      <c r="K1439" s="1074" t="s">
        <v>692</v>
      </c>
      <c r="L1439" s="1073" t="s">
        <v>309</v>
      </c>
      <c r="M1439" s="1075">
        <v>500000</v>
      </c>
      <c r="N1439" s="1059"/>
    </row>
    <row r="1440" spans="1:14">
      <c r="A1440" s="728">
        <v>20</v>
      </c>
      <c r="B1440" s="919"/>
      <c r="C1440" s="1072"/>
      <c r="D1440" s="1073"/>
      <c r="E1440" s="1073"/>
      <c r="F1440" s="1074"/>
      <c r="G1440" s="678" t="s">
        <v>5189</v>
      </c>
      <c r="H1440" s="1074"/>
      <c r="I1440" s="1074"/>
      <c r="J1440" s="1074"/>
      <c r="K1440" s="1074"/>
      <c r="L1440" s="1073"/>
      <c r="M1440" s="1075"/>
      <c r="N1440" s="1059"/>
    </row>
    <row r="1441" spans="1:14" ht="24">
      <c r="A1441" s="728">
        <v>20</v>
      </c>
      <c r="B1441" s="92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9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9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9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9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9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9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9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9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9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9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9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6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62" t="s">
        <v>5942</v>
      </c>
    </row>
    <row r="1454" spans="1:14">
      <c r="A1454" s="740">
        <v>22</v>
      </c>
      <c r="B1454" s="106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63"/>
    </row>
    <row r="1455" spans="1:14">
      <c r="A1455" s="740">
        <v>22</v>
      </c>
      <c r="B1455" s="106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6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6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6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6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65" t="s">
        <v>3274</v>
      </c>
      <c r="K1459" s="1065" t="s">
        <v>3454</v>
      </c>
      <c r="L1459" s="664" t="s">
        <v>3265</v>
      </c>
      <c r="M1459" s="889">
        <v>250000</v>
      </c>
      <c r="N1459" s="725" t="s">
        <v>5964</v>
      </c>
    </row>
    <row r="1460" spans="1:14">
      <c r="A1460" s="740">
        <v>22</v>
      </c>
      <c r="B1460" s="106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66"/>
      <c r="K1460" s="1066"/>
      <c r="L1460" s="664" t="s">
        <v>3265</v>
      </c>
      <c r="M1460" s="891"/>
      <c r="N1460" s="725" t="s">
        <v>5965</v>
      </c>
    </row>
    <row r="1461" spans="1:14">
      <c r="A1461" s="740">
        <v>22</v>
      </c>
      <c r="B1461" s="106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6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106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106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67" t="s">
        <v>5920</v>
      </c>
      <c r="L1464" s="664" t="s">
        <v>15</v>
      </c>
      <c r="M1464" s="889">
        <v>500000</v>
      </c>
      <c r="N1464" s="725" t="s">
        <v>5969</v>
      </c>
    </row>
    <row r="1465" spans="1:14">
      <c r="A1465" s="740">
        <v>22</v>
      </c>
      <c r="B1465" s="106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68"/>
      <c r="L1465" s="664" t="s">
        <v>15</v>
      </c>
      <c r="M1465" s="891"/>
      <c r="N1465" s="725" t="s">
        <v>5970</v>
      </c>
    </row>
    <row r="1466" spans="1:14">
      <c r="A1466" s="765">
        <v>23</v>
      </c>
      <c r="B1466" s="892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92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92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92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92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92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0" t="s">
        <v>90</v>
      </c>
      <c r="K1474" s="1070" t="s">
        <v>6007</v>
      </c>
      <c r="L1474" s="136" t="s">
        <v>15</v>
      </c>
      <c r="M1474" s="1071">
        <v>250000</v>
      </c>
      <c r="N1474" s="664"/>
    </row>
    <row r="1475" spans="1:14" ht="27">
      <c r="A1475" s="765">
        <v>23</v>
      </c>
      <c r="B1475" s="892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70"/>
      <c r="K1475" s="1070"/>
      <c r="L1475" s="136" t="s">
        <v>15</v>
      </c>
      <c r="M1475" s="1071"/>
      <c r="N1475" s="664"/>
    </row>
    <row r="1476" spans="1:14">
      <c r="A1476" s="765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92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92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9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92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9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92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92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92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9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92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6377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84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85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85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85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85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85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84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85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85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85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85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85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85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85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85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85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85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85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84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6316</v>
      </c>
      <c r="H1527" s="650" t="s">
        <v>18</v>
      </c>
      <c r="I1527" s="815" t="s">
        <v>6317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6315</v>
      </c>
    </row>
    <row r="1528" spans="1:14" ht="24">
      <c r="A1528" s="765">
        <v>26</v>
      </c>
      <c r="B1528" s="885"/>
      <c r="C1528" s="658" t="s">
        <v>6319</v>
      </c>
      <c r="D1528" s="791" t="s">
        <v>19</v>
      </c>
      <c r="E1528" s="646" t="s">
        <v>25</v>
      </c>
      <c r="F1528" s="647" t="s">
        <v>5838</v>
      </c>
      <c r="G1528" s="647" t="s">
        <v>6316</v>
      </c>
      <c r="H1528" s="650" t="s">
        <v>18</v>
      </c>
      <c r="I1528" s="815" t="s">
        <v>6317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85"/>
      <c r="C1529" s="658" t="s">
        <v>6319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6325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85"/>
      <c r="C1530" s="658" t="s">
        <v>6321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6322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85"/>
      <c r="C1531" s="658" t="s">
        <v>6321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6320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85"/>
      <c r="C1532" s="675" t="s">
        <v>6323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6324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6318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6315</v>
      </c>
    </row>
    <row r="1534" spans="1:14">
      <c r="A1534" s="765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6289</v>
      </c>
      <c r="J1534" s="68" t="s">
        <v>6293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>
      <c r="A1535" s="765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>
      <c r="A1536" s="765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>
      <c r="A1537" s="765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6303</v>
      </c>
      <c r="J1538" s="68" t="s">
        <v>6305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852">
        <v>27</v>
      </c>
      <c r="B1541" s="892" t="s">
        <v>20</v>
      </c>
      <c r="C1541" s="658">
        <v>46207</v>
      </c>
      <c r="D1541" s="791" t="s">
        <v>6434</v>
      </c>
      <c r="E1541" s="646" t="s">
        <v>6435</v>
      </c>
      <c r="F1541" s="647" t="s">
        <v>6436</v>
      </c>
      <c r="G1541" s="647" t="s">
        <v>6437</v>
      </c>
      <c r="H1541" s="650" t="s">
        <v>6438</v>
      </c>
      <c r="I1541" s="826" t="s">
        <v>6467</v>
      </c>
      <c r="J1541" s="647" t="s">
        <v>6439</v>
      </c>
      <c r="K1541" s="826" t="s">
        <v>6440</v>
      </c>
      <c r="L1541" s="764" t="s">
        <v>6441</v>
      </c>
      <c r="M1541" s="824">
        <v>250000</v>
      </c>
      <c r="N1541" s="725" t="s">
        <v>6433</v>
      </c>
    </row>
    <row r="1542" spans="1:14">
      <c r="A1542" s="852">
        <v>27</v>
      </c>
      <c r="B1542" s="892"/>
      <c r="C1542" s="658" t="s">
        <v>6453</v>
      </c>
      <c r="D1542" s="791" t="s">
        <v>6434</v>
      </c>
      <c r="E1542" s="646" t="s">
        <v>6435</v>
      </c>
      <c r="F1542" s="647" t="s">
        <v>6436</v>
      </c>
      <c r="G1542" s="647" t="s">
        <v>6450</v>
      </c>
      <c r="H1542" s="650" t="s">
        <v>6451</v>
      </c>
      <c r="I1542" s="826" t="s">
        <v>6466</v>
      </c>
      <c r="J1542" s="647" t="s">
        <v>6452</v>
      </c>
      <c r="K1542" s="826" t="s">
        <v>6454</v>
      </c>
      <c r="L1542" s="764" t="s">
        <v>6441</v>
      </c>
      <c r="M1542" s="824">
        <f>250000*2</f>
        <v>500000</v>
      </c>
      <c r="N1542" s="725"/>
    </row>
    <row r="1543" spans="1:14">
      <c r="A1543" s="852">
        <v>27</v>
      </c>
      <c r="B1543" s="892"/>
      <c r="C1543" s="658" t="s">
        <v>6462</v>
      </c>
      <c r="D1543" s="791" t="s">
        <v>6434</v>
      </c>
      <c r="E1543" s="646" t="s">
        <v>6435</v>
      </c>
      <c r="F1543" s="647" t="s">
        <v>6436</v>
      </c>
      <c r="G1543" s="647">
        <v>7065</v>
      </c>
      <c r="H1543" s="650" t="s">
        <v>6455</v>
      </c>
      <c r="I1543" s="826" t="s">
        <v>6456</v>
      </c>
      <c r="J1543" s="647"/>
      <c r="K1543" s="826" t="s">
        <v>6457</v>
      </c>
      <c r="L1543" s="764" t="s">
        <v>6441</v>
      </c>
      <c r="M1543" s="824">
        <f>250000*3</f>
        <v>750000</v>
      </c>
      <c r="N1543" s="725"/>
    </row>
    <row r="1544" spans="1:14">
      <c r="A1544" s="852">
        <v>27</v>
      </c>
      <c r="B1544" s="892"/>
      <c r="C1544" s="658" t="s">
        <v>6462</v>
      </c>
      <c r="D1544" s="791" t="s">
        <v>6434</v>
      </c>
      <c r="E1544" s="646" t="s">
        <v>6435</v>
      </c>
      <c r="F1544" s="647" t="s">
        <v>6436</v>
      </c>
      <c r="G1544" s="647" t="s">
        <v>6458</v>
      </c>
      <c r="H1544" s="650" t="s">
        <v>6459</v>
      </c>
      <c r="I1544" s="826" t="s">
        <v>6460</v>
      </c>
      <c r="J1544" s="647"/>
      <c r="K1544" s="826" t="s">
        <v>6461</v>
      </c>
      <c r="L1544" s="764" t="s">
        <v>6441</v>
      </c>
      <c r="M1544" s="824">
        <f>250000*3</f>
        <v>750000</v>
      </c>
      <c r="N1544" s="725"/>
    </row>
    <row r="1545" spans="1:14">
      <c r="A1545" s="852">
        <v>27</v>
      </c>
      <c r="B1545" s="892"/>
      <c r="C1545" s="658" t="s">
        <v>6453</v>
      </c>
      <c r="D1545" s="791" t="s">
        <v>6434</v>
      </c>
      <c r="E1545" s="646" t="s">
        <v>6435</v>
      </c>
      <c r="F1545" s="647" t="s">
        <v>6436</v>
      </c>
      <c r="G1545" s="647" t="s">
        <v>6437</v>
      </c>
      <c r="H1545" s="650" t="s">
        <v>6463</v>
      </c>
      <c r="I1545" s="826" t="s">
        <v>6464</v>
      </c>
      <c r="J1545" s="647" t="s">
        <v>6439</v>
      </c>
      <c r="K1545" s="826" t="s">
        <v>6465</v>
      </c>
      <c r="L1545" s="764" t="s">
        <v>6441</v>
      </c>
      <c r="M1545" s="824">
        <f>250000*2</f>
        <v>500000</v>
      </c>
      <c r="N1545" s="725"/>
    </row>
    <row r="1546" spans="1:14">
      <c r="A1546" s="852">
        <v>27</v>
      </c>
      <c r="B1546" s="892"/>
      <c r="C1546" s="675" t="s">
        <v>6462</v>
      </c>
      <c r="D1546" s="791" t="s">
        <v>6434</v>
      </c>
      <c r="E1546" s="646" t="s">
        <v>6435</v>
      </c>
      <c r="F1546" s="647" t="s">
        <v>6436</v>
      </c>
      <c r="G1546" s="700" t="s">
        <v>6450</v>
      </c>
      <c r="H1546" s="700" t="s">
        <v>6451</v>
      </c>
      <c r="I1546" s="701" t="s">
        <v>6467</v>
      </c>
      <c r="J1546" s="647" t="s">
        <v>6439</v>
      </c>
      <c r="K1546" s="826" t="s">
        <v>6461</v>
      </c>
      <c r="L1546" s="764" t="s">
        <v>6441</v>
      </c>
      <c r="M1546" s="824">
        <f>250000*3</f>
        <v>750000</v>
      </c>
      <c r="N1546" s="723"/>
    </row>
    <row r="1547" spans="1:14">
      <c r="A1547" s="852">
        <v>27</v>
      </c>
      <c r="B1547" s="892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6444</v>
      </c>
      <c r="J1547" s="667"/>
      <c r="K1547" s="666" t="s">
        <v>6443</v>
      </c>
      <c r="L1547" s="664" t="s">
        <v>6359</v>
      </c>
      <c r="M1547" s="825">
        <v>300000</v>
      </c>
      <c r="N1547" s="725" t="s">
        <v>6445</v>
      </c>
    </row>
    <row r="1548" spans="1:14">
      <c r="A1548" s="852">
        <v>27</v>
      </c>
      <c r="B1548" s="892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6402</v>
      </c>
      <c r="J1548" s="667" t="s">
        <v>6408</v>
      </c>
      <c r="K1548" s="666" t="s">
        <v>6358</v>
      </c>
      <c r="L1548" s="664" t="s">
        <v>6359</v>
      </c>
      <c r="M1548" s="825">
        <v>250000</v>
      </c>
      <c r="N1548" s="725" t="s">
        <v>6433</v>
      </c>
    </row>
    <row r="1549" spans="1:14">
      <c r="A1549" s="852">
        <v>27</v>
      </c>
      <c r="B1549" s="892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6407</v>
      </c>
      <c r="J1549" s="666" t="s">
        <v>6408</v>
      </c>
      <c r="K1549" s="666" t="s">
        <v>6409</v>
      </c>
      <c r="L1549" s="664" t="s">
        <v>6359</v>
      </c>
      <c r="M1549" s="825">
        <v>250000</v>
      </c>
      <c r="N1549" s="725" t="s">
        <v>6447</v>
      </c>
    </row>
    <row r="1550" spans="1:14">
      <c r="A1550" s="852">
        <v>27</v>
      </c>
      <c r="B1550" s="892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6357</v>
      </c>
      <c r="K1550" s="646" t="s">
        <v>6420</v>
      </c>
      <c r="L1550" s="646" t="s">
        <v>6359</v>
      </c>
      <c r="M1550" s="847">
        <v>250000</v>
      </c>
      <c r="N1550" s="725" t="s">
        <v>6447</v>
      </c>
    </row>
    <row r="1551" spans="1:14">
      <c r="A1551" s="852">
        <v>27</v>
      </c>
      <c r="B1551" s="892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6432</v>
      </c>
      <c r="J1551" s="845"/>
      <c r="K1551" s="646" t="s">
        <v>6423</v>
      </c>
      <c r="L1551" s="646" t="s">
        <v>6359</v>
      </c>
      <c r="M1551" s="847">
        <v>500000</v>
      </c>
      <c r="N1551" s="725" t="s">
        <v>6447</v>
      </c>
    </row>
    <row r="1552" spans="1:14">
      <c r="A1552" s="852">
        <v>27</v>
      </c>
      <c r="B1552" s="892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6312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6448</v>
      </c>
    </row>
    <row r="1553" spans="1:14">
      <c r="A1553" s="852">
        <v>27</v>
      </c>
      <c r="B1553" s="892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6357</v>
      </c>
      <c r="K1553" s="893" t="s">
        <v>6420</v>
      </c>
      <c r="L1553" s="646" t="s">
        <v>6359</v>
      </c>
      <c r="M1553" s="889">
        <v>250000</v>
      </c>
      <c r="N1553" s="725" t="s">
        <v>6447</v>
      </c>
    </row>
    <row r="1554" spans="1:14">
      <c r="A1554" s="852">
        <v>27</v>
      </c>
      <c r="B1554" s="892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6357</v>
      </c>
      <c r="K1554" s="894"/>
      <c r="L1554" s="646" t="s">
        <v>15</v>
      </c>
      <c r="M1554" s="891"/>
      <c r="N1554" s="725" t="s">
        <v>6448</v>
      </c>
    </row>
    <row r="1555" spans="1:14">
      <c r="A1555" s="852">
        <v>27</v>
      </c>
      <c r="B1555" s="892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6449</v>
      </c>
      <c r="J1555" s="647" t="s">
        <v>6365</v>
      </c>
      <c r="K1555" s="826" t="s">
        <v>6358</v>
      </c>
      <c r="L1555" s="646" t="s">
        <v>6359</v>
      </c>
      <c r="M1555" s="823">
        <v>250000</v>
      </c>
      <c r="N1555" s="725" t="s">
        <v>6448</v>
      </c>
    </row>
    <row r="1556" spans="1:14">
      <c r="A1556" s="852">
        <v>27</v>
      </c>
      <c r="B1556" s="892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6430</v>
      </c>
      <c r="J1556" s="666" t="s">
        <v>6313</v>
      </c>
      <c r="K1556" s="666" t="s">
        <v>6409</v>
      </c>
      <c r="L1556" s="664" t="s">
        <v>911</v>
      </c>
      <c r="M1556" s="823">
        <v>300000</v>
      </c>
      <c r="N1556" s="725" t="s">
        <v>6446</v>
      </c>
    </row>
    <row r="1557" spans="1:14">
      <c r="A1557" s="765">
        <v>28</v>
      </c>
      <c r="B1557" s="884" t="s">
        <v>20</v>
      </c>
      <c r="C1557" s="658">
        <v>46214</v>
      </c>
      <c r="D1557" s="791" t="s">
        <v>6537</v>
      </c>
      <c r="E1557" s="646" t="s">
        <v>1638</v>
      </c>
      <c r="F1557" s="647" t="s">
        <v>6538</v>
      </c>
      <c r="G1557" s="647" t="s">
        <v>4947</v>
      </c>
      <c r="H1557" s="650" t="s">
        <v>115</v>
      </c>
      <c r="I1557" s="857" t="s">
        <v>6539</v>
      </c>
      <c r="J1557" s="647" t="s">
        <v>2172</v>
      </c>
      <c r="K1557" s="857" t="s">
        <v>6541</v>
      </c>
      <c r="L1557" s="764" t="s">
        <v>6542</v>
      </c>
      <c r="M1557" s="856">
        <v>250000</v>
      </c>
      <c r="N1557" s="725" t="s">
        <v>6536</v>
      </c>
    </row>
    <row r="1558" spans="1:14">
      <c r="A1558" s="765">
        <v>28</v>
      </c>
      <c r="B1558" s="885"/>
      <c r="C1558" s="658">
        <v>46216</v>
      </c>
      <c r="D1558" s="791" t="s">
        <v>6537</v>
      </c>
      <c r="E1558" s="646" t="s">
        <v>1638</v>
      </c>
      <c r="F1558" s="647" t="s">
        <v>6538</v>
      </c>
      <c r="G1558" s="647" t="s">
        <v>6543</v>
      </c>
      <c r="H1558" s="650" t="s">
        <v>6544</v>
      </c>
      <c r="I1558" s="857" t="s">
        <v>6539</v>
      </c>
      <c r="J1558" s="647" t="s">
        <v>2172</v>
      </c>
      <c r="K1558" s="857" t="s">
        <v>2828</v>
      </c>
      <c r="L1558" s="764" t="s">
        <v>6542</v>
      </c>
      <c r="M1558" s="856">
        <f>250000*2</f>
        <v>500000</v>
      </c>
      <c r="N1558" s="725"/>
    </row>
    <row r="1559" spans="1:14" ht="24">
      <c r="A1559" s="765">
        <v>28</v>
      </c>
      <c r="B1559" s="885"/>
      <c r="C1559" s="658" t="s">
        <v>6592</v>
      </c>
      <c r="D1559" s="791" t="s">
        <v>6537</v>
      </c>
      <c r="E1559" s="646" t="s">
        <v>1638</v>
      </c>
      <c r="F1559" s="647" t="s">
        <v>6538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6542</v>
      </c>
      <c r="M1559" s="856">
        <f>250000*3</f>
        <v>750000</v>
      </c>
      <c r="N1559" s="725"/>
    </row>
    <row r="1560" spans="1:14" ht="24">
      <c r="A1560" s="765">
        <v>28</v>
      </c>
      <c r="B1560" s="885"/>
      <c r="C1560" s="658" t="s">
        <v>6593</v>
      </c>
      <c r="D1560" s="791" t="s">
        <v>6537</v>
      </c>
      <c r="E1560" s="646" t="s">
        <v>1638</v>
      </c>
      <c r="F1560" s="647" t="s">
        <v>6538</v>
      </c>
      <c r="G1560" s="700" t="s">
        <v>6250</v>
      </c>
      <c r="H1560" s="700" t="s">
        <v>6324</v>
      </c>
      <c r="I1560" s="857" t="s">
        <v>378</v>
      </c>
      <c r="J1560" s="647" t="s">
        <v>737</v>
      </c>
      <c r="K1560" s="857" t="s">
        <v>5852</v>
      </c>
      <c r="L1560" s="764" t="s">
        <v>6542</v>
      </c>
      <c r="M1560" s="856">
        <f>250000*2</f>
        <v>500000</v>
      </c>
      <c r="N1560" s="723"/>
    </row>
    <row r="1561" spans="1:14">
      <c r="A1561" s="765">
        <v>28</v>
      </c>
      <c r="B1561" s="88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6285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6536</v>
      </c>
    </row>
    <row r="1562" spans="1:14">
      <c r="A1562" s="765">
        <v>28</v>
      </c>
      <c r="B1562" s="885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6525</v>
      </c>
      <c r="J1562" s="454" t="s">
        <v>6534</v>
      </c>
      <c r="K1562" s="453" t="s">
        <v>2828</v>
      </c>
      <c r="L1562" s="136" t="s">
        <v>15</v>
      </c>
      <c r="M1562" s="853">
        <v>250000</v>
      </c>
      <c r="N1562" s="725" t="s">
        <v>6536</v>
      </c>
    </row>
    <row r="1563" spans="1:14" ht="27">
      <c r="A1563" s="765">
        <v>28</v>
      </c>
      <c r="B1563" s="88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6499</v>
      </c>
      <c r="J1563" s="854" t="s">
        <v>90</v>
      </c>
      <c r="K1563" s="886" t="s">
        <v>686</v>
      </c>
      <c r="L1563" s="125" t="s">
        <v>15</v>
      </c>
      <c r="M1563" s="889">
        <v>250000</v>
      </c>
      <c r="N1563" s="725" t="s">
        <v>393</v>
      </c>
    </row>
    <row r="1564" spans="1:14">
      <c r="A1564" s="765">
        <v>28</v>
      </c>
      <c r="B1564" s="88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887"/>
      <c r="L1564" s="125" t="s">
        <v>15</v>
      </c>
      <c r="M1564" s="890"/>
      <c r="N1564" s="725" t="s">
        <v>128</v>
      </c>
    </row>
    <row r="1565" spans="1:14" ht="27">
      <c r="A1565" s="765">
        <v>28</v>
      </c>
      <c r="B1565" s="88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6500</v>
      </c>
      <c r="J1565" s="854" t="s">
        <v>90</v>
      </c>
      <c r="K1565" s="888"/>
      <c r="L1565" s="125" t="s">
        <v>15</v>
      </c>
      <c r="M1565" s="891"/>
      <c r="N1565" s="725" t="s">
        <v>393</v>
      </c>
    </row>
    <row r="1566" spans="1:14">
      <c r="A1566" s="765">
        <v>28</v>
      </c>
      <c r="B1566" s="88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6567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>
      <c r="A1567" s="765">
        <v>28</v>
      </c>
      <c r="B1567" s="88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>
      <c r="A1568" s="765">
        <v>28</v>
      </c>
      <c r="B1568" s="88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>
      <c r="A1569" s="765">
        <v>28</v>
      </c>
      <c r="B1569" s="885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6552</v>
      </c>
      <c r="J1569" s="854" t="s">
        <v>6313</v>
      </c>
      <c r="K1569" s="854" t="s">
        <v>2828</v>
      </c>
      <c r="L1569" s="125" t="s">
        <v>15</v>
      </c>
      <c r="M1569" s="855">
        <v>250000</v>
      </c>
      <c r="N1569" s="725" t="s">
        <v>6553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3900000</v>
      </c>
    </row>
    <row r="10" spans="1:4">
      <c r="A10" s="589" t="s">
        <v>4855</v>
      </c>
      <c r="B10" s="589" t="s">
        <v>4856</v>
      </c>
      <c r="C10" s="1076" t="s">
        <v>4857</v>
      </c>
      <c r="D10" s="1076"/>
    </row>
    <row r="11" spans="1:4">
      <c r="A11" s="589" t="s">
        <v>4858</v>
      </c>
      <c r="B11" s="589">
        <v>4</v>
      </c>
      <c r="C11" s="1077">
        <f>'사전품의양식 (12)'!L8</f>
        <v>2000000</v>
      </c>
      <c r="D11" s="1077"/>
    </row>
    <row r="12" spans="1:4">
      <c r="A12" s="589" t="s">
        <v>4859</v>
      </c>
      <c r="B12" s="589">
        <v>9</v>
      </c>
      <c r="C12" s="1077">
        <f>'사전품의양식 (12)'!L18</f>
        <v>1900000</v>
      </c>
      <c r="D12" s="1077"/>
    </row>
    <row r="13" spans="1:4">
      <c r="A13" s="591" t="s">
        <v>53</v>
      </c>
      <c r="B13" s="591">
        <f>SUM(B11:B12)</f>
        <v>13</v>
      </c>
      <c r="C13" s="1078">
        <f>SUM(C11:C12)</f>
        <v>3900000</v>
      </c>
      <c r="D13" s="107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81" t="s">
        <v>6535</v>
      </c>
      <c r="B2" s="1083" t="s">
        <v>1</v>
      </c>
      <c r="C2" s="1083" t="s">
        <v>2</v>
      </c>
      <c r="D2" s="1083" t="s">
        <v>3</v>
      </c>
      <c r="E2" s="720" t="s">
        <v>2623</v>
      </c>
      <c r="F2" s="1083" t="s">
        <v>5</v>
      </c>
      <c r="G2" s="1083" t="s">
        <v>6</v>
      </c>
      <c r="H2" s="1083" t="s">
        <v>2624</v>
      </c>
      <c r="I2" s="1083" t="s">
        <v>55</v>
      </c>
      <c r="J2" s="1083" t="s">
        <v>9</v>
      </c>
      <c r="K2" s="1085" t="s">
        <v>56</v>
      </c>
      <c r="L2" s="1083" t="s">
        <v>57</v>
      </c>
      <c r="M2" s="1079" t="s">
        <v>58</v>
      </c>
    </row>
    <row r="3" spans="1:13">
      <c r="A3" s="1082"/>
      <c r="B3" s="1084"/>
      <c r="C3" s="1084"/>
      <c r="D3" s="1084"/>
      <c r="E3" s="721" t="s">
        <v>1724</v>
      </c>
      <c r="F3" s="1084"/>
      <c r="G3" s="1084"/>
      <c r="H3" s="1084"/>
      <c r="I3" s="1084"/>
      <c r="J3" s="1084"/>
      <c r="K3" s="1086"/>
      <c r="L3" s="1084"/>
      <c r="M3" s="1080"/>
    </row>
    <row r="4" spans="1:13" s="715" customFormat="1" ht="17.100000000000001" customHeight="1">
      <c r="A4" s="1089" t="s">
        <v>20</v>
      </c>
      <c r="B4" s="658">
        <v>46214</v>
      </c>
      <c r="C4" s="791" t="s">
        <v>6537</v>
      </c>
      <c r="D4" s="646" t="s">
        <v>1638</v>
      </c>
      <c r="E4" s="647" t="s">
        <v>6538</v>
      </c>
      <c r="F4" s="647" t="s">
        <v>4947</v>
      </c>
      <c r="G4" s="650" t="s">
        <v>6540</v>
      </c>
      <c r="H4" s="815" t="s">
        <v>6539</v>
      </c>
      <c r="I4" s="647" t="s">
        <v>2172</v>
      </c>
      <c r="J4" s="815" t="s">
        <v>6541</v>
      </c>
      <c r="K4" s="764" t="s">
        <v>6542</v>
      </c>
      <c r="L4" s="810">
        <v>250000</v>
      </c>
      <c r="M4" s="725" t="s">
        <v>6536</v>
      </c>
    </row>
    <row r="5" spans="1:13" s="715" customFormat="1" ht="17.100000000000001" customHeight="1">
      <c r="A5" s="1090"/>
      <c r="B5" s="658">
        <v>46216</v>
      </c>
      <c r="C5" s="791" t="s">
        <v>6537</v>
      </c>
      <c r="D5" s="646" t="s">
        <v>1638</v>
      </c>
      <c r="E5" s="647" t="s">
        <v>6538</v>
      </c>
      <c r="F5" s="647" t="s">
        <v>6543</v>
      </c>
      <c r="G5" s="650" t="s">
        <v>6544</v>
      </c>
      <c r="H5" s="826" t="s">
        <v>6539</v>
      </c>
      <c r="I5" s="647" t="s">
        <v>2172</v>
      </c>
      <c r="J5" s="826" t="s">
        <v>6573</v>
      </c>
      <c r="K5" s="764" t="s">
        <v>6542</v>
      </c>
      <c r="L5" s="824">
        <f>250000*2</f>
        <v>500000</v>
      </c>
      <c r="M5" s="725"/>
    </row>
    <row r="6" spans="1:13" s="715" customFormat="1" ht="17.100000000000001" customHeight="1">
      <c r="A6" s="1090"/>
      <c r="B6" s="658" t="s">
        <v>6592</v>
      </c>
      <c r="C6" s="791" t="s">
        <v>6537</v>
      </c>
      <c r="D6" s="646" t="s">
        <v>1638</v>
      </c>
      <c r="E6" s="647" t="s">
        <v>6538</v>
      </c>
      <c r="F6" s="647">
        <v>7065</v>
      </c>
      <c r="G6" s="650" t="s">
        <v>6545</v>
      </c>
      <c r="H6" s="815" t="s">
        <v>6546</v>
      </c>
      <c r="I6" s="647" t="s">
        <v>6548</v>
      </c>
      <c r="J6" s="815" t="s">
        <v>3004</v>
      </c>
      <c r="K6" s="764" t="s">
        <v>6542</v>
      </c>
      <c r="L6" s="824">
        <f>250000*3</f>
        <v>750000</v>
      </c>
      <c r="M6" s="725"/>
    </row>
    <row r="7" spans="1:13" s="715" customFormat="1" ht="17.100000000000001" customHeight="1">
      <c r="A7" s="1090"/>
      <c r="B7" s="658" t="s">
        <v>6593</v>
      </c>
      <c r="C7" s="791" t="s">
        <v>6537</v>
      </c>
      <c r="D7" s="646" t="s">
        <v>1638</v>
      </c>
      <c r="E7" s="647" t="s">
        <v>6538</v>
      </c>
      <c r="F7" s="700" t="s">
        <v>6250</v>
      </c>
      <c r="G7" s="700" t="s">
        <v>6324</v>
      </c>
      <c r="H7" s="826" t="s">
        <v>6546</v>
      </c>
      <c r="I7" s="647" t="s">
        <v>6547</v>
      </c>
      <c r="J7" s="826" t="s">
        <v>6591</v>
      </c>
      <c r="K7" s="764" t="s">
        <v>6542</v>
      </c>
      <c r="L7" s="824">
        <f>250000*2</f>
        <v>500000</v>
      </c>
      <c r="M7" s="723"/>
    </row>
    <row r="8" spans="1:13" ht="17.100000000000001" customHeight="1">
      <c r="A8" s="1091"/>
      <c r="B8" s="892" t="s">
        <v>1136</v>
      </c>
      <c r="C8" s="892"/>
      <c r="D8" s="892"/>
      <c r="E8" s="892"/>
      <c r="F8" s="892"/>
      <c r="G8" s="892"/>
      <c r="H8" s="892"/>
      <c r="I8" s="892"/>
      <c r="J8" s="892"/>
      <c r="K8" s="892"/>
      <c r="L8" s="794">
        <f>SUM(L4:L7)</f>
        <v>2000000</v>
      </c>
      <c r="M8" s="725"/>
    </row>
    <row r="9" spans="1:13" ht="18" customHeight="1">
      <c r="A9" s="1089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6469</v>
      </c>
      <c r="G9" s="459" t="s">
        <v>6502</v>
      </c>
      <c r="H9" s="453" t="s">
        <v>4617</v>
      </c>
      <c r="I9" s="454"/>
      <c r="J9" s="453" t="s">
        <v>814</v>
      </c>
      <c r="K9" s="136" t="s">
        <v>6359</v>
      </c>
      <c r="L9" s="812">
        <v>250000</v>
      </c>
      <c r="M9" s="725" t="s">
        <v>6536</v>
      </c>
    </row>
    <row r="10" spans="1:13" ht="17.100000000000001" customHeight="1">
      <c r="A10" s="1090"/>
      <c r="B10" s="658">
        <v>46214</v>
      </c>
      <c r="C10" s="3" t="s">
        <v>21</v>
      </c>
      <c r="D10" s="3" t="s">
        <v>6349</v>
      </c>
      <c r="E10" s="454" t="s">
        <v>6476</v>
      </c>
      <c r="F10" s="454" t="s">
        <v>6480</v>
      </c>
      <c r="G10" s="459" t="s">
        <v>6352</v>
      </c>
      <c r="H10" s="828" t="s">
        <v>6525</v>
      </c>
      <c r="I10" s="454" t="s">
        <v>6534</v>
      </c>
      <c r="J10" s="453" t="s">
        <v>6358</v>
      </c>
      <c r="K10" s="136" t="s">
        <v>6359</v>
      </c>
      <c r="L10" s="812">
        <v>250000</v>
      </c>
      <c r="M10" s="725" t="s">
        <v>6536</v>
      </c>
    </row>
    <row r="11" spans="1:13" ht="27">
      <c r="A11" s="1090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6498</v>
      </c>
      <c r="G11" s="459" t="s">
        <v>6497</v>
      </c>
      <c r="H11" s="828" t="s">
        <v>6499</v>
      </c>
      <c r="I11" s="822" t="s">
        <v>6501</v>
      </c>
      <c r="J11" s="886" t="s">
        <v>6521</v>
      </c>
      <c r="K11" s="125" t="s">
        <v>6495</v>
      </c>
      <c r="L11" s="889">
        <v>250000</v>
      </c>
      <c r="M11" s="725" t="s">
        <v>6549</v>
      </c>
    </row>
    <row r="12" spans="1:13" ht="17.100000000000001" customHeight="1">
      <c r="A12" s="1090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6425</v>
      </c>
      <c r="G12" s="459" t="s">
        <v>6371</v>
      </c>
      <c r="H12" s="828" t="s">
        <v>6515</v>
      </c>
      <c r="I12" s="822" t="s">
        <v>6501</v>
      </c>
      <c r="J12" s="887"/>
      <c r="K12" s="125" t="s">
        <v>911</v>
      </c>
      <c r="L12" s="890"/>
      <c r="M12" s="725" t="s">
        <v>6550</v>
      </c>
    </row>
    <row r="13" spans="1:13" ht="27">
      <c r="A13" s="1090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6425</v>
      </c>
      <c r="G13" s="459" t="s">
        <v>6363</v>
      </c>
      <c r="H13" s="828" t="s">
        <v>6500</v>
      </c>
      <c r="I13" s="822" t="s">
        <v>6501</v>
      </c>
      <c r="J13" s="888"/>
      <c r="K13" s="125" t="s">
        <v>6495</v>
      </c>
      <c r="L13" s="891"/>
      <c r="M13" s="725" t="s">
        <v>6551</v>
      </c>
    </row>
    <row r="14" spans="1:13" ht="17.100000000000001" customHeight="1">
      <c r="A14" s="1090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6567</v>
      </c>
      <c r="I14" s="848" t="s">
        <v>6568</v>
      </c>
      <c r="J14" s="848" t="s">
        <v>6560</v>
      </c>
      <c r="K14" s="125" t="s">
        <v>15</v>
      </c>
      <c r="L14" s="847">
        <v>300000</v>
      </c>
      <c r="M14" s="725" t="s">
        <v>128</v>
      </c>
    </row>
    <row r="15" spans="1:13" ht="17.100000000000001" customHeight="1">
      <c r="A15" s="1090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6560</v>
      </c>
      <c r="K15" s="125" t="s">
        <v>911</v>
      </c>
      <c r="L15" s="849">
        <v>300000</v>
      </c>
      <c r="M15" s="725" t="s">
        <v>128</v>
      </c>
    </row>
    <row r="16" spans="1:13" ht="17.100000000000001" customHeight="1">
      <c r="A16" s="1090"/>
      <c r="B16" s="399">
        <v>46219</v>
      </c>
      <c r="C16" s="4" t="s">
        <v>21</v>
      </c>
      <c r="D16" s="4" t="s">
        <v>14</v>
      </c>
      <c r="E16" s="454" t="s">
        <v>6518</v>
      </c>
      <c r="F16" s="454" t="s">
        <v>3386</v>
      </c>
      <c r="G16" s="459" t="s">
        <v>964</v>
      </c>
      <c r="H16" s="453" t="s">
        <v>6522</v>
      </c>
      <c r="I16" s="454" t="s">
        <v>6519</v>
      </c>
      <c r="J16" s="848" t="s">
        <v>6560</v>
      </c>
      <c r="K16" s="125" t="s">
        <v>911</v>
      </c>
      <c r="L16" s="849">
        <v>300000</v>
      </c>
      <c r="M16" s="725" t="s">
        <v>6550</v>
      </c>
    </row>
    <row r="17" spans="1:16" ht="17.100000000000001" customHeight="1">
      <c r="A17" s="1090"/>
      <c r="B17" s="399">
        <v>46218</v>
      </c>
      <c r="C17" s="4" t="s">
        <v>1255</v>
      </c>
      <c r="D17" s="4" t="s">
        <v>6349</v>
      </c>
      <c r="E17" s="822" t="s">
        <v>6476</v>
      </c>
      <c r="F17" s="822" t="s">
        <v>6477</v>
      </c>
      <c r="G17" s="16" t="s">
        <v>6493</v>
      </c>
      <c r="H17" s="828" t="s">
        <v>6552</v>
      </c>
      <c r="I17" s="822" t="s">
        <v>6494</v>
      </c>
      <c r="J17" s="822" t="s">
        <v>6570</v>
      </c>
      <c r="K17" s="125" t="s">
        <v>911</v>
      </c>
      <c r="L17" s="807">
        <v>250000</v>
      </c>
      <c r="M17" s="725" t="s">
        <v>6553</v>
      </c>
    </row>
    <row r="18" spans="1:16" ht="17.100000000000001" customHeight="1">
      <c r="A18" s="1091"/>
      <c r="B18" s="892" t="s">
        <v>4879</v>
      </c>
      <c r="C18" s="892"/>
      <c r="D18" s="892"/>
      <c r="E18" s="892"/>
      <c r="F18" s="892"/>
      <c r="G18" s="892"/>
      <c r="H18" s="892"/>
      <c r="I18" s="892"/>
      <c r="J18" s="892"/>
      <c r="K18" s="892"/>
      <c r="L18" s="794">
        <f>SUM(L9:L17)</f>
        <v>1900000</v>
      </c>
      <c r="M18" s="725"/>
    </row>
    <row r="19" spans="1:16" ht="25.5" customHeight="1" thickBot="1">
      <c r="A19" s="1087" t="s">
        <v>62</v>
      </c>
      <c r="B19" s="1088"/>
      <c r="C19" s="1088"/>
      <c r="D19" s="1088"/>
      <c r="E19" s="1088"/>
      <c r="F19" s="1088"/>
      <c r="G19" s="1088"/>
      <c r="H19" s="1088"/>
      <c r="I19" s="1088"/>
      <c r="J19" s="1088"/>
      <c r="K19" s="1088"/>
      <c r="L19" s="726">
        <f>L8+L18</f>
        <v>3900000</v>
      </c>
      <c r="M19" s="727"/>
    </row>
    <row r="20" spans="1:16" ht="26.25" customHeight="1"/>
    <row r="21" spans="1:16" ht="26.25" hidden="1" customHeight="1"/>
    <row r="22" spans="1:16" ht="25.5" hidden="1" customHeight="1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/>
    <row r="28" spans="1:16" ht="20.100000000000001" hidden="1" customHeight="1">
      <c r="J28" s="717"/>
    </row>
    <row r="31" spans="1:16" ht="28.5" customHeight="1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>
      <c r="A33" s="604"/>
      <c r="B33" s="399">
        <v>46223</v>
      </c>
      <c r="C33" s="3" t="s">
        <v>21</v>
      </c>
      <c r="D33" s="3" t="s">
        <v>883</v>
      </c>
      <c r="E33" s="453" t="s">
        <v>6587</v>
      </c>
      <c r="F33" s="454">
        <v>8262</v>
      </c>
      <c r="G33" s="459" t="s">
        <v>1225</v>
      </c>
      <c r="H33" s="859" t="s">
        <v>6588</v>
      </c>
      <c r="I33" s="454" t="s">
        <v>6572</v>
      </c>
      <c r="J33" s="453"/>
      <c r="K33" s="136" t="s">
        <v>15</v>
      </c>
      <c r="L33" s="455">
        <v>2</v>
      </c>
      <c r="M33" s="455"/>
      <c r="N33" s="854"/>
      <c r="O33" s="429" t="s">
        <v>6614</v>
      </c>
      <c r="P33" s="854"/>
    </row>
    <row r="34" spans="1:16" s="17" customFormat="1" ht="40.5">
      <c r="A34" s="604"/>
      <c r="B34" s="399">
        <v>46224</v>
      </c>
      <c r="C34" s="3" t="s">
        <v>21</v>
      </c>
      <c r="D34" s="3" t="s">
        <v>883</v>
      </c>
      <c r="E34" s="453" t="s">
        <v>6531</v>
      </c>
      <c r="F34" s="454" t="s">
        <v>2653</v>
      </c>
      <c r="G34" s="459" t="s">
        <v>263</v>
      </c>
      <c r="H34" s="859" t="s">
        <v>6608</v>
      </c>
      <c r="I34" s="454" t="s">
        <v>6572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6615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6614</v>
      </c>
      <c r="P35" s="854"/>
    </row>
    <row r="36" spans="1:16" s="17" customFormat="1" ht="33" customHeight="1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6258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>
      <c r="A37" s="604"/>
      <c r="B37" s="399">
        <v>46224</v>
      </c>
      <c r="C37" s="4" t="s">
        <v>21</v>
      </c>
      <c r="D37" s="4" t="s">
        <v>30</v>
      </c>
      <c r="E37" s="859" t="s">
        <v>6485</v>
      </c>
      <c r="F37" s="854" t="s">
        <v>5796</v>
      </c>
      <c r="G37" s="16" t="s">
        <v>4091</v>
      </c>
      <c r="H37" s="859" t="s">
        <v>6488</v>
      </c>
      <c r="I37" s="854" t="s">
        <v>90</v>
      </c>
      <c r="J37" s="854" t="s">
        <v>6611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6613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6614</v>
      </c>
      <c r="P38" s="854"/>
    </row>
    <row r="39" spans="1:16" s="17" customFormat="1" ht="33" customHeight="1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6612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>
      <c r="A40" s="604"/>
      <c r="B40" s="399">
        <v>46225</v>
      </c>
      <c r="C40" s="3" t="s">
        <v>64</v>
      </c>
      <c r="D40" s="3" t="s">
        <v>14</v>
      </c>
      <c r="E40" s="453" t="s">
        <v>6559</v>
      </c>
      <c r="F40" s="454" t="s">
        <v>2978</v>
      </c>
      <c r="G40" s="459" t="s">
        <v>843</v>
      </c>
      <c r="H40" s="859" t="s">
        <v>6616</v>
      </c>
      <c r="I40" s="454" t="s">
        <v>6610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>
      <c r="A41" s="604"/>
      <c r="B41" s="399">
        <v>46226</v>
      </c>
      <c r="C41" s="4" t="s">
        <v>21</v>
      </c>
      <c r="D41" s="4" t="s">
        <v>30</v>
      </c>
      <c r="E41" s="854" t="s">
        <v>6559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>
      <c r="A42" s="604"/>
      <c r="B42" s="399">
        <v>46226</v>
      </c>
      <c r="C42" s="3" t="s">
        <v>64</v>
      </c>
      <c r="D42" s="3" t="s">
        <v>14</v>
      </c>
      <c r="E42" s="453" t="s">
        <v>6559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6619</v>
      </c>
      <c r="H43" s="859" t="s">
        <v>6620</v>
      </c>
      <c r="I43" s="854" t="s">
        <v>6621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6622</v>
      </c>
      <c r="P43" s="854"/>
    </row>
    <row r="44" spans="1:16" s="17" customFormat="1" ht="33" customHeight="1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6576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6514</v>
      </c>
      <c r="I45" s="854" t="s">
        <v>6603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>
      <c r="A46" s="604"/>
      <c r="B46" s="399">
        <v>46227</v>
      </c>
      <c r="C46" s="4" t="s">
        <v>21</v>
      </c>
      <c r="D46" s="4" t="s">
        <v>30</v>
      </c>
      <c r="E46" s="854" t="s">
        <v>6559</v>
      </c>
      <c r="F46" s="854" t="s">
        <v>2978</v>
      </c>
      <c r="G46" s="16" t="s">
        <v>23</v>
      </c>
      <c r="H46" s="859" t="s">
        <v>6617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6618</v>
      </c>
      <c r="P46" s="854"/>
    </row>
    <row r="47" spans="1:16" s="17" customFormat="1" ht="33" customHeight="1">
      <c r="A47" s="604"/>
      <c r="B47" s="399">
        <v>46227</v>
      </c>
      <c r="C47" s="3" t="s">
        <v>64</v>
      </c>
      <c r="D47" s="3" t="s">
        <v>14</v>
      </c>
      <c r="E47" s="453" t="s">
        <v>6559</v>
      </c>
      <c r="F47" s="454" t="s">
        <v>2978</v>
      </c>
      <c r="G47" s="459" t="s">
        <v>843</v>
      </c>
      <c r="H47" s="859" t="s">
        <v>6617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6618</v>
      </c>
      <c r="P47" s="854"/>
    </row>
    <row r="48" spans="1:16" s="17" customFormat="1" ht="33" customHeight="1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6555</v>
      </c>
      <c r="I48" s="854" t="s">
        <v>6603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6619</v>
      </c>
      <c r="H49" s="859" t="s">
        <v>6620</v>
      </c>
      <c r="I49" s="854" t="s">
        <v>6621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6622</v>
      </c>
      <c r="P49" s="854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0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1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1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1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1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1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1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1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1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1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1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1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1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1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1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99" t="s">
        <v>53</v>
      </c>
      <c r="B21" s="899"/>
      <c r="C21" s="899"/>
      <c r="D21" s="899"/>
      <c r="E21" s="899"/>
      <c r="F21" s="899"/>
      <c r="G21" s="899"/>
      <c r="H21" s="899"/>
      <c r="I21" s="89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1" t="s">
        <v>53</v>
      </c>
      <c r="B26" s="1102"/>
      <c r="C26" s="1102"/>
      <c r="D26" s="1102"/>
      <c r="E26" s="1102"/>
      <c r="F26" s="1102"/>
      <c r="G26" s="1102"/>
      <c r="H26" s="1102"/>
      <c r="I26" s="110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1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1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1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1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1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1" t="s">
        <v>53</v>
      </c>
      <c r="B35" s="1102"/>
      <c r="C35" s="1102"/>
      <c r="D35" s="1102"/>
      <c r="E35" s="1102"/>
      <c r="F35" s="1102"/>
      <c r="G35" s="1102"/>
      <c r="H35" s="1102"/>
      <c r="I35" s="110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0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1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1" t="s">
        <v>53</v>
      </c>
      <c r="B42" s="1102"/>
      <c r="C42" s="1102"/>
      <c r="D42" s="1102"/>
      <c r="E42" s="1102"/>
      <c r="F42" s="1102"/>
      <c r="G42" s="1102"/>
      <c r="H42" s="1102"/>
      <c r="I42" s="110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1" t="s">
        <v>53</v>
      </c>
      <c r="B48" s="1102"/>
      <c r="C48" s="1102"/>
      <c r="D48" s="1102"/>
      <c r="E48" s="1102"/>
      <c r="F48" s="1102"/>
      <c r="G48" s="1102"/>
      <c r="H48" s="1102"/>
      <c r="I48" s="110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1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1" t="s">
        <v>53</v>
      </c>
      <c r="B54" s="1102"/>
      <c r="C54" s="1102"/>
      <c r="D54" s="1102"/>
      <c r="E54" s="1102"/>
      <c r="F54" s="1102"/>
      <c r="G54" s="1102"/>
      <c r="H54" s="1102"/>
      <c r="I54" s="110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0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1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1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16"/>
      <c r="B61" s="11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16"/>
      <c r="B62" s="11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16"/>
      <c r="B63" s="11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1" t="s">
        <v>53</v>
      </c>
      <c r="B64" s="1102"/>
      <c r="C64" s="1102"/>
      <c r="D64" s="1102"/>
      <c r="E64" s="1102"/>
      <c r="F64" s="1102"/>
      <c r="G64" s="1102"/>
      <c r="H64" s="1102"/>
      <c r="I64" s="110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1" t="s">
        <v>53</v>
      </c>
      <c r="B70" s="1102"/>
      <c r="C70" s="1102"/>
      <c r="D70" s="1102"/>
      <c r="E70" s="1102"/>
      <c r="F70" s="1102"/>
      <c r="G70" s="1102"/>
      <c r="H70" s="1102"/>
      <c r="I70" s="110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0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1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99" t="s">
        <v>53</v>
      </c>
      <c r="B78" s="899"/>
      <c r="C78" s="899"/>
      <c r="D78" s="899"/>
      <c r="E78" s="899"/>
      <c r="F78" s="899"/>
      <c r="G78" s="899"/>
      <c r="H78" s="899"/>
      <c r="I78" s="89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1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1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1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1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1" t="s">
        <v>53</v>
      </c>
      <c r="B86" s="1102"/>
      <c r="C86" s="1102"/>
      <c r="D86" s="1102"/>
      <c r="E86" s="1102"/>
      <c r="F86" s="1102"/>
      <c r="G86" s="1102"/>
      <c r="H86" s="1102"/>
      <c r="I86" s="110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1" t="s">
        <v>53</v>
      </c>
      <c r="B92" s="1102"/>
      <c r="C92" s="1102"/>
      <c r="D92" s="1102"/>
      <c r="E92" s="1102"/>
      <c r="F92" s="1102"/>
      <c r="G92" s="1102"/>
      <c r="H92" s="1102"/>
      <c r="I92" s="110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1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1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1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1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1" t="s">
        <v>53</v>
      </c>
      <c r="B101" s="1102"/>
      <c r="C101" s="1102"/>
      <c r="D101" s="1102"/>
      <c r="E101" s="1102"/>
      <c r="F101" s="1102"/>
      <c r="G101" s="1102"/>
      <c r="H101" s="1102"/>
      <c r="I101" s="110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0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16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16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1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1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99" t="s">
        <v>53</v>
      </c>
      <c r="B112" s="899"/>
      <c r="C112" s="899"/>
      <c r="D112" s="899"/>
      <c r="E112" s="899"/>
      <c r="F112" s="899"/>
      <c r="G112" s="899"/>
      <c r="H112" s="899"/>
      <c r="I112" s="89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18" t="s">
        <v>954</v>
      </c>
      <c r="B119" s="92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19"/>
      <c r="B120" s="92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99" t="s">
        <v>53</v>
      </c>
      <c r="B121" s="899"/>
      <c r="C121" s="899"/>
      <c r="D121" s="899"/>
      <c r="E121" s="899"/>
      <c r="F121" s="899"/>
      <c r="G121" s="899"/>
      <c r="H121" s="899"/>
      <c r="I121" s="89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1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1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1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19"/>
      <c r="B129" s="112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8">
        <v>2</v>
      </c>
      <c r="K129" s="25" t="s">
        <v>52</v>
      </c>
      <c r="L129" s="25" t="s">
        <v>51</v>
      </c>
    </row>
    <row r="130" spans="1:12">
      <c r="A130" s="919"/>
      <c r="B130" s="112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20"/>
      <c r="K130" s="25" t="s">
        <v>52</v>
      </c>
      <c r="L130" s="25" t="s">
        <v>51</v>
      </c>
    </row>
    <row r="131" spans="1:12">
      <c r="A131" s="91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1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19"/>
      <c r="B133" s="95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6" t="s">
        <v>1277</v>
      </c>
      <c r="J133" s="1118">
        <v>1</v>
      </c>
      <c r="K133" s="25" t="s">
        <v>52</v>
      </c>
      <c r="L133" s="25" t="s">
        <v>51</v>
      </c>
    </row>
    <row r="134" spans="1:12">
      <c r="A134" s="919"/>
      <c r="B134" s="95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2"/>
      <c r="J134" s="1120"/>
      <c r="K134" s="25" t="s">
        <v>52</v>
      </c>
      <c r="L134" s="25" t="s">
        <v>51</v>
      </c>
    </row>
    <row r="135" spans="1:12">
      <c r="A135" s="91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99" t="s">
        <v>53</v>
      </c>
      <c r="B137" s="899"/>
      <c r="C137" s="899"/>
      <c r="D137" s="899"/>
      <c r="E137" s="899"/>
      <c r="F137" s="899"/>
      <c r="G137" s="899"/>
      <c r="H137" s="899"/>
      <c r="I137" s="89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19" t="s">
        <v>1007</v>
      </c>
      <c r="B142" s="95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19"/>
      <c r="B143" s="95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1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99" t="s">
        <v>53</v>
      </c>
      <c r="B145" s="899"/>
      <c r="C145" s="899"/>
      <c r="D145" s="899"/>
      <c r="E145" s="899"/>
      <c r="F145" s="899"/>
      <c r="G145" s="899"/>
      <c r="H145" s="899"/>
      <c r="I145" s="89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5"/>
      <c r="B150" s="92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5"/>
      <c r="B151" s="92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0" t="s">
        <v>53</v>
      </c>
      <c r="B154" s="1070"/>
      <c r="C154" s="1070"/>
      <c r="D154" s="1070"/>
      <c r="E154" s="1070"/>
      <c r="F154" s="1070"/>
      <c r="G154" s="1070"/>
      <c r="H154" s="1070"/>
      <c r="I154" s="10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1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1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1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1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99" t="s">
        <v>53</v>
      </c>
      <c r="B163" s="899"/>
      <c r="C163" s="899"/>
      <c r="D163" s="899"/>
      <c r="E163" s="899"/>
      <c r="F163" s="899"/>
      <c r="G163" s="899"/>
      <c r="H163" s="899"/>
      <c r="I163" s="89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0" t="s">
        <v>53</v>
      </c>
      <c r="B167" s="1070"/>
      <c r="C167" s="1070"/>
      <c r="D167" s="1070"/>
      <c r="E167" s="1070"/>
      <c r="F167" s="1070"/>
      <c r="G167" s="1070"/>
      <c r="H167" s="1070"/>
      <c r="I167" s="10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1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1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1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1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1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1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1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1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1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99" t="s">
        <v>53</v>
      </c>
      <c r="B183" s="899"/>
      <c r="C183" s="899"/>
      <c r="D183" s="899"/>
      <c r="E183" s="899"/>
      <c r="F183" s="899"/>
      <c r="G183" s="899"/>
      <c r="H183" s="899"/>
      <c r="I183" s="89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2" t="s">
        <v>1061</v>
      </c>
      <c r="B189" s="92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3"/>
      <c r="B190" s="92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3"/>
      <c r="B191" s="92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3"/>
      <c r="B192" s="92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99" t="s">
        <v>53</v>
      </c>
      <c r="B193" s="899"/>
      <c r="C193" s="899"/>
      <c r="D193" s="899"/>
      <c r="E193" s="899"/>
      <c r="F193" s="899"/>
      <c r="G193" s="899"/>
      <c r="H193" s="899"/>
      <c r="I193" s="89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0" t="s">
        <v>53</v>
      </c>
      <c r="B203" s="1070"/>
      <c r="C203" s="1070"/>
      <c r="D203" s="1070"/>
      <c r="E203" s="1070"/>
      <c r="F203" s="1070"/>
      <c r="G203" s="1070"/>
      <c r="H203" s="1070"/>
      <c r="I203" s="10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0" t="s">
        <v>53</v>
      </c>
      <c r="B214" s="1070"/>
      <c r="C214" s="1070"/>
      <c r="D214" s="1070"/>
      <c r="E214" s="1070"/>
      <c r="F214" s="1070"/>
      <c r="G214" s="1070"/>
      <c r="H214" s="1070"/>
      <c r="I214" s="10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0" t="s">
        <v>1458</v>
      </c>
      <c r="B226" s="1070"/>
      <c r="C226" s="1070"/>
      <c r="D226" s="1070"/>
      <c r="E226" s="1070"/>
      <c r="F226" s="1070"/>
      <c r="G226" s="1070"/>
      <c r="H226" s="1070"/>
      <c r="I226" s="10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0" t="s">
        <v>1499</v>
      </c>
      <c r="B236" s="1070"/>
      <c r="C236" s="1070"/>
      <c r="D236" s="1070"/>
      <c r="E236" s="1070"/>
      <c r="F236" s="1070"/>
      <c r="G236" s="1070"/>
      <c r="H236" s="1070"/>
      <c r="I236" s="10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1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1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1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1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1" t="s">
        <v>53</v>
      </c>
      <c r="B244" s="1102"/>
      <c r="C244" s="1102"/>
      <c r="D244" s="1102"/>
      <c r="E244" s="1102"/>
      <c r="F244" s="1102"/>
      <c r="G244" s="1102"/>
      <c r="H244" s="1102"/>
      <c r="I244" s="110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1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1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1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1" t="s">
        <v>53</v>
      </c>
      <c r="B250" s="1102"/>
      <c r="C250" s="1102"/>
      <c r="D250" s="1102"/>
      <c r="E250" s="1102"/>
      <c r="F250" s="1102"/>
      <c r="G250" s="1102"/>
      <c r="H250" s="1102"/>
      <c r="I250" s="110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1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1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1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1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1" t="s">
        <v>53</v>
      </c>
      <c r="B257" s="1102"/>
      <c r="C257" s="1102"/>
      <c r="D257" s="1102"/>
      <c r="E257" s="1102"/>
      <c r="F257" s="1102"/>
      <c r="G257" s="1102"/>
      <c r="H257" s="1102"/>
      <c r="I257" s="110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1" t="s">
        <v>53</v>
      </c>
      <c r="B262" s="1102"/>
      <c r="C262" s="1102"/>
      <c r="D262" s="1102"/>
      <c r="E262" s="1102"/>
      <c r="F262" s="1102"/>
      <c r="G262" s="1102"/>
      <c r="H262" s="1102"/>
      <c r="I262" s="110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0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1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1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1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1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1" t="s">
        <v>53</v>
      </c>
      <c r="B271" s="1102"/>
      <c r="C271" s="1102"/>
      <c r="D271" s="1102"/>
      <c r="E271" s="1102"/>
      <c r="F271" s="1102"/>
      <c r="G271" s="1102"/>
      <c r="H271" s="1102"/>
      <c r="I271" s="110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1" t="s">
        <v>53</v>
      </c>
      <c r="B275" s="1102"/>
      <c r="C275" s="1102"/>
      <c r="D275" s="1102"/>
      <c r="E275" s="1102"/>
      <c r="F275" s="1102"/>
      <c r="G275" s="1102"/>
      <c r="H275" s="1102"/>
      <c r="I275" s="110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1" t="s">
        <v>1646</v>
      </c>
      <c r="B296" s="1102"/>
      <c r="C296" s="1102"/>
      <c r="D296" s="1102"/>
      <c r="E296" s="1102"/>
      <c r="F296" s="1102"/>
      <c r="G296" s="1102"/>
      <c r="H296" s="1102"/>
      <c r="I296" s="110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0" t="s">
        <v>1659</v>
      </c>
      <c r="B305" s="1070"/>
      <c r="C305" s="1070"/>
      <c r="D305" s="1070"/>
      <c r="E305" s="1070"/>
      <c r="F305" s="1070"/>
      <c r="G305" s="1070"/>
      <c r="H305" s="1070"/>
      <c r="I305" s="10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0" t="s">
        <v>53</v>
      </c>
      <c r="B309" s="1070"/>
      <c r="C309" s="1070"/>
      <c r="D309" s="1070"/>
      <c r="E309" s="1070"/>
      <c r="F309" s="1070"/>
      <c r="G309" s="1070"/>
      <c r="H309" s="1070"/>
      <c r="I309" s="10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0" t="s">
        <v>1659</v>
      </c>
      <c r="B314" s="1070"/>
      <c r="C314" s="1070"/>
      <c r="D314" s="1070"/>
      <c r="E314" s="1070"/>
      <c r="F314" s="1070"/>
      <c r="G314" s="1070"/>
      <c r="H314" s="1070"/>
      <c r="I314" s="10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0" t="s">
        <v>1659</v>
      </c>
      <c r="B321" s="1070"/>
      <c r="C321" s="1070"/>
      <c r="D321" s="1070"/>
      <c r="E321" s="1070"/>
      <c r="F321" s="1070"/>
      <c r="G321" s="1070"/>
      <c r="H321" s="1070"/>
      <c r="I321" s="107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0" t="s">
        <v>1659</v>
      </c>
      <c r="B330" s="1070"/>
      <c r="C330" s="1070"/>
      <c r="D330" s="1070"/>
      <c r="E330" s="1070"/>
      <c r="F330" s="1070"/>
      <c r="G330" s="1070"/>
      <c r="H330" s="1070"/>
      <c r="I330" s="107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0" t="s">
        <v>1659</v>
      </c>
      <c r="B338" s="1070"/>
      <c r="C338" s="1070"/>
      <c r="D338" s="1070"/>
      <c r="E338" s="1070"/>
      <c r="F338" s="1070"/>
      <c r="G338" s="1070"/>
      <c r="H338" s="1070"/>
      <c r="I338" s="107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09" t="s">
        <v>1521</v>
      </c>
      <c r="B343" s="128" t="s">
        <v>1531</v>
      </c>
      <c r="C343" s="959" t="s">
        <v>306</v>
      </c>
      <c r="D343" s="959" t="s">
        <v>322</v>
      </c>
      <c r="E343" s="941" t="s">
        <v>307</v>
      </c>
      <c r="F343" s="1108">
        <v>4266</v>
      </c>
      <c r="G343" s="959" t="s">
        <v>640</v>
      </c>
      <c r="H343" s="1108" t="s">
        <v>1533</v>
      </c>
      <c r="I343" s="959" t="s">
        <v>1534</v>
      </c>
      <c r="J343" s="941">
        <v>2</v>
      </c>
      <c r="K343" s="1106" t="s">
        <v>50</v>
      </c>
      <c r="L343" s="1106" t="s">
        <v>51</v>
      </c>
    </row>
    <row r="344" spans="1:13">
      <c r="A344" s="1110"/>
      <c r="B344" s="129" t="s">
        <v>1532</v>
      </c>
      <c r="C344" s="942"/>
      <c r="D344" s="942"/>
      <c r="E344" s="942"/>
      <c r="F344" s="947"/>
      <c r="G344" s="942"/>
      <c r="H344" s="947"/>
      <c r="I344" s="942"/>
      <c r="J344" s="942"/>
      <c r="K344" s="1107"/>
      <c r="L344" s="1107"/>
    </row>
    <row r="345" spans="1:13">
      <c r="A345" s="1110"/>
      <c r="B345" s="128" t="s">
        <v>1536</v>
      </c>
      <c r="C345" s="941" t="s">
        <v>306</v>
      </c>
      <c r="D345" s="941" t="s">
        <v>322</v>
      </c>
      <c r="E345" s="941" t="s">
        <v>307</v>
      </c>
      <c r="F345" s="946">
        <v>3306</v>
      </c>
      <c r="G345" s="941" t="s">
        <v>1153</v>
      </c>
      <c r="H345" s="946" t="s">
        <v>1538</v>
      </c>
      <c r="I345" s="941" t="s">
        <v>1534</v>
      </c>
      <c r="J345" s="941">
        <v>2</v>
      </c>
      <c r="K345" s="1106" t="s">
        <v>50</v>
      </c>
      <c r="L345" s="1106" t="s">
        <v>51</v>
      </c>
    </row>
    <row r="346" spans="1:13">
      <c r="A346" s="1111"/>
      <c r="B346" s="129" t="s">
        <v>1537</v>
      </c>
      <c r="C346" s="942"/>
      <c r="D346" s="942"/>
      <c r="E346" s="942"/>
      <c r="F346" s="947"/>
      <c r="G346" s="942"/>
      <c r="H346" s="947"/>
      <c r="I346" s="942"/>
      <c r="J346" s="942"/>
      <c r="K346" s="1107"/>
      <c r="L346" s="1107"/>
    </row>
    <row r="347" spans="1:13">
      <c r="A347" s="1101" t="s">
        <v>53</v>
      </c>
      <c r="B347" s="1102"/>
      <c r="C347" s="1102"/>
      <c r="D347" s="1102"/>
      <c r="E347" s="1102"/>
      <c r="F347" s="1102"/>
      <c r="G347" s="1102"/>
      <c r="H347" s="1102"/>
      <c r="I347" s="110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1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1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1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1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1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1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1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99" t="s">
        <v>53</v>
      </c>
      <c r="B357" s="899"/>
      <c r="C357" s="899"/>
      <c r="D357" s="899"/>
      <c r="E357" s="899"/>
      <c r="F357" s="899"/>
      <c r="G357" s="899"/>
      <c r="H357" s="899"/>
      <c r="I357" s="89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0" t="s">
        <v>1458</v>
      </c>
      <c r="B361" s="1070"/>
      <c r="C361" s="1070"/>
      <c r="D361" s="1070"/>
      <c r="E361" s="1070"/>
      <c r="F361" s="1070"/>
      <c r="G361" s="1070"/>
      <c r="H361" s="1070"/>
      <c r="I361" s="10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0" t="s">
        <v>1659</v>
      </c>
      <c r="B370" s="1070"/>
      <c r="C370" s="1070"/>
      <c r="D370" s="1070"/>
      <c r="E370" s="1070"/>
      <c r="F370" s="1070"/>
      <c r="G370" s="1070"/>
      <c r="H370" s="1070"/>
      <c r="I370" s="107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99" t="s">
        <v>1646</v>
      </c>
      <c r="B378" s="899"/>
      <c r="C378" s="899"/>
      <c r="D378" s="899"/>
      <c r="E378" s="899"/>
      <c r="F378" s="899"/>
      <c r="G378" s="899"/>
      <c r="H378" s="899"/>
      <c r="I378" s="899"/>
      <c r="J378" s="899"/>
      <c r="K378" s="4">
        <v>25</v>
      </c>
      <c r="L378" s="55"/>
    </row>
    <row r="381" spans="1:12">
      <c r="B381" s="1129" t="s">
        <v>1</v>
      </c>
      <c r="C381" s="1129" t="s">
        <v>2</v>
      </c>
      <c r="D381" s="1129" t="s">
        <v>3</v>
      </c>
      <c r="E381" s="36" t="s">
        <v>54</v>
      </c>
      <c r="F381" s="1129" t="s">
        <v>5</v>
      </c>
      <c r="G381" s="1129" t="s">
        <v>6</v>
      </c>
      <c r="H381" s="1129" t="s">
        <v>7</v>
      </c>
      <c r="I381" s="1129" t="s">
        <v>55</v>
      </c>
      <c r="J381" s="1129" t="s">
        <v>9</v>
      </c>
      <c r="K381" s="1131" t="s">
        <v>56</v>
      </c>
      <c r="L381" s="1129" t="s">
        <v>57</v>
      </c>
    </row>
    <row r="382" spans="1:12">
      <c r="B382" s="1130"/>
      <c r="C382" s="1130"/>
      <c r="D382" s="1130"/>
      <c r="E382" s="37" t="s">
        <v>59</v>
      </c>
      <c r="F382" s="1130"/>
      <c r="G382" s="1130"/>
      <c r="H382" s="1130"/>
      <c r="I382" s="1130"/>
      <c r="J382" s="1130"/>
      <c r="K382" s="1132"/>
      <c r="L382" s="113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0" t="s">
        <v>53</v>
      </c>
      <c r="B394" s="1070"/>
      <c r="C394" s="1070"/>
      <c r="D394" s="1070"/>
      <c r="E394" s="1070"/>
      <c r="F394" s="1070"/>
      <c r="G394" s="1070"/>
      <c r="H394" s="1070"/>
      <c r="I394" s="107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0" t="s">
        <v>53</v>
      </c>
      <c r="B401" s="1070"/>
      <c r="C401" s="1070"/>
      <c r="D401" s="1070"/>
      <c r="E401" s="1070"/>
      <c r="F401" s="1070"/>
      <c r="G401" s="1070"/>
      <c r="H401" s="1070"/>
      <c r="I401" s="107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97" t="s">
        <v>229</v>
      </c>
      <c r="B405" s="1104" t="s">
        <v>1805</v>
      </c>
      <c r="C405" s="1104" t="s">
        <v>700</v>
      </c>
      <c r="D405" s="1133" t="s">
        <v>675</v>
      </c>
      <c r="E405" s="1104" t="s">
        <v>1806</v>
      </c>
      <c r="F405" s="1104" t="s">
        <v>1807</v>
      </c>
      <c r="G405" s="1104" t="s">
        <v>662</v>
      </c>
      <c r="H405" s="1134" t="s">
        <v>1808</v>
      </c>
      <c r="I405" s="1133"/>
      <c r="J405" s="1134">
        <v>1</v>
      </c>
      <c r="K405" s="1106" t="s">
        <v>631</v>
      </c>
      <c r="L405" s="1056" t="s">
        <v>51</v>
      </c>
    </row>
    <row r="406" spans="1:12" ht="13.5" customHeight="1">
      <c r="A406" s="1097"/>
      <c r="B406" s="1104"/>
      <c r="C406" s="1104"/>
      <c r="D406" s="1133"/>
      <c r="E406" s="1104"/>
      <c r="F406" s="1104"/>
      <c r="G406" s="1104"/>
      <c r="H406" s="1134"/>
      <c r="I406" s="1133"/>
      <c r="J406" s="1134"/>
      <c r="K406" s="1107"/>
      <c r="L406" s="1058"/>
    </row>
    <row r="407" spans="1:12" ht="27" customHeight="1">
      <c r="A407" s="109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9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97" t="s">
        <v>1646</v>
      </c>
      <c r="B409" s="1097"/>
      <c r="C409" s="1097"/>
      <c r="D409" s="1097"/>
      <c r="E409" s="1097"/>
      <c r="F409" s="1097"/>
      <c r="G409" s="1097"/>
      <c r="H409" s="1097"/>
      <c r="I409" s="109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97" t="s">
        <v>2008</v>
      </c>
      <c r="B412" s="1135" t="s">
        <v>2009</v>
      </c>
      <c r="C412" s="1106" t="s">
        <v>21</v>
      </c>
      <c r="D412" s="954" t="s">
        <v>14</v>
      </c>
      <c r="E412" s="1106" t="s">
        <v>78</v>
      </c>
      <c r="F412" s="1104" t="s">
        <v>2010</v>
      </c>
      <c r="G412" s="1104" t="s">
        <v>40</v>
      </c>
      <c r="H412" s="1134" t="s">
        <v>614</v>
      </c>
      <c r="I412" s="1133"/>
      <c r="J412" s="1134">
        <v>1</v>
      </c>
      <c r="K412" s="1106" t="s">
        <v>2011</v>
      </c>
      <c r="L412" s="1056" t="s">
        <v>1997</v>
      </c>
    </row>
    <row r="413" spans="1:12" ht="20.100000000000001" customHeight="1">
      <c r="A413" s="1097"/>
      <c r="B413" s="1104"/>
      <c r="C413" s="1107"/>
      <c r="D413" s="955"/>
      <c r="E413" s="1107"/>
      <c r="F413" s="1104"/>
      <c r="G413" s="1104"/>
      <c r="H413" s="1134"/>
      <c r="I413" s="1133"/>
      <c r="J413" s="1134"/>
      <c r="K413" s="1107"/>
      <c r="L413" s="1058"/>
    </row>
    <row r="414" spans="1:12" ht="20.100000000000001" customHeight="1">
      <c r="A414" s="1097" t="s">
        <v>1646</v>
      </c>
      <c r="B414" s="1097"/>
      <c r="C414" s="1097"/>
      <c r="D414" s="1097"/>
      <c r="E414" s="1097"/>
      <c r="F414" s="1097"/>
      <c r="G414" s="1097"/>
      <c r="H414" s="1097"/>
      <c r="I414" s="109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5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57"/>
      <c r="B418" s="78" t="s">
        <v>1748</v>
      </c>
      <c r="C418" s="1133" t="s">
        <v>306</v>
      </c>
      <c r="D418" s="1133" t="s">
        <v>322</v>
      </c>
      <c r="E418" s="1133" t="s">
        <v>307</v>
      </c>
      <c r="F418" s="1134">
        <v>3306</v>
      </c>
      <c r="G418" s="1133" t="s">
        <v>1153</v>
      </c>
      <c r="H418" s="1134" t="s">
        <v>1749</v>
      </c>
      <c r="I418" s="1133" t="s">
        <v>664</v>
      </c>
      <c r="J418" s="1133">
        <v>4</v>
      </c>
      <c r="K418" s="1106" t="s">
        <v>631</v>
      </c>
      <c r="L418" s="1056" t="s">
        <v>51</v>
      </c>
    </row>
    <row r="419" spans="1:12" ht="13.5" customHeight="1">
      <c r="A419" s="1057"/>
      <c r="B419" s="79" t="s">
        <v>1751</v>
      </c>
      <c r="C419" s="1133"/>
      <c r="D419" s="1133"/>
      <c r="E419" s="1133"/>
      <c r="F419" s="1134"/>
      <c r="G419" s="1133"/>
      <c r="H419" s="1134"/>
      <c r="I419" s="1133"/>
      <c r="J419" s="1133"/>
      <c r="K419" s="1107"/>
      <c r="L419" s="1058"/>
    </row>
    <row r="420" spans="1:12" ht="13.5" customHeight="1">
      <c r="A420" s="1057"/>
      <c r="B420" s="78" t="s">
        <v>1800</v>
      </c>
      <c r="C420" s="1133" t="s">
        <v>306</v>
      </c>
      <c r="D420" s="1133" t="s">
        <v>322</v>
      </c>
      <c r="E420" s="1133" t="s">
        <v>307</v>
      </c>
      <c r="F420" s="1134" t="s">
        <v>1801</v>
      </c>
      <c r="G420" s="1133" t="s">
        <v>1802</v>
      </c>
      <c r="H420" s="1134" t="s">
        <v>1803</v>
      </c>
      <c r="I420" s="1133" t="s">
        <v>664</v>
      </c>
      <c r="J420" s="1133">
        <v>5</v>
      </c>
      <c r="K420" s="1106" t="s">
        <v>631</v>
      </c>
      <c r="L420" s="1056" t="s">
        <v>51</v>
      </c>
    </row>
    <row r="421" spans="1:12" ht="13.5" customHeight="1">
      <c r="A421" s="1057"/>
      <c r="B421" s="79" t="s">
        <v>1795</v>
      </c>
      <c r="C421" s="1133"/>
      <c r="D421" s="1133"/>
      <c r="E421" s="1133"/>
      <c r="F421" s="1134"/>
      <c r="G421" s="1133"/>
      <c r="H421" s="1134"/>
      <c r="I421" s="1133"/>
      <c r="J421" s="1133"/>
      <c r="K421" s="1107"/>
      <c r="L421" s="1058"/>
    </row>
    <row r="422" spans="1:12" ht="27" customHeight="1">
      <c r="A422" s="105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97" t="s">
        <v>1646</v>
      </c>
      <c r="B423" s="1097"/>
      <c r="C423" s="1097"/>
      <c r="D423" s="1097"/>
      <c r="E423" s="1097"/>
      <c r="F423" s="1097"/>
      <c r="G423" s="1097"/>
      <c r="H423" s="1097"/>
      <c r="I423" s="109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8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8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8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8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0" t="s">
        <v>1646</v>
      </c>
      <c r="B431" s="1070"/>
      <c r="C431" s="1070"/>
      <c r="D431" s="1070"/>
      <c r="E431" s="1070"/>
      <c r="F431" s="1070"/>
      <c r="G431" s="1070"/>
      <c r="H431" s="1070"/>
      <c r="I431" s="107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8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0" t="s">
        <v>1646</v>
      </c>
      <c r="B435" s="1070"/>
      <c r="C435" s="1070"/>
      <c r="D435" s="1070"/>
      <c r="E435" s="1070"/>
      <c r="F435" s="1070"/>
      <c r="G435" s="1070"/>
      <c r="H435" s="1070"/>
      <c r="I435" s="107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1" t="s">
        <v>2027</v>
      </c>
      <c r="B438" s="252" t="s">
        <v>1760</v>
      </c>
      <c r="C438" s="1012" t="s">
        <v>306</v>
      </c>
      <c r="D438" s="1012" t="s">
        <v>322</v>
      </c>
      <c r="E438" s="1012" t="s">
        <v>307</v>
      </c>
      <c r="F438" s="1136" t="s">
        <v>1761</v>
      </c>
      <c r="G438" s="1012" t="s">
        <v>329</v>
      </c>
      <c r="H438" s="1118" t="s">
        <v>1762</v>
      </c>
      <c r="I438" s="960" t="s">
        <v>664</v>
      </c>
      <c r="J438" s="1138">
        <v>2</v>
      </c>
      <c r="K438" s="1106" t="s">
        <v>1996</v>
      </c>
      <c r="L438" s="1106" t="s">
        <v>51</v>
      </c>
    </row>
    <row r="439" spans="1:12" ht="13.5" customHeight="1">
      <c r="A439" s="922"/>
      <c r="B439" s="253" t="s">
        <v>2028</v>
      </c>
      <c r="C439" s="1013"/>
      <c r="D439" s="1013"/>
      <c r="E439" s="1013"/>
      <c r="F439" s="1137"/>
      <c r="G439" s="1013"/>
      <c r="H439" s="1120"/>
      <c r="I439" s="961"/>
      <c r="J439" s="1139"/>
      <c r="K439" s="1107"/>
      <c r="L439" s="1107"/>
    </row>
    <row r="440" spans="1:12" ht="13.5" customHeight="1">
      <c r="A440" s="922"/>
      <c r="B440" s="254" t="s">
        <v>1794</v>
      </c>
      <c r="C440" s="900" t="s">
        <v>306</v>
      </c>
      <c r="D440" s="900" t="s">
        <v>322</v>
      </c>
      <c r="E440" s="900" t="s">
        <v>307</v>
      </c>
      <c r="F440" s="907" t="s">
        <v>1796</v>
      </c>
      <c r="G440" s="900" t="s">
        <v>1797</v>
      </c>
      <c r="H440" s="907" t="s">
        <v>1792</v>
      </c>
      <c r="I440" s="900" t="s">
        <v>664</v>
      </c>
      <c r="J440" s="941">
        <v>4</v>
      </c>
      <c r="K440" s="1106" t="s">
        <v>631</v>
      </c>
      <c r="L440" s="1106" t="s">
        <v>1997</v>
      </c>
    </row>
    <row r="441" spans="1:12" ht="13.5" customHeight="1">
      <c r="A441" s="922"/>
      <c r="B441" s="255" t="s">
        <v>1795</v>
      </c>
      <c r="C441" s="900"/>
      <c r="D441" s="900"/>
      <c r="E441" s="900"/>
      <c r="F441" s="907"/>
      <c r="G441" s="900"/>
      <c r="H441" s="907"/>
      <c r="I441" s="900"/>
      <c r="J441" s="942"/>
      <c r="K441" s="1107"/>
      <c r="L441" s="1107"/>
    </row>
    <row r="442" spans="1:12" ht="20.100000000000001" customHeight="1">
      <c r="A442" s="92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1" t="s">
        <v>1646</v>
      </c>
      <c r="B450" s="1102"/>
      <c r="C450" s="1102"/>
      <c r="D450" s="1102"/>
      <c r="E450" s="1102"/>
      <c r="F450" s="1102"/>
      <c r="G450" s="1102"/>
      <c r="H450" s="1102"/>
      <c r="I450" s="110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1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1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1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99" t="s">
        <v>2059</v>
      </c>
      <c r="B459" s="899"/>
      <c r="C459" s="899"/>
      <c r="D459" s="899"/>
      <c r="E459" s="899"/>
      <c r="F459" s="899"/>
      <c r="G459" s="899"/>
      <c r="H459" s="899"/>
      <c r="I459" s="89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8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87"/>
      <c r="B463" s="1140" t="s">
        <v>1767</v>
      </c>
      <c r="C463" s="1141" t="s">
        <v>311</v>
      </c>
      <c r="D463" s="1141" t="s">
        <v>320</v>
      </c>
      <c r="E463" s="1141" t="s">
        <v>709</v>
      </c>
      <c r="F463" s="1141" t="s">
        <v>1768</v>
      </c>
      <c r="G463" s="1140" t="s">
        <v>1769</v>
      </c>
      <c r="H463" s="258" t="s">
        <v>1770</v>
      </c>
      <c r="I463" s="1141"/>
      <c r="J463" s="1141">
        <v>1</v>
      </c>
      <c r="K463" s="954" t="s">
        <v>631</v>
      </c>
      <c r="L463" s="984" t="s">
        <v>51</v>
      </c>
    </row>
    <row r="464" spans="1:12" ht="13.5" customHeight="1">
      <c r="A464" s="887"/>
      <c r="B464" s="1140"/>
      <c r="C464" s="1141"/>
      <c r="D464" s="1141"/>
      <c r="E464" s="1141"/>
      <c r="F464" s="1141"/>
      <c r="G464" s="1140"/>
      <c r="H464" s="259" t="s">
        <v>1773</v>
      </c>
      <c r="I464" s="1141"/>
      <c r="J464" s="1141"/>
      <c r="K464" s="955"/>
      <c r="L464" s="985"/>
    </row>
    <row r="465" spans="1:12" ht="13.5" customHeight="1">
      <c r="A465" s="887"/>
      <c r="B465" s="1142" t="s">
        <v>1813</v>
      </c>
      <c r="C465" s="1104" t="s">
        <v>700</v>
      </c>
      <c r="D465" s="1133" t="s">
        <v>320</v>
      </c>
      <c r="E465" s="1133" t="s">
        <v>337</v>
      </c>
      <c r="F465" s="1104" t="s">
        <v>353</v>
      </c>
      <c r="G465" s="1104" t="s">
        <v>1814</v>
      </c>
      <c r="H465" s="1134" t="s">
        <v>1815</v>
      </c>
      <c r="I465" s="1133" t="s">
        <v>638</v>
      </c>
      <c r="J465" s="1134">
        <v>2</v>
      </c>
      <c r="K465" s="1106" t="s">
        <v>631</v>
      </c>
      <c r="L465" s="1106" t="s">
        <v>51</v>
      </c>
    </row>
    <row r="466" spans="1:12" ht="13.5" customHeight="1">
      <c r="A466" s="887"/>
      <c r="B466" s="1142"/>
      <c r="C466" s="1104"/>
      <c r="D466" s="1133"/>
      <c r="E466" s="1133"/>
      <c r="F466" s="1104"/>
      <c r="G466" s="1104"/>
      <c r="H466" s="1134"/>
      <c r="I466" s="1133"/>
      <c r="J466" s="1134"/>
      <c r="K466" s="1107"/>
      <c r="L466" s="1107"/>
    </row>
    <row r="467" spans="1:12" ht="27" customHeight="1">
      <c r="A467" s="88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87"/>
      <c r="B468" s="1104" t="s">
        <v>1820</v>
      </c>
      <c r="C468" s="1104" t="s">
        <v>700</v>
      </c>
      <c r="D468" s="1133" t="s">
        <v>320</v>
      </c>
      <c r="E468" s="1133" t="s">
        <v>709</v>
      </c>
      <c r="F468" s="1133" t="s">
        <v>1768</v>
      </c>
      <c r="G468" s="1104" t="s">
        <v>1821</v>
      </c>
      <c r="H468" s="261" t="s">
        <v>1822</v>
      </c>
      <c r="I468" s="1133" t="s">
        <v>638</v>
      </c>
      <c r="J468" s="1133">
        <v>2</v>
      </c>
      <c r="K468" s="1106" t="s">
        <v>631</v>
      </c>
      <c r="L468" s="1106" t="s">
        <v>51</v>
      </c>
    </row>
    <row r="469" spans="1:12" ht="13.5" customHeight="1">
      <c r="A469" s="887"/>
      <c r="B469" s="1104"/>
      <c r="C469" s="1104"/>
      <c r="D469" s="1133"/>
      <c r="E469" s="1133"/>
      <c r="F469" s="1133"/>
      <c r="G469" s="1104"/>
      <c r="H469" s="262" t="s">
        <v>1823</v>
      </c>
      <c r="I469" s="1133"/>
      <c r="J469" s="1133"/>
      <c r="K469" s="1107"/>
      <c r="L469" s="1107"/>
    </row>
    <row r="470" spans="1:12" ht="27" customHeight="1">
      <c r="A470" s="88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0" t="s">
        <v>53</v>
      </c>
      <c r="B472" s="1070"/>
      <c r="C472" s="1070"/>
      <c r="D472" s="1070"/>
      <c r="E472" s="1070"/>
      <c r="F472" s="1070"/>
      <c r="G472" s="1070"/>
      <c r="H472" s="1070"/>
      <c r="I472" s="107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0" t="s">
        <v>228</v>
      </c>
      <c r="B476" s="1140" t="s">
        <v>1767</v>
      </c>
      <c r="C476" s="1141" t="s">
        <v>311</v>
      </c>
      <c r="D476" s="1141" t="s">
        <v>320</v>
      </c>
      <c r="E476" s="1141" t="s">
        <v>709</v>
      </c>
      <c r="F476" s="1141" t="s">
        <v>1768</v>
      </c>
      <c r="G476" s="1140" t="s">
        <v>1769</v>
      </c>
      <c r="H476" s="258" t="s">
        <v>1770</v>
      </c>
      <c r="I476" s="1141"/>
      <c r="J476" s="1141">
        <v>1</v>
      </c>
      <c r="K476" s="954" t="s">
        <v>631</v>
      </c>
      <c r="L476" s="984" t="s">
        <v>51</v>
      </c>
    </row>
    <row r="477" spans="1:12" ht="13.5" customHeight="1">
      <c r="A477" s="1070"/>
      <c r="B477" s="1140"/>
      <c r="C477" s="1141"/>
      <c r="D477" s="1141"/>
      <c r="E477" s="1141"/>
      <c r="F477" s="1141"/>
      <c r="G477" s="1140"/>
      <c r="H477" s="259" t="s">
        <v>1773</v>
      </c>
      <c r="I477" s="1141"/>
      <c r="J477" s="1141"/>
      <c r="K477" s="955"/>
      <c r="L477" s="985"/>
    </row>
    <row r="478" spans="1:12" ht="27" customHeight="1">
      <c r="A478" s="10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0" t="s">
        <v>1646</v>
      </c>
      <c r="B479" s="1070"/>
      <c r="C479" s="1070"/>
      <c r="D479" s="1070"/>
      <c r="E479" s="1070"/>
      <c r="F479" s="1070"/>
      <c r="G479" s="1070"/>
      <c r="H479" s="1070"/>
      <c r="I479" s="107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0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1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1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1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1" t="s">
        <v>53</v>
      </c>
      <c r="B487" s="1102"/>
      <c r="C487" s="1102"/>
      <c r="D487" s="1102"/>
      <c r="E487" s="1102"/>
      <c r="F487" s="1102"/>
      <c r="G487" s="1102"/>
      <c r="H487" s="1102"/>
      <c r="I487" s="110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0"/>
      <c r="B494" s="1143" t="s">
        <v>2182</v>
      </c>
      <c r="C494" s="1143" t="s">
        <v>306</v>
      </c>
      <c r="D494" s="1143" t="s">
        <v>322</v>
      </c>
      <c r="E494" s="1143" t="s">
        <v>307</v>
      </c>
      <c r="F494" s="1144" t="s">
        <v>1919</v>
      </c>
      <c r="G494" s="1143" t="s">
        <v>662</v>
      </c>
      <c r="H494" s="1144" t="s">
        <v>1920</v>
      </c>
      <c r="I494" s="1143" t="s">
        <v>349</v>
      </c>
      <c r="J494" s="1143">
        <v>2</v>
      </c>
      <c r="K494" s="1104" t="s">
        <v>50</v>
      </c>
      <c r="L494" s="222">
        <v>23</v>
      </c>
    </row>
    <row r="495" spans="1:12" ht="12.6" customHeight="1">
      <c r="A495" s="1100"/>
      <c r="B495" s="1143"/>
      <c r="C495" s="1143"/>
      <c r="D495" s="1143"/>
      <c r="E495" s="1143"/>
      <c r="F495" s="1144"/>
      <c r="G495" s="1143"/>
      <c r="H495" s="1144"/>
      <c r="I495" s="1143"/>
      <c r="J495" s="1143"/>
      <c r="K495" s="1104"/>
    </row>
    <row r="496" spans="1:12" ht="24.95" customHeight="1">
      <c r="A496" s="110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0" t="s">
        <v>53</v>
      </c>
      <c r="B500" s="1070"/>
      <c r="C500" s="1070"/>
      <c r="D500" s="1070"/>
      <c r="E500" s="1070"/>
      <c r="F500" s="1070"/>
      <c r="G500" s="1070"/>
      <c r="H500" s="1070"/>
      <c r="I500" s="107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9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9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9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9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9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0" t="s">
        <v>2217</v>
      </c>
      <c r="B511" s="1070"/>
      <c r="C511" s="1070"/>
      <c r="D511" s="1070"/>
      <c r="E511" s="1070"/>
      <c r="F511" s="1070"/>
      <c r="G511" s="1070"/>
      <c r="H511" s="1070"/>
      <c r="I511" s="107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9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9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9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9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9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9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9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99" t="s">
        <v>2233</v>
      </c>
      <c r="B522" s="899"/>
      <c r="C522" s="899"/>
      <c r="D522" s="899"/>
      <c r="E522" s="899"/>
      <c r="F522" s="899"/>
      <c r="G522" s="899"/>
      <c r="H522" s="899"/>
      <c r="I522" s="89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0" t="s">
        <v>2238</v>
      </c>
      <c r="B528" s="1070"/>
      <c r="C528" s="1070"/>
      <c r="D528" s="1070"/>
      <c r="E528" s="1070"/>
      <c r="F528" s="1070"/>
      <c r="G528" s="1070"/>
      <c r="H528" s="1070"/>
      <c r="I528" s="107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9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9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9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0" t="s">
        <v>2233</v>
      </c>
      <c r="B535" s="1070"/>
      <c r="C535" s="1070"/>
      <c r="D535" s="1070"/>
      <c r="E535" s="1070"/>
      <c r="F535" s="1070"/>
      <c r="G535" s="1070"/>
      <c r="H535" s="1070"/>
      <c r="I535" s="107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1" t="s">
        <v>2238</v>
      </c>
      <c r="B540" s="1102"/>
      <c r="C540" s="1102"/>
      <c r="D540" s="1102"/>
      <c r="E540" s="1102"/>
      <c r="F540" s="1102"/>
      <c r="G540" s="1102"/>
      <c r="H540" s="1102"/>
      <c r="I540" s="110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97" t="s">
        <v>2233</v>
      </c>
      <c r="B546" s="1097"/>
      <c r="C546" s="1097"/>
      <c r="D546" s="1097"/>
      <c r="E546" s="1097"/>
      <c r="F546" s="1097"/>
      <c r="G546" s="1097"/>
      <c r="H546" s="1097"/>
      <c r="I546" s="109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0" t="s">
        <v>2233</v>
      </c>
      <c r="B550" s="1070"/>
      <c r="C550" s="1070"/>
      <c r="D550" s="1070"/>
      <c r="E550" s="1070"/>
      <c r="F550" s="1070"/>
      <c r="G550" s="1070"/>
      <c r="H550" s="1070"/>
      <c r="I550" s="107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0" t="s">
        <v>2233</v>
      </c>
      <c r="B565" s="1070"/>
      <c r="C565" s="1070"/>
      <c r="D565" s="1070"/>
      <c r="E565" s="1070"/>
      <c r="F565" s="1070"/>
      <c r="G565" s="1070"/>
      <c r="H565" s="1070"/>
      <c r="I565" s="107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6" t="s">
        <v>306</v>
      </c>
      <c r="D569" s="916" t="s">
        <v>322</v>
      </c>
      <c r="E569" s="916" t="s">
        <v>307</v>
      </c>
      <c r="F569" s="916">
        <v>3306</v>
      </c>
      <c r="G569" s="916" t="s">
        <v>1153</v>
      </c>
      <c r="H569" s="916" t="s">
        <v>1907</v>
      </c>
      <c r="I569" s="916" t="s">
        <v>1111</v>
      </c>
      <c r="J569" s="916" t="s">
        <v>692</v>
      </c>
      <c r="K569" s="1095" t="s">
        <v>2291</v>
      </c>
    </row>
    <row r="570" spans="1:12">
      <c r="B570" s="243" t="s">
        <v>1909</v>
      </c>
      <c r="C570" s="917"/>
      <c r="D570" s="917"/>
      <c r="E570" s="917"/>
      <c r="F570" s="917"/>
      <c r="G570" s="917"/>
      <c r="H570" s="917"/>
      <c r="I570" s="917"/>
      <c r="J570" s="917"/>
      <c r="K570" s="10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0" t="s">
        <v>1458</v>
      </c>
      <c r="B582" s="1070"/>
      <c r="C582" s="1070"/>
      <c r="D582" s="1070"/>
      <c r="E582" s="1070"/>
      <c r="F582" s="1070"/>
      <c r="G582" s="1070"/>
      <c r="H582" s="1070"/>
      <c r="I582" s="107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9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9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0" t="s">
        <v>2393</v>
      </c>
      <c r="B588" s="1070"/>
      <c r="C588" s="1070"/>
      <c r="D588" s="1070"/>
      <c r="E588" s="1070"/>
      <c r="F588" s="1070"/>
      <c r="G588" s="1070"/>
      <c r="H588" s="1070"/>
      <c r="I588" s="107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99" t="s">
        <v>2406</v>
      </c>
      <c r="B592" s="899"/>
      <c r="C592" s="899"/>
      <c r="D592" s="899"/>
      <c r="E592" s="899"/>
      <c r="F592" s="899"/>
      <c r="G592" s="899"/>
      <c r="H592" s="899"/>
      <c r="I592" s="89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9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9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9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9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9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9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99" t="s">
        <v>2406</v>
      </c>
      <c r="B601" s="899"/>
      <c r="C601" s="899"/>
      <c r="D601" s="899"/>
      <c r="E601" s="899"/>
      <c r="F601" s="899"/>
      <c r="G601" s="899"/>
      <c r="H601" s="899"/>
      <c r="I601" s="89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0" t="s">
        <v>2437</v>
      </c>
      <c r="B606" s="1070"/>
      <c r="C606" s="1070"/>
      <c r="D606" s="1070"/>
      <c r="E606" s="1070"/>
      <c r="F606" s="1070"/>
      <c r="G606" s="1070"/>
      <c r="H606" s="1070"/>
      <c r="I606" s="107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9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9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9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0" t="s">
        <v>2406</v>
      </c>
      <c r="B613" s="1070"/>
      <c r="C613" s="1070"/>
      <c r="D613" s="1070"/>
      <c r="E613" s="1070"/>
      <c r="F613" s="1070"/>
      <c r="G613" s="1070"/>
      <c r="H613" s="1070"/>
      <c r="I613" s="107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0" t="s">
        <v>2406</v>
      </c>
      <c r="B627" s="1070"/>
      <c r="C627" s="1070"/>
      <c r="D627" s="1070"/>
      <c r="E627" s="1070"/>
      <c r="F627" s="1070"/>
      <c r="G627" s="1070"/>
      <c r="H627" s="1070"/>
      <c r="I627" s="107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0" t="s">
        <v>1646</v>
      </c>
      <c r="B655" s="1150"/>
      <c r="C655" s="1150"/>
      <c r="D655" s="1150"/>
      <c r="E655" s="1150"/>
      <c r="F655" s="1150"/>
      <c r="G655" s="1150"/>
      <c r="H655" s="1150"/>
      <c r="I655" s="115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0" t="s">
        <v>1646</v>
      </c>
      <c r="B674" s="1150"/>
      <c r="C674" s="1150"/>
      <c r="D674" s="1150"/>
      <c r="E674" s="1150"/>
      <c r="F674" s="1150"/>
      <c r="G674" s="1150"/>
      <c r="H674" s="1150"/>
      <c r="I674" s="115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0" t="s">
        <v>1646</v>
      </c>
      <c r="B681" s="1150"/>
      <c r="C681" s="1150"/>
      <c r="D681" s="1150"/>
      <c r="E681" s="1150"/>
      <c r="F681" s="1150"/>
      <c r="G681" s="1150"/>
      <c r="H681" s="1150"/>
      <c r="I681" s="115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5" t="s">
        <v>1646</v>
      </c>
      <c r="B688" s="1145"/>
      <c r="C688" s="1145"/>
      <c r="D688" s="1145"/>
      <c r="E688" s="1145"/>
      <c r="F688" s="1145"/>
      <c r="G688" s="1145"/>
      <c r="H688" s="1145"/>
      <c r="I688" s="114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5" t="s">
        <v>1646</v>
      </c>
      <c r="B699" s="1145"/>
      <c r="C699" s="1145"/>
      <c r="D699" s="1145"/>
      <c r="E699" s="1145"/>
      <c r="F699" s="1145"/>
      <c r="G699" s="1145"/>
      <c r="H699" s="1145"/>
      <c r="I699" s="1145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9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9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9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9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9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9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9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9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9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9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9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9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9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9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94" t="s">
        <v>1646</v>
      </c>
      <c r="B717" s="1094"/>
      <c r="C717" s="1094"/>
      <c r="D717" s="1094"/>
      <c r="E717" s="1094"/>
      <c r="F717" s="1094"/>
      <c r="G717" s="1094"/>
      <c r="H717" s="1094"/>
      <c r="I717" s="109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15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15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15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15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15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15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15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15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94" t="s">
        <v>1646</v>
      </c>
      <c r="B731" s="1094"/>
      <c r="C731" s="1094"/>
      <c r="D731" s="1094"/>
      <c r="E731" s="1094"/>
      <c r="F731" s="1094"/>
      <c r="G731" s="1094"/>
      <c r="H731" s="1094"/>
      <c r="I731" s="109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15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15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15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15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15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15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15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15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15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15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15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15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15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94" t="s">
        <v>1646</v>
      </c>
      <c r="B749" s="1094"/>
      <c r="C749" s="1094"/>
      <c r="D749" s="1094"/>
      <c r="E749" s="1094"/>
      <c r="F749" s="1094"/>
      <c r="G749" s="1094"/>
      <c r="H749" s="1094"/>
      <c r="I749" s="109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157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158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158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158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158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158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158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158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159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151" t="s">
        <v>1646</v>
      </c>
      <c r="B762" s="1151"/>
      <c r="C762" s="1151"/>
      <c r="D762" s="1151"/>
      <c r="E762" s="1151"/>
      <c r="F762" s="1151"/>
      <c r="G762" s="1151"/>
      <c r="H762" s="1151"/>
      <c r="I762" s="115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160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61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61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61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62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151" t="s">
        <v>1646</v>
      </c>
      <c r="B770" s="1151"/>
      <c r="C770" s="1151"/>
      <c r="D770" s="1151"/>
      <c r="E770" s="1151"/>
      <c r="F770" s="1151"/>
      <c r="G770" s="1151"/>
      <c r="H770" s="1151"/>
      <c r="I770" s="115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152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152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152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152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152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151" t="s">
        <v>1646</v>
      </c>
      <c r="B778" s="1151"/>
      <c r="C778" s="1151"/>
      <c r="D778" s="1151"/>
      <c r="E778" s="1151"/>
      <c r="F778" s="1151"/>
      <c r="G778" s="1151"/>
      <c r="H778" s="1151"/>
      <c r="I778" s="115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152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152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152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152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152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152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152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152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151" t="s">
        <v>1646</v>
      </c>
      <c r="B790" s="1151"/>
      <c r="C790" s="1151"/>
      <c r="D790" s="1151"/>
      <c r="E790" s="1151"/>
      <c r="F790" s="1151"/>
      <c r="G790" s="1151"/>
      <c r="H790" s="1151"/>
      <c r="I790" s="115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157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158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158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158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158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158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158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158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151" t="s">
        <v>1646</v>
      </c>
      <c r="B802" s="1151"/>
      <c r="C802" s="1151"/>
      <c r="D802" s="1151"/>
      <c r="E802" s="1151"/>
      <c r="F802" s="1151"/>
      <c r="G802" s="1151"/>
      <c r="H802" s="1151"/>
      <c r="I802" s="115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63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164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64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64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164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164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151" t="s">
        <v>1646</v>
      </c>
      <c r="B812" s="1151"/>
      <c r="C812" s="1151"/>
      <c r="D812" s="1151"/>
      <c r="E812" s="1151"/>
      <c r="F812" s="1151"/>
      <c r="G812" s="1151"/>
      <c r="H812" s="1151"/>
      <c r="I812" s="115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9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9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151" t="s">
        <v>1646</v>
      </c>
      <c r="B819" s="1151"/>
      <c r="C819" s="1151"/>
      <c r="D819" s="1151"/>
      <c r="E819" s="1151"/>
      <c r="F819" s="1151"/>
      <c r="G819" s="1151"/>
      <c r="H819" s="1151"/>
      <c r="I819" s="115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160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61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61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61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61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61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61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61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61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62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151" t="s">
        <v>1646</v>
      </c>
      <c r="B834" s="1151"/>
      <c r="C834" s="1151"/>
      <c r="D834" s="1151"/>
      <c r="E834" s="1151"/>
      <c r="F834" s="1151"/>
      <c r="G834" s="1151"/>
      <c r="H834" s="1151"/>
      <c r="I834" s="115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160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61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62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151" t="s">
        <v>1646</v>
      </c>
      <c r="B841" s="1151"/>
      <c r="C841" s="1151"/>
      <c r="D841" s="1151"/>
      <c r="E841" s="1151"/>
      <c r="F841" s="1151"/>
      <c r="G841" s="1151"/>
      <c r="H841" s="1151"/>
      <c r="I841" s="115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157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>
      <c r="A846" s="1158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158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158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>
      <c r="A849" s="1158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>
      <c r="A850" s="1158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158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>
      <c r="A852" s="1158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6322</v>
      </c>
      <c r="I852" s="671" t="s">
        <v>3429</v>
      </c>
      <c r="J852" s="813">
        <v>1</v>
      </c>
      <c r="K852" s="632" t="s">
        <v>50</v>
      </c>
    </row>
    <row r="853" spans="1:11">
      <c r="A853" s="1151" t="s">
        <v>1646</v>
      </c>
      <c r="B853" s="1151"/>
      <c r="C853" s="1151"/>
      <c r="D853" s="1151"/>
      <c r="E853" s="1151"/>
      <c r="F853" s="1151"/>
      <c r="G853" s="1151"/>
      <c r="H853" s="1151"/>
      <c r="I853" s="115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160" t="s">
        <v>6385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161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161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>
      <c r="A859" s="1161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>
      <c r="A860" s="1161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61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61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61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>
      <c r="A864" s="1161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>
      <c r="A865" s="1161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161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161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>
      <c r="A868" s="1161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>
      <c r="A869" s="1161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>
      <c r="A870" s="1161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161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>
      <c r="A872" s="1161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>
      <c r="A873" s="1161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>
      <c r="A874" s="1161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>
      <c r="A875" s="1162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151" t="s">
        <v>1646</v>
      </c>
      <c r="B876" s="1151"/>
      <c r="C876" s="1151"/>
      <c r="D876" s="1151"/>
      <c r="E876" s="1151"/>
      <c r="F876" s="1151"/>
      <c r="G876" s="1151"/>
      <c r="H876" s="1151"/>
      <c r="I876" s="115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61" t="s">
        <v>6386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6387</v>
      </c>
      <c r="I880" s="671" t="s">
        <v>6388</v>
      </c>
      <c r="J880" s="671">
        <v>1</v>
      </c>
      <c r="K880" s="632" t="s">
        <v>50</v>
      </c>
    </row>
    <row r="881" spans="1:15">
      <c r="A881" s="1161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>
      <c r="A882" s="1161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>
      <c r="A883" s="1161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>
      <c r="A884" s="1161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>
      <c r="A885" s="1161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>
      <c r="A886" s="1161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151" t="s">
        <v>1646</v>
      </c>
      <c r="B887" s="1151"/>
      <c r="C887" s="1151"/>
      <c r="D887" s="1151"/>
      <c r="E887" s="1151"/>
      <c r="F887" s="1151"/>
      <c r="G887" s="1151"/>
      <c r="H887" s="1151"/>
      <c r="I887" s="115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16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16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16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1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>
      <c r="A897" s="11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>
      <c r="A898" s="116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>
      <c r="A899" s="116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>
      <c r="A900" s="11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>
      <c r="A901" s="116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16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16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6393</v>
      </c>
      <c r="I903" s="671" t="s">
        <v>3429</v>
      </c>
      <c r="J903" s="844">
        <v>1</v>
      </c>
      <c r="K903" s="632" t="s">
        <v>6394</v>
      </c>
    </row>
    <row r="904" spans="1:11">
      <c r="A904" s="1151" t="s">
        <v>1646</v>
      </c>
      <c r="B904" s="1151"/>
      <c r="C904" s="1151"/>
      <c r="D904" s="1151"/>
      <c r="E904" s="1151"/>
      <c r="F904" s="1151"/>
      <c r="G904" s="1151"/>
      <c r="H904" s="1151"/>
      <c r="I904" s="115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165" t="s">
        <v>6395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>
      <c r="A909" s="116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>
      <c r="A910" s="116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>
      <c r="A911" s="11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1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1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16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>
      <c r="A915" s="116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>
      <c r="A916" s="116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6394</v>
      </c>
    </row>
    <row r="917" spans="1:11" ht="22.5">
      <c r="A917" s="116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6394</v>
      </c>
    </row>
    <row r="918" spans="1:11" ht="22.5">
      <c r="A918" s="116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>
      <c r="A919" s="1151" t="s">
        <v>1646</v>
      </c>
      <c r="B919" s="1151"/>
      <c r="C919" s="1151"/>
      <c r="D919" s="1151"/>
      <c r="E919" s="1151"/>
      <c r="F919" s="1151"/>
      <c r="G919" s="1151"/>
      <c r="H919" s="1151"/>
      <c r="I919" s="115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160" t="s">
        <v>6396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161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161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161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162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>
      <c r="A930" s="1151" t="s">
        <v>1646</v>
      </c>
      <c r="B930" s="1151"/>
      <c r="C930" s="1151"/>
      <c r="D930" s="1151"/>
      <c r="E930" s="1151"/>
      <c r="F930" s="1151"/>
      <c r="G930" s="1151"/>
      <c r="H930" s="1151"/>
      <c r="I930" s="115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167" t="s">
        <v>6396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>
      <c r="A934" s="1167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>
      <c r="A935" s="1167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>
      <c r="A936" s="1167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>
      <c r="A937" s="1167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>
      <c r="A938" s="1167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>
      <c r="A939" s="1167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>
      <c r="A940" s="1167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>
      <c r="A941" s="1167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>
      <c r="A942" s="1167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>
      <c r="A943" s="1167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>
      <c r="A944" s="1151" t="s">
        <v>1646</v>
      </c>
      <c r="B944" s="1151"/>
      <c r="C944" s="1151"/>
      <c r="D944" s="1151"/>
      <c r="E944" s="1151"/>
      <c r="F944" s="1151"/>
      <c r="G944" s="1151"/>
      <c r="H944" s="1151"/>
      <c r="I944" s="1151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99" t="s">
        <v>5385</v>
      </c>
      <c r="I12" s="899"/>
      <c r="J12" s="899"/>
      <c r="K12" s="89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99" t="s">
        <v>5386</v>
      </c>
      <c r="I20" s="899"/>
      <c r="J20" s="899"/>
      <c r="K20" s="89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2026-07-20T05:59:50Z</dcterms:modified>
</cp:coreProperties>
</file>