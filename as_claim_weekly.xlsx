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54B16867-AAC3-467A-A20E-A34F66B7F47C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(12)'!$A$1:$M$29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129" l="1"/>
  <c r="L4" i="129"/>
  <c r="L6" i="129"/>
  <c r="M1401" i="2" l="1"/>
  <c r="M1400" i="2"/>
  <c r="M1399" i="2"/>
  <c r="M1398" i="2"/>
  <c r="L7" i="129" l="1"/>
  <c r="L8" i="129" s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<sst xmlns="http://schemas.openxmlformats.org/spreadsheetml/2006/main" count="20635" uniqueCount="5689">
  <si>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</si>
  <si>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</si>
  <si>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</si>
  <si>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</si>
  <si>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</si>
  <si>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</si>
  <si>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</si>
  <si>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</si>
  <si>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</si>
  <si>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</si>
  <si>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</si>
  <si>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</si>
  <si>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</si>
  <si>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</si>
  <si>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</si>
  <si>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</si>
  <si>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</si>
  <si>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</si>
  <si>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</si>
  <si>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</si>
  <si>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</si>
  <si>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</si>
  <si>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</si>
  <si>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</si>
  <si>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</si>
  <si>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</si>
  <si>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</si>
  <si>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</si>
  <si>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</si>
  <si>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</si>
  <si>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</si>
  <si>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</si>
  <si>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</si>
  <si>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</si>
  <si>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</si>
  <si>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</si>
  <si>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</si>
  <si>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</si>
  <si>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</si>
  <si>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</si>
  <si>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</si>
  <si>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</si>
  <si>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</si>
  <si>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</si>
  <si>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</si>
  <si>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</si>
  <si>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</si>
  <si>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</si>
  <si>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</si>
  <si>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</si>
  <si>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</si>
  <si>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</si>
  <si>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</si>
  <si>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</si>
  <si>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</si>
  <si>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</si>
  <si>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</si>
  <si>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</si>
  <si>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</si>
  <si>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</si>
  <si>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</si>
  <si>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</si>
  <si>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</si>
  <si>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</si>
  <si>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</si>
  <si>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</si>
  <si>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</si>
  <si>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</si>
  <si>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</si>
  <si>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</si>
  <si>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</si>
  <si>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</si>
  <si>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</si>
  <si>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</si>
  <si>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</si>
  <si>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</si>
  <si>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</si>
  <si>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</si>
  <si>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</si>
  <si>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</si>
  <si>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</si>
  <si>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</si>
  <si>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</si>
  <si>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</si>
  <si>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</si>
  <si>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</si>
  <si>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</si>
  <si>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</si>
  <si>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</si>
  <si>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</si>
  <si>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</si>
  <si>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</si>
  <si>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</si>
  <si>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</si>
  <si>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</si>
  <si>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</si>
  <si>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</si>
  <si>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</si>
  <si>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</si>
  <si>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</si>
  <si>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</si>
  <si>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</si>
  <si>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</si>
  <si>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</si>
  <si>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</si>
  <si>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</si>
  <si>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</si>
  <si>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</si>
  <si>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</si>
  <si>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</si>
  <si>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</si>
  <si>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</si>
  <si>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</si>
  <si>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</si>
  <si>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</si>
  <si>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</si>
  <si>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</si>
  <si>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</si>
  <si>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</si>
  <si>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</si>
  <si>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</si>
  <si>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</si>
  <si>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</si>
  <si>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</si>
  <si>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</si>
  <si>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</si>
  <si>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</si>
  <si>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</si>
  <si>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</si>
  <si>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</si>
  <si>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</si>
  <si>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</si>
  <si>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</si>
  <si>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</si>
  <si>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</si>
  <si>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</si>
  <si>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</si>
  <si>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</si>
  <si>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</si>
  <si>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</si>
  <si>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</si>
  <si>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</si>
  <si>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</si>
  <si>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</si>
  <si>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</si>
  <si>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</si>
  <si>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</si>
  <si>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</si>
  <si>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</si>
  <si>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</si>
  <si>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</si>
  <si>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</si>
  <si>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</si>
  <si>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</si>
  <si>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</si>
  <si>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</si>
  <si>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</si>
  <si>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</si>
  <si>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</si>
  <si>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</si>
  <si>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</si>
  <si>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</si>
  <si>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</si>
  <si>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</si>
  <si>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</si>
  <si>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</si>
  <si>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</si>
  <si>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</si>
  <si>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</si>
  <si>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</si>
  <si>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</si>
  <si>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</si>
  <si>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</si>
  <si>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</si>
  <si>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</si>
  <si>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</si>
  <si>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</si>
  <si>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</si>
  <si>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</si>
  <si>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</si>
  <si>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</si>
  <si>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</si>
  <si>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</si>
  <si>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</si>
  <si>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</si>
  <si>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</si>
  <si>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</si>
  <si>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</si>
  <si>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</si>
  <si>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</si>
  <si>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</si>
  <si>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</si>
  <si>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</si>
  <si>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</si>
  <si>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</si>
  <si>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</si>
  <si>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</si>
  <si>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</si>
  <si>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</si>
  <si>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</si>
  <si>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</si>
  <si>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</si>
  <si>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</si>
  <si>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</si>
  <si>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</si>
  <si>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</si>
  <si>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</si>
  <si>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</si>
  <si>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</si>
  <si>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</si>
  <si>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</si>
  <si>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</si>
  <si>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</si>
  <si>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</si>
  <si>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</si>
  <si>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</si>
  <si>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</si>
  <si>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</si>
  <si>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</si>
  <si>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</si>
  <si>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</si>
  <si>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</si>
  <si>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</si>
  <si>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</si>
  <si>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</si>
  <si>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</si>
  <si>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</si>
  <si>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</si>
  <si>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</si>
  <si>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</si>
  <si>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</si>
  <si>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</si>
  <si>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</si>
  <si>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</si>
  <si>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</si>
  <si>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</si>
  <si>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</si>
  <si>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</si>
  <si>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</si>
  <si>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</si>
  <si>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</si>
  <si>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</si>
  <si>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</si>
  <si>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</si>
  <si>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</si>
  <si>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</si>
  <si>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</si>
  <si>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</si>
  <si>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</si>
  <si>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</si>
  <si>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</si>
  <si>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</si>
  <si>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</si>
  <si>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</si>
  <si>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</si>
  <si>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</si>
  <si>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</si>
  <si>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</si>
  <si>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</si>
  <si>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</si>
  <si>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</si>
  <si>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</si>
  <si>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</si>
  <si>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</si>
  <si>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</si>
  <si>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</si>
  <si>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</si>
  <si>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</si>
  <si>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</si>
  <si>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</si>
  <si>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</si>
  <si>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</si>
  <si>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</si>
  <si>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</si>
  <si>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</si>
  <si>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</si>
  <si>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</si>
  <si>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</si>
  <si>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</si>
  <si>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</si>
  <si>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</si>
  <si>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</si>
  <si>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</si>
  <si>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</si>
  <si>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</si>
  <si>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</si>
  <si>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</si>
  <si>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</si>
  <si>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</si>
  <si>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</si>
  <si>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</si>
  <si>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</si>
  <si>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</si>
  <si>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</si>
  <si>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</si>
  <si>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</si>
  <si>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</si>
  <si>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</si>
  <si>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</si>
  <si>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</si>
  <si>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</si>
  <si>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</si>
  <si>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</si>
  <si>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</si>
  <si>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</si>
  <si>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</si>
  <si>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</si>
  <si>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</si>
  <si>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</si>
  <si>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</si>
  <si>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</si>
  <si>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</si>
  <si>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</si>
  <si>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</si>
  <si>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</si>
  <si>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</si>
  <si>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</si>
  <si>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</si>
  <si>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</si>
  <si>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</si>
  <si>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</si>
  <si>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</si>
  <si>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</si>
  <si>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</si>
  <si>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</si>
  <si>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</si>
  <si>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</si>
  <si>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</si>
  <si>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</si>
  <si>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</si>
  <si>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</si>
  <si>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</si>
  <si>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</si>
  <si>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</si>
  <si>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</si>
  <si>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</si>
  <si>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</si>
  <si>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</si>
  <si>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</si>
  <si>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</si>
  <si>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</si>
  <si>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</si>
  <si>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</si>
  <si>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</si>
  <si>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</si>
  <si>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</si>
  <si>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</si>
  <si>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</si>
  <si>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</si>
  <si>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</si>
  <si>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</si>
  <si>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</si>
  <si>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</si>
  <si>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</si>
  <si>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</si>
  <si>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</si>
  <si>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</si>
  <si>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</si>
  <si>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</si>
  <si>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</si>
  <si>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</si>
  <si>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</si>
  <si>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</si>
  <si>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</si>
  <si>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</si>
  <si>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</si>
  <si>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</si>
  <si>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</si>
  <si>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</si>
  <si>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</si>
  <si>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</si>
  <si>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</si>
  <si>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</si>
  <si>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</si>
  <si>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</si>
  <si>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</si>
  <si>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</si>
  <si>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</si>
  <si>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</si>
  <si>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</si>
  <si>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</si>
  <si>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</si>
  <si>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</si>
  <si>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</si>
  <si>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</si>
  <si>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</si>
  <si>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</si>
  <si>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</si>
  <si>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</si>
  <si>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</si>
  <si>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</si>
  <si>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</si>
  <si>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</si>
  <si>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</si>
  <si>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</si>
  <si>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</si>
  <si>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</si>
  <si>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</si>
  <si>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</si>
  <si>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</si>
  <si>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</si>
  <si>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</si>
  <si>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</si>
  <si>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</si>
  <si>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</si>
  <si>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</si>
  <si>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</si>
  <si>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</si>
  <si>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</si>
  <si>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</si>
  <si>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</si>
  <si>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</si>
  <si>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</si>
  <si>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</si>
  <si>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</si>
  <si>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</si>
  <si>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</si>
  <si>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</si>
  <si>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</si>
  <si>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</si>
  <si>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</si>
  <si>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</si>
  <si>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</si>
  <si>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</si>
  <si>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</si>
  <si>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</si>
  <si>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</si>
  <si>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</si>
  <si>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</si>
  <si>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</si>
  <si>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</si>
  <si>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</si>
  <si>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</si>
  <si>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</si>
  <si>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</si>
  <si>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</si>
  <si>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</si>
  <si>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</si>
  <si>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</si>
  <si>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</si>
  <si>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</si>
  <si>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</si>
  <si>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</si>
  <si>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</si>
  <si>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</si>
  <si>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</si>
  <si>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</si>
  <si>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</si>
  <si>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</si>
  <si>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</si>
  <si>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</si>
  <si>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</si>
  <si>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</si>
  <si>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</si>
  <si>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</si>
  <si>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</si>
  <si>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</si>
  <si>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</si>
  <si>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</si>
  <si>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</si>
  <si>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</si>
  <si>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</si>
  <si>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</si>
  <si>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</si>
  <si>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</si>
  <si>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</si>
  <si>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</si>
  <si>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</si>
  <si>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</si>
  <si>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</si>
  <si>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</si>
  <si>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</si>
  <si>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</si>
  <si>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</si>
  <si>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</si>
  <si>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</si>
  <si>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</si>
  <si>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</si>
  <si>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</si>
  <si>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</si>
  <si>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</si>
  <si>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</si>
  <si>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</si>
  <si>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</si>
  <si>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</si>
  <si>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</si>
  <si>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</si>
  <si>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</si>
  <si>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</si>
  <si>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</si>
  <si>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</si>
  <si>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</si>
  <si>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</si>
  <si>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</si>
  <si>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</si>
  <si>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</si>
  <si>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</si>
  <si>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</si>
  <si>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</si>
  <si>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</si>
  <si>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</si>
  <si>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</si>
  <si>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</si>
  <si>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</si>
  <si>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</si>
  <si>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</si>
  <si>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</si>
  <si>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</si>
  <si>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</si>
  <si>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</si>
  <si>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</si>
  <si>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</si>
  <si>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</si>
  <si>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</si>
  <si>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</si>
  <si>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</si>
  <si>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</si>
  <si>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</si>
  <si>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</si>
  <si>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</si>
  <si>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</si>
  <si>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</si>
  <si>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</si>
  <si>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</si>
  <si>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</si>
  <si>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</si>
  <si>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</si>
  <si>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</si>
  <si>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</si>
  <si>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</si>
  <si>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</si>
  <si>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</si>
  <si>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</si>
  <si>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</si>
  <si>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</si>
  <si>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</si>
  <si>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</si>
  <si>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</si>
  <si>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</si>
  <si>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</si>
  <si>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</si>
  <si>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</si>
  <si>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</si>
  <si>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</si>
  <si>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</si>
  <si>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</si>
  <si>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</si>
  <si>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</si>
  <si>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</si>
  <si>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</si>
  <si>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</si>
  <si>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</si>
  <si>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</si>
  <si>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</si>
  <si>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</si>
  <si>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</si>
  <si>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</si>
  <si>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</si>
  <si>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</si>
  <si>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</si>
  <si>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</si>
  <si>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</si>
  <si>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</si>
  <si>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</si>
  <si>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</si>
  <si>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</si>
  <si>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</si>
  <si>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</si>
  <si>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</si>
  <si>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</si>
  <si>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</si>
  <si>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</si>
  <si>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</si>
  <si>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</si>
  <si>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</si>
  <si>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</si>
  <si>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</si>
  <si>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</si>
  <si>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</si>
  <si>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</si>
  <si>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</si>
  <si>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</si>
  <si>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</si>
  <si>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</si>
  <si>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</si>
  <si>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</si>
  <si>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</si>
  <si>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</si>
  <si>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</si>
  <si>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</si>
  <si>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</si>
  <si>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</si>
  <si>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</si>
  <si>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</si>
  <si>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</si>
  <si>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</si>
  <si>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</si>
  <si>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</si>
  <si>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</si>
  <si>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</si>
  <si>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</si>
  <si>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</si>
  <si>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</si>
  <si>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</si>
  <si>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</si>
  <si>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</si>
  <si>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</si>
  <si>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</si>
  <si>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</si>
  <si>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</si>
  <si>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</si>
  <si>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</si>
  <si>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</si>
  <si>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</si>
  <si>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</si>
  <si>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</si>
  <si>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</si>
  <si>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</si>
  <si>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</si>
  <si>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</si>
  <si>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</si>
  <si>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</si>
  <si>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</si>
  <si>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</si>
  <si>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</si>
  <si>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</si>
  <si>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</si>
  <si>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</si>
  <si>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</si>
  <si>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</si>
  <si>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</si>
  <si>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</si>
  <si>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</si>
  <si>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</si>
  <si>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</si>
  <si>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</si>
  <si>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</si>
  <si>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</si>
  <si>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</si>
  <si>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</si>
  <si>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</si>
  <si>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</si>
  <si>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</si>
  <si>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</si>
  <si>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</si>
  <si>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</si>
  <si>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</si>
  <si>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</si>
  <si>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</si>
  <si>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</si>
  <si>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</si>
  <si>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</si>
  <si>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</si>
  <si>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</si>
  <si>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</si>
  <si>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</si>
  <si>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</si>
  <si>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</si>
  <si>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</si>
  <si>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</si>
  <si>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</si>
  <si>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</si>
  <si>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</si>
  <si>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</si>
  <si>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</si>
  <si>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</si>
  <si>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</si>
  <si>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</si>
  <si>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</si>
  <si>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</si>
  <si>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</si>
  <si>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</si>
  <si>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</si>
  <si>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</si>
  <si>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</si>
  <si>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</si>
  <si>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</si>
  <si>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</si>
  <si>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</si>
  <si>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</si>
  <si>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</si>
  <si>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</si>
  <si>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</si>
  <si>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</si>
  <si>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</si>
  <si>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</si>
  <si>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</si>
  <si>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</si>
  <si>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</si>
  <si>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</si>
  <si>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</si>
  <si>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</si>
  <si>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</si>
  <si>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</si>
  <si>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</si>
  <si>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</si>
  <si>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</si>
  <si>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</si>
  <si>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</si>
  <si>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</si>
  <si>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</si>
  <si>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</si>
  <si>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</si>
  <si>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</si>
  <si>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</si>
  <si>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</si>
  <si>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</si>
  <si>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</si>
  <si>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</si>
  <si>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</si>
  <si>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</si>
  <si>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</si>
  <si>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</si>
  <si>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</si>
  <si>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</si>
  <si>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</si>
  <si>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</si>
  <si>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</si>
  <si>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</si>
  <si>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</si>
  <si>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</si>
  <si>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</si>
  <si>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</si>
  <si>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</si>
  <si>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</si>
  <si>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</si>
  <si>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</si>
  <si>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</si>
  <si>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</si>
  <si>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</si>
  <si>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</si>
  <si>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</si>
  <si>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</si>
  <si>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</si>
  <si>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</si>
  <si>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</si>
  <si>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</si>
  <si>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</si>
  <si>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</si>
  <si>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</si>
  <si>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</si>
  <si>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</si>
  <si>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</si>
  <si>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</si>
  <si>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</si>
  <si>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</si>
  <si>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</si>
  <si>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</si>
  <si>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</si>
  <si>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</si>
  <si>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</si>
  <si>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</si>
  <si>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</si>
  <si>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</si>
  <si>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</si>
  <si>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</si>
  <si>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</si>
  <si>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</si>
  <si>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</si>
  <si>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</si>
  <si>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</si>
  <si>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</si>
  <si>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</si>
  <si>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</si>
  <si>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</si>
  <si>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</si>
  <si>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</si>
  <si>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</si>
  <si>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</si>
  <si>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</si>
  <si>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</si>
  <si>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</si>
  <si>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</si>
  <si>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</si>
  <si>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</si>
  <si>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</si>
  <si>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</si>
  <si>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</si>
  <si>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</si>
  <si>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</si>
  <si>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</si>
  <si>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</si>
  <si>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</si>
  <si>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</si>
  <si>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</si>
  <si>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</si>
  <si>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</si>
  <si>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</si>
  <si>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</si>
  <si>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</si>
  <si>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</si>
  <si>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</si>
  <si>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</si>
  <si>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</si>
  <si>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</si>
  <si>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</si>
  <si>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</si>
  <si>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</si>
  <si>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</si>
  <si>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</si>
  <si>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</si>
  <si>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</si>
  <si>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</si>
  <si>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</si>
  <si>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</si>
  <si>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</si>
  <si>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</si>
  <si>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</si>
  <si>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</si>
  <si>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</si>
  <si>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</si>
  <si>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</si>
  <si>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</si>
  <si>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</si>
  <si>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</si>
  <si>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</si>
  <si>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</si>
  <si>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</si>
  <si>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</si>
  <si>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</si>
  <si>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</si>
  <si>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</si>
  <si>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</si>
  <si>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</si>
  <si>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</si>
  <si>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</si>
  <si>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</si>
  <si>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</si>
  <si>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</si>
  <si>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</si>
  <si>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</si>
  <si>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</si>
  <si>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</si>
  <si>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</si>
  <si>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</si>
  <si>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</si>
  <si>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</si>
  <si>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</si>
  <si>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</si>
  <si>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</si>
  <si>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</si>
  <si>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</si>
  <si>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</si>
  <si>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</si>
  <si>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</si>
  <si>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</si>
  <si>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</si>
  <si>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</si>
  <si>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</si>
  <si>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</si>
  <si>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</si>
  <si>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</si>
  <si>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</si>
  <si>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</si>
  <si>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</si>
  <si>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</si>
  <si>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</si>
  <si>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</si>
  <si>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</si>
  <si>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</si>
  <si>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</si>
  <si>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</si>
  <si>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</si>
  <si>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</si>
  <si>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</si>
  <si>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</si>
  <si>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</si>
  <si>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</si>
  <si>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</si>
  <si>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</si>
  <si>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</si>
  <si>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</si>
  <si>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</si>
  <si>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</si>
  <si>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</si>
  <si>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</si>
  <si>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</si>
  <si>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</si>
  <si>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</si>
  <si>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</si>
  <si>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</si>
  <si>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</si>
  <si>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</si>
  <si>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</si>
  <si>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</si>
  <si>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</si>
  <si>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</si>
  <si>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</si>
  <si>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</si>
  <si>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</si>
  <si>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</si>
  <si>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</si>
  <si>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</si>
  <si>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</si>
  <si>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</si>
  <si>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</si>
  <si>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</si>
  <si>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</si>
  <si>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</si>
  <si>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</si>
  <si>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</si>
  <si>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</si>
  <si>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</si>
  <si>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</si>
  <si>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</si>
  <si>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</si>
  <si>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</si>
  <si>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</si>
  <si>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</si>
  <si>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</si>
  <si>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</si>
  <si>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</si>
  <si>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</si>
  <si>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</si>
  <si>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</si>
  <si>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</si>
  <si>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</si>
  <si>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</si>
  <si>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</si>
  <si>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</si>
  <si>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</si>
  <si>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</si>
  <si>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</si>
  <si>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</si>
  <si>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</si>
  <si>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</si>
  <si>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</si>
  <si>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</si>
  <si>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</si>
  <si>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</si>
  <si>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</si>
  <si>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</si>
  <si>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</si>
  <si>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</si>
  <si>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</si>
  <si>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</si>
  <si>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</si>
  <si>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</si>
  <si>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</si>
  <si>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</si>
  <si>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</si>
  <si>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</si>
  <si>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</si>
  <si>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</si>
  <si>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</si>
  <si>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</si>
  <si>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</si>
  <si>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</si>
  <si>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</si>
  <si>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</si>
  <si>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</si>
  <si>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</si>
  <si>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</si>
  <si>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</si>
  <si>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</si>
  <si>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</si>
  <si>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</si>
  <si>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</si>
  <si>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</si>
  <si>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</si>
  <si>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</si>
  <si>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</si>
  <si>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</si>
  <si>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</si>
  <si>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</si>
  <si>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</si>
  <si>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</si>
  <si>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</si>
  <si>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</si>
  <si>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</si>
  <si>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</si>
  <si>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</si>
  <si>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</si>
  <si>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</si>
  <si>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</si>
  <si>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</si>
  <si>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</si>
  <si>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</si>
  <si>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</si>
  <si>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</si>
  <si>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</si>
  <si>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</si>
  <si>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</si>
  <si>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</si>
  <si>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</si>
  <si>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</si>
  <si>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</si>
  <si>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</si>
  <si>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</si>
  <si>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</si>
  <si>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</si>
  <si>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</si>
  <si>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</si>
  <si>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</si>
  <si>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</si>
  <si>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</si>
  <si>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</si>
  <si>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</si>
  <si>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</si>
  <si>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</si>
  <si>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</si>
  <si>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</si>
  <si>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</si>
  <si>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</si>
  <si>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</si>
  <si>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</si>
  <si>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</si>
  <si>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</si>
  <si>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</si>
  <si>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</si>
  <si>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</si>
  <si>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</si>
  <si>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</si>
  <si>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</si>
  <si>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</si>
  <si>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</si>
  <si>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</si>
  <si>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</si>
  <si>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</si>
  <si>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</si>
  <si>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</si>
  <si>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</si>
  <si>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</si>
  <si>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</si>
  <si>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</si>
  <si>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</si>
  <si>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</si>
  <si>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</si>
  <si>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</si>
  <si>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</si>
  <si>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</si>
  <si>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</si>
  <si>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</si>
  <si>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</si>
  <si>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</si>
  <si>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</si>
  <si>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</si>
  <si>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</si>
  <si>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</si>
  <si>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</si>
  <si>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</si>
  <si>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</si>
  <si>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</si>
  <si>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</si>
  <si>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</si>
  <si>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</si>
  <si>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</si>
  <si>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</si>
  <si>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</si>
  <si>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</si>
  <si>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</si>
  <si>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</si>
  <si>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</si>
  <si>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</si>
  <si>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</si>
  <si>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</si>
  <si>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</si>
  <si>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</si>
  <si>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</si>
  <si>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</si>
  <si>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</si>
  <si>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</si>
  <si>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</si>
  <si>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</si>
  <si>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</si>
  <si>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</si>
  <si>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</si>
  <si>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</si>
  <si>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</si>
  <si>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</si>
  <si>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</si>
  <si>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</si>
  <si>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</si>
  <si>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</si>
  <si>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</si>
  <si>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</si>
  <si>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</si>
  <si>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</si>
  <si>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</si>
  <si>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</si>
  <si>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</si>
  <si>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</si>
  <si>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</si>
  <si>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</si>
  <si>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</si>
  <si>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</si>
  <si>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</si>
  <si>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</si>
  <si>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</si>
  <si>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</si>
  <si>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</si>
  <si>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</si>
  <si>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</si>
  <si>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</si>
  <si>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</si>
  <si>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</si>
  <si>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</si>
  <si>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</si>
  <si>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</si>
  <si>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</si>
  <si>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</si>
  <si>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</si>
  <si>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</si>
  <si>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</si>
  <si>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</si>
  <si>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</si>
  <si>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</si>
  <si>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</si>
  <si>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</si>
  <si>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</si>
  <si>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</si>
  <si>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</si>
  <si>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</si>
  <si>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</si>
  <si>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</si>
  <si>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</si>
  <si>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</si>
  <si>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</si>
  <si>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</si>
  <si>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</si>
  <si>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</si>
  <si>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</si>
  <si>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</si>
  <si>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</si>
  <si>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</si>
  <si>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</si>
  <si>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</si>
  <si>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</si>
  <si>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</si>
  <si>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</si>
  <si>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</si>
  <si>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</si>
  <si>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</si>
  <si>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</si>
  <si>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</si>
  <si>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</si>
  <si>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</si>
  <si>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</si>
  <si>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</si>
  <si>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</si>
  <si>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</si>
  <si>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</si>
  <si>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</si>
  <si>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</si>
  <si>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</si>
  <si>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</si>
  <si>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</si>
  <si>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</si>
  <si>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</si>
  <si>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</si>
  <si>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</si>
  <si>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</si>
  <si>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</si>
  <si>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</si>
  <si>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</si>
  <si>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</si>
  <si>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</si>
  <si>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</si>
  <si>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</si>
  <si>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</si>
  <si>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</si>
  <si>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</si>
  <si>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</si>
  <si>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</si>
  <si>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</si>
  <si>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</si>
  <si>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</si>
  <si>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</si>
  <si>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</si>
  <si>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</si>
  <si>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</si>
  <si>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</si>
  <si>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</si>
  <si>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</si>
  <si>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</si>
  <si>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</si>
  <si>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</si>
  <si>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</si>
  <si>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</si>
  <si>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</si>
  <si>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</si>
  <si>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</si>
  <si>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</si>
  <si>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</si>
  <si>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</si>
  <si>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</si>
  <si>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</si>
  <si>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</si>
  <si>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</si>
  <si>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</si>
  <si>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</si>
  <si>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</si>
  <si>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</si>
  <si>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</si>
  <si>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</si>
  <si>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</si>
  <si>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</si>
  <si>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</si>
  <si>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</si>
  <si>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</si>
  <si>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</si>
  <si>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</si>
  <si>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</si>
  <si>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</si>
  <si>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</si>
  <si>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</si>
  <si>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</si>
  <si>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</si>
  <si>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</si>
  <si>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</si>
  <si>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</si>
  <si>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</si>
  <si>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</si>
  <si>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</si>
  <si>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</si>
  <si>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</si>
  <si>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</si>
  <si>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</si>
  <si>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</si>
  <si>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</si>
  <si>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</si>
  <si>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</si>
  <si>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</si>
  <si>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</si>
  <si>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</si>
  <si>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</si>
  <si>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</si>
  <si>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</si>
  <si>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</si>
  <si>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</si>
  <si>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</si>
  <si>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</si>
  <si>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</si>
  <si>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</si>
  <si>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</si>
  <si>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</si>
  <si>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</si>
  <si>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</si>
  <si>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</si>
  <si>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</si>
  <si>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</si>
  <si>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</si>
  <si>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</si>
  <si>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</si>
  <si>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</si>
  <si>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</si>
  <si>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</si>
  <si>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</si>
  <si>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</si>
  <si>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</si>
  <si>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</si>
  <si>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</si>
  <si>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</si>
  <si>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</si>
  <si>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</si>
  <si>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</si>
  <si>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</si>
  <si>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</si>
  <si>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</si>
  <si>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</si>
  <si>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</si>
  <si>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</si>
  <si>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</si>
  <si>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</si>
  <si>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</si>
  <si>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</si>
  <si>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</si>
  <si>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</si>
  <si>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</si>
  <si>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</si>
  <si>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</si>
  <si>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</si>
  <si>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</si>
  <si>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</si>
  <si>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</si>
  <si>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</si>
  <si>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</si>
  <si>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</si>
  <si>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</si>
  <si>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</si>
  <si>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</si>
  <si>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</si>
  <si>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</si>
  <si>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</si>
  <si>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</si>
  <si>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</si>
  <si>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</si>
  <si>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</si>
  <si>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</si>
  <si>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</si>
  <si>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</si>
  <si>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</si>
  <si>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</si>
  <si>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</si>
  <si>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</si>
  <si>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</si>
  <si>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</si>
  <si>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</si>
  <si>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</si>
  <si>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</si>
  <si>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</si>
  <si>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</si>
  <si>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</si>
  <si>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</si>
  <si>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</si>
  <si>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</si>
  <si>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</si>
  <si>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</si>
  <si>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</si>
  <si>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</si>
  <si>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</si>
  <si>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</si>
  <si>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</si>
  <si>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</si>
  <si>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</si>
  <si>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</si>
  <si>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</si>
  <si>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</si>
  <si>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</si>
  <si>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</si>
  <si>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</si>
  <si>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</si>
  <si>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</si>
  <si>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</si>
  <si>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</si>
  <si>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</si>
  <si>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</si>
  <si>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</si>
  <si>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</si>
  <si>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</si>
  <si>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</si>
  <si>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</si>
  <si>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</si>
  <si>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</si>
  <si>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</si>
  <si>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</si>
  <si>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</si>
  <si>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</si>
  <si>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</si>
  <si>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</si>
  <si>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</si>
  <si>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</si>
  <si>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</si>
  <si>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</si>
  <si>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</si>
  <si>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</si>
  <si>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</si>
  <si>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</si>
  <si>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</si>
  <si>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</si>
  <si>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</si>
  <si>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</si>
  <si>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</si>
  <si>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</si>
  <si>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</si>
  <si>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</si>
  <si>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</si>
  <si>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</si>
  <si>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</si>
  <si>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</si>
  <si>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</si>
  <si>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</si>
  <si>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</si>
  <si>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</si>
  <si>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</si>
  <si>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</si>
  <si>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</si>
  <si>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</si>
  <si>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</si>
  <si>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</si>
  <si>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</si>
  <si>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</si>
  <si>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</si>
  <si>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</si>
  <si>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</si>
  <si>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</si>
  <si>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</si>
  <si>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</si>
  <si>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</si>
  <si>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</si>
  <si>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</si>
  <si>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</si>
  <si>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</si>
  <si>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</si>
  <si>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</si>
  <si>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</si>
  <si>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</si>
  <si>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</si>
  <si>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</si>
  <si>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</si>
  <si>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</si>
  <si>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</si>
  <si>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</si>
  <si>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</si>
  <si>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</si>
  <si>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</si>
  <si>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</si>
  <si>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</si>
  <si>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</si>
  <si>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</si>
  <si>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</si>
  <si>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</si>
  <si>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</si>
  <si>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</si>
  <si>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</si>
  <si>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</si>
  <si>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</si>
  <si>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</si>
  <si>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</si>
  <si>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</si>
  <si>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</si>
  <si>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</si>
  <si>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</si>
  <si>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</si>
  <si>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</si>
  <si>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</si>
  <si>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</si>
  <si>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</si>
  <si>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</si>
  <si>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</si>
  <si>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</si>
  <si>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</si>
  <si>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</si>
  <si>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</si>
  <si>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</si>
  <si>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</si>
  <si>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</si>
  <si>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</si>
  <si>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</si>
  <si>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</si>
  <si>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</si>
  <si>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</si>
  <si>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</si>
  <si>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</si>
  <si>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</si>
  <si>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</si>
  <si>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</si>
  <si>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</si>
  <si>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</si>
  <si>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</si>
  <si>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</si>
  <si>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</si>
  <si>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</si>
  <si>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</si>
  <si>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</si>
  <si>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</si>
  <si>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</si>
  <si>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</si>
  <si>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</si>
  <si>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</si>
  <si>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</si>
  <si>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</si>
  <si>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</si>
  <si>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</si>
  <si>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</si>
  <si>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</si>
  <si>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</si>
  <si>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</si>
  <si>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</si>
  <si>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</si>
  <si>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</si>
  <si>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</si>
  <si>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</si>
  <si>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</si>
  <si>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</si>
  <si>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</si>
  <si>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</si>
  <si>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</si>
  <si>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</si>
  <si>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</si>
  <si>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</si>
  <si>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</si>
  <si>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</si>
  <si>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</si>
  <si>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</si>
  <si>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</si>
  <si>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</si>
  <si>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</si>
  <si>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</si>
  <si>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</si>
  <si>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</si>
  <si>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</si>
  <si>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</si>
  <si>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</si>
  <si>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</si>
  <si>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</si>
  <si>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</si>
  <si>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</si>
  <si>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</si>
  <si>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</si>
  <si>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</si>
  <si>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</si>
  <si>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</si>
  <si>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</si>
  <si>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</si>
  <si>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</si>
  <si>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</si>
  <si>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</si>
  <si>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</si>
  <si>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</si>
  <si>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</si>
  <si>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</si>
  <si>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</si>
  <si>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</si>
  <si>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</si>
  <si>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</si>
  <si>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</si>
  <si>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</si>
  <si>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</si>
  <si>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</si>
  <si>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</si>
  <si>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</si>
  <si>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</si>
  <si>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</si>
  <si>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</si>
  <si>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</si>
  <si>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</si>
  <si>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</si>
  <si>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</si>
  <si>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</si>
  <si>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</si>
  <si>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</si>
  <si>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</si>
  <si>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</si>
  <si>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</si>
  <si>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</si>
  <si>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</si>
  <si>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</si>
  <si>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</si>
  <si>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</si>
  <si>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</si>
  <si>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</si>
  <si>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</si>
  <si>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</si>
  <si>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</si>
  <si>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</si>
  <si>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</si>
  <si>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</si>
  <si>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</si>
  <si>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</si>
  <si>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</si>
  <si>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</si>
  <si>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</si>
  <si>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</si>
  <si>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</si>
  <si>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</si>
  <si>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</si>
  <si>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</si>
  <si>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</si>
  <si>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</si>
  <si>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</si>
  <si>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</si>
  <si>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</si>
  <si>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</si>
  <si>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</si>
  <si>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</si>
  <si>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</si>
  <si>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</si>
  <si>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</si>
  <si>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</si>
  <si>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</si>
  <si>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</si>
  <si>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</si>
  <si>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</si>
  <si>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</si>
  <si>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</si>
  <si>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</si>
  <si>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</si>
  <si>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</si>
  <si>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</si>
  <si>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</si>
  <si>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</si>
  <si>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</si>
  <si>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</si>
  <si>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</si>
  <si>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</si>
  <si>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</si>
  <si>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</si>
  <si>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</si>
  <si>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</si>
  <si>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</si>
  <si>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</si>
  <si>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</si>
  <si>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</si>
  <si>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</si>
  <si>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</si>
  <si>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</si>
  <si>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</si>
  <si>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</si>
  <si>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</si>
  <si>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</si>
  <si>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</si>
  <si>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</si>
  <si>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</si>
  <si>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</si>
  <si>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</si>
  <si>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</si>
  <si>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</si>
  <si>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</si>
  <si>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</si>
  <si>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</si>
  <si>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</si>
  <si>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</si>
  <si>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</si>
  <si>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</si>
  <si>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</si>
  <si>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</si>
  <si>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</si>
  <si>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</si>
  <si>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</si>
  <si>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</si>
  <si>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</si>
  <si>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</si>
  <si>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</si>
  <si>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</si>
  <si>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</si>
  <si>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</si>
  <si>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</si>
  <si>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</si>
  <si>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</si>
  <si>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</si>
  <si>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</si>
  <si>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</si>
  <si>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</si>
  <si>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</si>
  <si>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</si>
  <si>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</si>
  <si>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</si>
  <si>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</si>
  <si>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</si>
  <si>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</si>
  <si>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</si>
  <si>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</si>
  <si>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</si>
  <si>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</si>
  <si>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</si>
  <si>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</si>
  <si>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</si>
  <si>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</si>
  <si>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</si>
  <si>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</si>
  <si>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</si>
  <si>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</si>
  <si>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</si>
  <si>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</si>
  <si>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</si>
  <si>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</si>
  <si>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</si>
  <si>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</si>
  <si>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</si>
  <si>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</si>
  <si>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</si>
  <si>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</si>
  <si>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</si>
  <si>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</si>
  <si>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</si>
  <si>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</si>
  <si>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</si>
  <si>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</si>
  <si>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</si>
  <si>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</si>
  <si>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</si>
  <si>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</si>
  <si>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</si>
  <si>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</si>
  <si>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</si>
  <si>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</si>
  <si>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</si>
  <si>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</si>
  <si>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</si>
  <si>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</si>
  <si>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</si>
  <si>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</si>
  <si>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</si>
  <si>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</si>
  <si>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</si>
  <si>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</si>
  <si>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</si>
  <si>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</si>
  <si>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</si>
  <si>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</si>
  <si>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</si>
  <si>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</si>
  <si>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</si>
  <si>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</si>
  <si>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</si>
  <si>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</si>
  <si>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</si>
  <si>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</si>
  <si>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</si>
  <si>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</si>
  <si>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</si>
  <si>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</si>
  <si>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</si>
  <si>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</si>
  <si>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</si>
  <si>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</si>
  <si>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</si>
  <si>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</si>
  <si>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</si>
  <si>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</si>
  <si>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</si>
  <si>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</si>
  <si>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</si>
  <si>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</si>
  <si>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</si>
  <si>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</si>
  <si>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</si>
  <si>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</si>
  <si>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</si>
  <si>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</si>
  <si>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</si>
  <si>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</si>
  <si>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</si>
  <si>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</si>
  <si>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</si>
  <si>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</si>
  <si>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</si>
  <si>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</si>
  <si>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</si>
  <si>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</si>
  <si>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</si>
  <si>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</si>
  <si>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</si>
  <si>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</si>
  <si>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</si>
  <si>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</si>
  <si>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</si>
  <si>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</si>
  <si>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</si>
  <si>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</si>
  <si>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</si>
  <si>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</si>
  <si>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</si>
  <si>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</si>
  <si>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</si>
  <si>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</si>
  <si>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</si>
  <si>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</si>
  <si>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</si>
  <si>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</si>
  <si>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</si>
  <si>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</si>
  <si>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</si>
  <si>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</si>
  <si>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</si>
  <si>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</si>
  <si>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</si>
  <si>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</si>
  <si>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</si>
  <si>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</si>
  <si>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</si>
  <si>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</si>
  <si>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</si>
  <si>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</si>
  <si>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</si>
  <si>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</si>
  <si>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</si>
  <si>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</si>
  <si>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</si>
  <si>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</si>
  <si>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</si>
  <si>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</si>
  <si>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</si>
  <si>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</si>
  <si>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</si>
  <si>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</si>
  <si>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</si>
  <si>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</si>
  <si>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</si>
  <si>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</si>
  <si>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</si>
  <si>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</si>
  <si>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</si>
  <si>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</si>
  <si>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</si>
  <si>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</si>
  <si>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</si>
  <si>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</si>
  <si>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</si>
  <si>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</si>
  <si>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</si>
  <si>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</si>
  <si>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</si>
  <si>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</si>
  <si>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</si>
  <si>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</si>
  <si>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</si>
  <si>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</si>
  <si>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</si>
  <si>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</si>
  <si>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</si>
  <si>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</si>
  <si>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</si>
  <si>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</si>
  <si>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</si>
  <si>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</si>
  <si>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</si>
  <si>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</si>
  <si>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</si>
  <si>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</si>
  <si>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</si>
  <si>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</si>
  <si>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</si>
  <si>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</si>
  <si>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</si>
  <si>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</si>
  <si>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</si>
  <si>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</si>
  <si>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</si>
  <si>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</si>
  <si>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</si>
  <si>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</si>
  <si>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</si>
  <si>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</si>
  <si>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</si>
  <si>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</si>
  <si>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</si>
  <si>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</si>
  <si>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</si>
  <si>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</si>
  <si>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</si>
  <si>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</si>
  <si>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</si>
  <si>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</si>
  <si>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</si>
  <si>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</si>
  <si>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</si>
  <si>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</si>
  <si>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</si>
  <si>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</si>
  <si>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</si>
  <si>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</si>
  <si>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</si>
  <si>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</si>
  <si>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</si>
  <si>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</si>
  <si>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</si>
  <si>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</si>
  <si>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</si>
  <si>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</si>
  <si>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</si>
  <si>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</si>
  <si>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</si>
  <si>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</si>
  <si>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</si>
  <si>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</si>
  <si>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</si>
  <si>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</si>
  <si>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</si>
  <si>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</si>
  <si>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</si>
  <si>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</si>
  <si>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</si>
  <si>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</si>
  <si>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</si>
  <si>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</si>
  <si>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</si>
  <si>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</si>
  <si>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</si>
  <si>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</si>
  <si>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</si>
  <si>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</si>
  <si>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</si>
  <si>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</si>
  <si>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</si>
  <si>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</si>
  <si>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</si>
  <si>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</si>
  <si>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</si>
  <si>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</si>
  <si>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</si>
  <si>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</si>
  <si>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</si>
  <si>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</si>
  <si>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</si>
  <si>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</si>
  <si>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</si>
  <si>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</si>
  <si>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</si>
  <si>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</si>
  <si>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</si>
  <si>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</si>
  <si>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</si>
  <si>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</si>
  <si>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</si>
  <si>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</si>
  <si>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</si>
  <si>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</si>
  <si>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</si>
  <si>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</si>
  <si>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</si>
  <si>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</si>
  <si>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</si>
  <si>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</si>
  <si>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</si>
  <si>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</si>
  <si>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</si>
  <si>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</si>
  <si>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</si>
  <si>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</si>
  <si>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</si>
  <si>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</si>
  <si>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</si>
  <si>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</si>
  <si>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</si>
  <si>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</si>
  <si>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</si>
  <si>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</si>
  <si>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</si>
  <si>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</si>
  <si>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</si>
  <si>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</si>
  <si>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</si>
  <si>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</si>
  <si>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</si>
  <si>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</si>
  <si>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</si>
  <si>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</si>
  <si>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</si>
  <si>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</si>
  <si>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</si>
  <si>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</si>
  <si>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</si>
  <si>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</si>
  <si>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</si>
  <si>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</si>
  <si>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</si>
  <si>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</si>
  <si>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</si>
  <si>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</si>
  <si>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</si>
  <si>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</si>
  <si>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</si>
  <si>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</si>
  <si>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</si>
  <si>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</si>
  <si>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</si>
  <si>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</si>
  <si>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</si>
  <si>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</si>
  <si>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</si>
  <si>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</si>
  <si>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</si>
  <si>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</si>
  <si>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</si>
  <si>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</si>
  <si>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</si>
  <si>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</si>
  <si>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</si>
  <si>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</si>
  <si>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</si>
  <si>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</si>
  <si>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</si>
  <si>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</si>
  <si>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</si>
  <si>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</si>
  <si>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</si>
  <si>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</si>
  <si>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</si>
  <si>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</si>
  <si>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</si>
  <si>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</si>
  <si>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</si>
  <si>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</si>
  <si>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</si>
  <si>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</si>
  <si>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</si>
  <si>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</si>
  <si>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</si>
  <si>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</si>
  <si>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</si>
  <si>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</si>
  <si>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</si>
  <si>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</si>
  <si>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</si>
  <si>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</si>
  <si>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</si>
  <si>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</si>
  <si>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</si>
  <si>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</si>
  <si>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</si>
  <si>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</si>
  <si>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</si>
  <si>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</si>
  <si>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</si>
  <si>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</si>
  <si>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</si>
  <si>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</si>
  <si>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</si>
  <si>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</si>
  <si>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</si>
  <si>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</si>
  <si>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</si>
  <si>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</si>
  <si>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</si>
  <si>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</si>
  <si>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</si>
  <si>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</si>
  <si>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</si>
  <si>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</si>
  <si>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</si>
  <si>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</si>
  <si>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</si>
  <si>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</si>
  <si>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</si>
  <si>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</si>
  <si>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</si>
  <si>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</si>
  <si>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</si>
  <si>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</si>
  <si>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</si>
  <si>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</si>
  <si>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</si>
  <si>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</si>
  <si>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</si>
  <si>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</si>
  <si>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</si>
  <si>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</si>
  <si>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</si>
  <si>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</si>
  <si>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</si>
  <si>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</si>
  <si>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</si>
  <si>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</si>
  <si>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</si>
  <si>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</si>
  <si>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</si>
  <si>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</si>
  <si>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</si>
  <si>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</si>
  <si>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</si>
  <si>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</si>
  <si>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</si>
  <si>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</si>
  <si>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</si>
  <si>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</si>
  <si>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</si>
  <si>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</si>
  <si>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</si>
  <si>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</si>
  <si>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</si>
  <si>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</si>
  <si>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</si>
  <si>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</si>
  <si>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</si>
  <si>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</si>
  <si>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</si>
  <si>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</si>
  <si>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</si>
  <si>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</si>
  <si>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</si>
  <si>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</si>
  <si>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</si>
  <si>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</si>
  <si>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</si>
  <si>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</si>
  <si>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</si>
  <si>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</si>
  <si>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</si>
  <si>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</si>
  <si>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</si>
  <si>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</si>
  <si>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</si>
  <si>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</si>
  <si>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</si>
  <si>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</si>
  <si>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</si>
  <si>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</si>
  <si>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</si>
  <si>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</si>
  <si>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</si>
  <si>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</si>
  <si>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</si>
  <si>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</si>
  <si>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</si>
  <si>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</si>
  <si>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</si>
  <si>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</si>
  <si>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</si>
  <si>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</si>
  <si>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</si>
  <si>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</si>
  <si>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</si>
  <si>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</si>
  <si>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</si>
  <si>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</si>
  <si>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</si>
  <si>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</si>
  <si>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</si>
  <si>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</si>
  <si>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</si>
  <si>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</si>
  <si>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</si>
  <si>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</si>
  <si>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</si>
  <si>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</si>
  <si>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</si>
  <si>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</si>
  <si>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</si>
  <si>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</si>
  <si>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</si>
  <si>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</si>
  <si>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</si>
  <si>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</si>
  <si>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</si>
  <si>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</si>
  <si>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</si>
  <si>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</si>
  <si>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</si>
  <si>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</si>
  <si>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</si>
  <si>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</si>
  <si>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</si>
  <si>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</si>
  <si>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</si>
  <si>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</si>
  <si>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</si>
  <si>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</si>
  <si>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</si>
  <si>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</si>
  <si>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</si>
  <si>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</si>
  <si>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</si>
  <si>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</si>
  <si>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</si>
  <si>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</si>
  <si>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</si>
  <si>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</si>
  <si>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</si>
  <si>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</si>
  <si>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</si>
  <si>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</si>
  <si>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</si>
  <si>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</si>
  <si>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</si>
  <si>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</si>
  <si>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</si>
  <si>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</si>
  <si>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</si>
  <si>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</si>
  <si>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</si>
  <si>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</si>
  <si>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</si>
  <si>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</si>
  <si>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</si>
  <si>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</si>
  <si>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</si>
  <si>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</si>
  <si>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</si>
  <si>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</si>
  <si>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</si>
  <si>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</si>
  <si>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</si>
  <si>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</si>
  <si>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</si>
  <si>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</si>
  <si>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</si>
  <si>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</si>
  <si>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</si>
  <si>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</si>
  <si>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</si>
  <si>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</si>
  <si>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</si>
  <si>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</si>
  <si>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</si>
  <si>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</si>
  <si>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</si>
  <si>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</si>
  <si>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</si>
  <si>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</si>
  <si>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</si>
  <si>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</si>
  <si>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</si>
  <si>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</si>
  <si>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</si>
  <si>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</si>
  <si>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</si>
  <si>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</si>
  <si>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</si>
  <si>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</si>
  <si>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</si>
  <si>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</si>
  <si>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</si>
  <si>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</si>
  <si>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</si>
  <si>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</si>
  <si>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</si>
  <si>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</si>
  <si>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</si>
  <si>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</si>
  <si>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</si>
  <si>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</si>
  <si>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</si>
  <si>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</si>
  <si>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</si>
  <si>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</si>
  <si>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</si>
  <si>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</si>
  <si>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</si>
  <si>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</si>
  <si>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</si>
  <si>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</si>
  <si>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</si>
  <si>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</si>
  <si>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</si>
  <si>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</si>
  <si>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</si>
  <si>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</si>
  <si>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</si>
  <si>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</si>
  <si>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</si>
  <si>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</si>
  <si>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</si>
  <si>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</si>
  <si>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</si>
  <si>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</si>
  <si>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</si>
  <si>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</si>
  <si>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</si>
  <si>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</si>
  <si>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</si>
  <si>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</si>
  <si>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</si>
  <si>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</si>
  <si>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</si>
  <si>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</si>
  <si>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</si>
  <si>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</si>
  <si>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</si>
  <si>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</si>
  <si>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</si>
  <si>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</si>
  <si>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</si>
  <si>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</si>
  <si>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</si>
  <si>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</si>
  <si>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</si>
  <si>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</si>
  <si>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</si>
  <si>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</si>
  <si>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</si>
  <si>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</si>
  <si>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</si>
  <si>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</si>
  <si>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</si>
  <si>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</si>
  <si>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</si>
  <si>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</si>
  <si>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</si>
  <si>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</si>
  <si>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</si>
  <si>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</si>
  <si>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</si>
  <si>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</si>
  <si>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</si>
  <si>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</si>
  <si>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</si>
  <si>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</si>
  <si>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</si>
  <si>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</si>
  <si>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</si>
  <si>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</si>
  <si>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</si>
  <si>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</si>
  <si>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</si>
  <si>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</si>
  <si>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</si>
  <si>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</si>
  <si>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</si>
  <si>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</si>
  <si>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</si>
  <si>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</si>
  <si>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</si>
  <si>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</si>
  <si>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</si>
  <si>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</si>
  <si>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</si>
  <si>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</si>
  <si>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</si>
  <si>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</si>
  <si>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</si>
  <si>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</si>
  <si>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</si>
  <si>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</si>
  <si>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</si>
  <si>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</si>
  <si>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</si>
  <si>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</si>
  <si>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</si>
  <si>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</si>
  <si>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</si>
  <si>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</si>
  <si>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</si>
  <si>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</si>
  <si>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</si>
  <si>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</si>
  <si>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</si>
  <si>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</si>
  <si>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</si>
  <si>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</si>
  <si>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</si>
  <si>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</si>
  <si>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</si>
  <si>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</si>
  <si>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</si>
  <si>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</si>
  <si>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</si>
  <si>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</si>
  <si>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</si>
  <si>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</si>
  <si>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</si>
  <si>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</si>
  <si>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</si>
  <si>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</si>
  <si>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</si>
  <si>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</si>
  <si>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</si>
  <si>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</si>
  <si>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</si>
  <si>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</si>
  <si>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</si>
  <si>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</si>
  <si>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</si>
  <si>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</si>
  <si>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</si>
  <si>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</si>
  <si>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</si>
  <si>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</si>
  <si>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</si>
  <si>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</si>
  <si>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</si>
  <si>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</si>
  <si>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</si>
  <si>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</si>
  <si>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</si>
  <si>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</si>
  <si>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</si>
  <si>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</si>
  <si>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</si>
  <si>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</si>
  <si>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</si>
  <si>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</si>
  <si>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</si>
  <si>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</si>
  <si>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</si>
  <si>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</si>
  <si>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</si>
  <si>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</si>
  <si>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</si>
  <si>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</si>
  <si>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</si>
  <si>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</si>
  <si>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</si>
  <si>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</si>
  <si>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</si>
  <si>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</si>
  <si>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</si>
  <si>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</si>
  <si>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</si>
  <si>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</si>
  <si>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</si>
  <si>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</si>
  <si>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</si>
  <si>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</si>
  <si>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</si>
  <si>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</si>
  <si>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</si>
  <si>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</si>
  <si>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</si>
  <si>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</si>
  <si>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</si>
  <si>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</si>
  <si>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</si>
  <si>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</si>
  <si>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</si>
  <si>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</si>
  <si>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</si>
  <si>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</si>
  <si>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</si>
  <si>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</si>
  <si>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</si>
  <si>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</si>
  <si>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</si>
  <si>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</si>
  <si>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</si>
  <si>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</si>
  <si>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</si>
  <si>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</si>
  <si>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</si>
  <si>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</si>
  <si>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</si>
  <si>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</si>
  <si>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</si>
  <si>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</si>
  <si>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</si>
  <si>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</si>
  <si>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</si>
  <si>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</si>
  <si>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</si>
  <si>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</si>
  <si>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</si>
  <si>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</si>
  <si>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</si>
  <si>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</si>
  <si>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</si>
  <si>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</si>
  <si>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</si>
  <si>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</si>
  <si>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</si>
  <si>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</si>
  <si>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</si>
  <si>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</si>
  <si>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</si>
  <si>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</si>
  <si>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</si>
  <si>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</si>
  <si>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</si>
  <si>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</si>
  <si>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</si>
  <si>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</si>
  <si>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</si>
  <si>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</si>
  <si>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</si>
  <si>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</si>
  <si>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</si>
  <si>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</si>
  <si>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</si>
  <si>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</si>
  <si>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</si>
  <si>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</si>
  <si>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</si>
  <si>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</si>
  <si>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</si>
  <si>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</si>
  <si>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</si>
  <si>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</si>
  <si>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</si>
  <si>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</si>
  <si>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</si>
  <si>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</si>
  <si>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</si>
  <si>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</si>
  <si>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</si>
  <si>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</si>
  <si>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</si>
  <si>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</si>
  <si>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</si>
  <si>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</si>
  <si>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</si>
  <si>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</si>
  <si>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</si>
  <si>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</si>
  <si>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</si>
  <si>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</si>
  <si>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</si>
  <si>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</si>
  <si>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</si>
  <si>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</si>
  <si>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</si>
  <si>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</si>
  <si>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</si>
  <si>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</si>
  <si>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</si>
  <si>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</si>
  <si>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</si>
  <si>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</si>
  <si>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</si>
  <si>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</si>
  <si>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</si>
  <si>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</si>
  <si>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</si>
  <si>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</si>
  <si>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</si>
  <si>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</si>
  <si>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</si>
  <si>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</si>
  <si>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</si>
  <si>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</si>
  <si>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</si>
  <si>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</si>
  <si>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</si>
  <si>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</si>
  <si>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</si>
  <si>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</si>
  <si>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</si>
  <si>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</si>
  <si>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</si>
  <si>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</si>
  <si>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</si>
  <si>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</si>
  <si>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</si>
  <si>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</si>
  <si>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</si>
  <si>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</si>
  <si>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</si>
  <si>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</si>
  <si>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</si>
  <si>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</si>
  <si>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</si>
  <si>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</si>
  <si>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</si>
  <si>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</si>
  <si>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</si>
  <si>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</si>
  <si>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</si>
  <si>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</si>
  <si>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</si>
  <si>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</si>
  <si>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</si>
  <si>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</si>
  <si>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</si>
  <si>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</si>
  <si>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</si>
  <si>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</si>
  <si>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</si>
  <si>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</si>
  <si>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</si>
  <si>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</si>
  <si>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</si>
  <si>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</si>
  <si>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</si>
  <si>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</si>
  <si>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</si>
  <si>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</si>
  <si>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</si>
  <si>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</si>
  <si>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</si>
  <si>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</si>
  <si>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</si>
  <si>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</si>
  <si>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</si>
  <si>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</si>
  <si>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</si>
  <si>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</si>
  <si>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</si>
  <si>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</si>
  <si>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</si>
  <si>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</si>
  <si>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</si>
  <si>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</si>
  <si>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</si>
  <si>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</si>
  <si>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</si>
  <si>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</si>
  <si>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</si>
  <si>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</si>
  <si>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</si>
  <si>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</si>
  <si>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</si>
  <si>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</si>
  <si>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</si>
  <si>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</si>
  <si>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</si>
  <si>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</si>
  <si>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</si>
  <si>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</si>
  <si>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</si>
  <si>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</si>
  <si>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</si>
  <si>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</si>
  <si>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</si>
  <si>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</si>
  <si>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</si>
  <si>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</si>
  <si>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</si>
  <si>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</si>
  <si>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</si>
  <si>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</si>
  <si>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</si>
  <si>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</si>
  <si>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</si>
  <si>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</si>
  <si>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</si>
  <si>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</si>
  <si>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</si>
  <si>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</si>
  <si>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</si>
  <si>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</si>
  <si>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</si>
  <si>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</si>
  <si>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</si>
  <si>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</si>
  <si>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</si>
  <si>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</si>
  <si>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</si>
  <si>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</si>
  <si>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</si>
  <si>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</si>
  <si>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</si>
  <si>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</si>
  <si>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</si>
  <si>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</si>
  <si>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</si>
  <si>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</si>
  <si>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</si>
  <si>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</si>
  <si>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</si>
  <si>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</si>
  <si>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</si>
  <si>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</si>
  <si>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</si>
  <si>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</si>
  <si>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</si>
  <si>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</si>
  <si>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</si>
  <si>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</si>
  <si>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</si>
  <si>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</si>
  <si>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</si>
  <si>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</si>
  <si>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</si>
  <si>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</si>
  <si>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</si>
  <si>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</si>
  <si>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</si>
  <si>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</si>
  <si>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</si>
  <si>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</si>
  <si>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</si>
  <si>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</si>
  <si>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</si>
  <si>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</si>
  <si>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</si>
  <si>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</si>
  <si>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</si>
  <si>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</si>
  <si>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</si>
  <si>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</si>
  <si>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</si>
  <si>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</si>
  <si>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</si>
  <si>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</si>
  <si>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</si>
  <si>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</si>
  <si>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</si>
  <si>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</si>
  <si>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</si>
  <si>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</si>
  <si>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</si>
  <si>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</si>
  <si>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</si>
  <si>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</si>
  <si>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</si>
  <si>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</si>
  <si>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</si>
  <si>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</si>
  <si>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</si>
  <si>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</si>
  <si>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</si>
  <si>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</si>
  <si>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</si>
  <si>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</si>
  <si>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</si>
  <si>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</si>
  <si>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</si>
  <si>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</si>
  <si>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</si>
  <si>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</si>
  <si>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</si>
  <si>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</si>
  <si>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</si>
  <si>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</si>
  <si>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</si>
  <si>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</si>
  <si>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</si>
  <si>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</si>
  <si>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</si>
  <si>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</si>
  <si>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</si>
  <si>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</si>
  <si>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</si>
  <si>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</si>
  <si>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</si>
  <si>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</si>
  <si>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</si>
  <si>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</si>
  <si>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</si>
  <si>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</si>
  <si>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</si>
  <si>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</si>
  <si>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</si>
  <si>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</si>
  <si>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</si>
  <si>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</si>
  <si>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</si>
  <si>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</si>
  <si>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</si>
  <si>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</si>
  <si>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</si>
  <si>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</si>
  <si>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</si>
  <si>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</si>
  <si>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</si>
  <si>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</si>
  <si>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</si>
  <si>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</si>
  <si>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</si>
  <si>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</si>
  <si>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</si>
  <si>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</si>
  <si>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</si>
  <si>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</si>
  <si>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</si>
  <si>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</si>
  <si>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</si>
  <si>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</si>
  <si>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</si>
  <si>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</si>
  <si>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</si>
  <si>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</si>
  <si>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</si>
  <si>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</si>
  <si>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</si>
  <si>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</si>
  <si>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</si>
  <si>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</si>
  <si>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</si>
  <si>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</si>
  <si>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</si>
  <si>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</si>
  <si>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</si>
  <si>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</si>
  <si>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</si>
  <si>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</si>
  <si>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</si>
  <si>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</si>
  <si>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</si>
  <si>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</si>
  <si>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</si>
  <si>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</si>
  <si>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</si>
  <si>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</si>
  <si>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</si>
  <si>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</si>
  <si>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</si>
  <si>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</si>
  <si>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</si>
  <si>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</si>
  <si>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</si>
  <si>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</si>
  <si>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</si>
  <si>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</si>
  <si>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</si>
  <si>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</si>
  <si>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</si>
  <si>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</si>
  <si>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</si>
  <si>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</si>
  <si>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</si>
  <si>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</si>
  <si>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</si>
  <si>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</si>
  <si>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</si>
  <si>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</si>
  <si>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</si>
  <si>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</si>
  <si>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</si>
  <si>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</si>
  <si>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</si>
  <si>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</si>
  <si>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</si>
  <si>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</si>
  <si>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</si>
  <si>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</si>
  <si>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</si>
  <si>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</si>
  <si>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</si>
  <si>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</si>
  <si>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</si>
  <si>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</si>
  <si>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</si>
  <si>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</si>
  <si>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</si>
  <si>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</si>
  <si>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</si>
  <si>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</si>
  <si>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</si>
  <si>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</si>
  <si>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</si>
  <si>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</si>
  <si>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</si>
  <si>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</si>
  <si>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</si>
  <si>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</si>
  <si>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</si>
  <si>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</si>
  <si>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</si>
  <si>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</si>
  <si>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</si>
  <si>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</si>
  <si>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</si>
  <si>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</si>
  <si>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</si>
  <si>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</si>
  <si>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</si>
  <si>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</si>
  <si>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</si>
  <si>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</si>
  <si>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</si>
  <si>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</si>
  <si>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</si>
  <si>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</si>
  <si>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</si>
  <si>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</si>
  <si>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</si>
  <si>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</si>
  <si>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</si>
  <si>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</si>
  <si>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</si>
  <si>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</si>
  <si>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</si>
  <si>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</si>
  <si>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</si>
  <si>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</si>
  <si>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</si>
  <si>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</si>
  <si>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</si>
  <si>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</si>
  <si>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</si>
  <si>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</si>
  <si>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</si>
  <si>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</si>
  <si>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</si>
  <si>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</si>
  <si>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</si>
  <si>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</si>
  <si>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</si>
  <si>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</si>
  <si>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</si>
  <si>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</si>
  <si>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</si>
  <si>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</si>
  <si>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</si>
  <si>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</si>
  <si>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</si>
  <si>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</si>
  <si>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</si>
  <si>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</si>
  <si>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</si>
  <si>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</si>
  <si>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</si>
  <si>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</si>
  <si>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</si>
  <si>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</si>
  <si>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</si>
  <si>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</si>
  <si>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</si>
  <si>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</si>
  <si>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</si>
  <si>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</si>
  <si>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</si>
  <si>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</si>
  <si>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</si>
  <si>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</si>
  <si>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</si>
  <si>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</si>
  <si>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</si>
  <si>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</si>
  <si>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</si>
  <si>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</si>
  <si>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</si>
  <si>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</si>
  <si>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</si>
  <si>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</si>
  <si>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</si>
  <si>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</si>
  <si>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</si>
  <si>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</si>
  <si>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</si>
  <si>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</si>
  <si>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</si>
  <si>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</si>
  <si>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</si>
  <si>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</si>
  <si>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</si>
  <si>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</si>
  <si>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</si>
  <si>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</si>
  <si>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</si>
  <si>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</si>
  <si>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</si>
  <si>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</si>
  <si>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</si>
  <si>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</si>
  <si>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</si>
  <si>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</si>
  <si>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</si>
  <si>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</si>
  <si>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</si>
  <si>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</si>
  <si>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</si>
  <si>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</si>
  <si>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</si>
  <si>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</si>
  <si>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</si>
  <si>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</si>
  <si>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</si>
  <si>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</si>
  <si>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</si>
  <si>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</si>
  <si>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</si>
  <si>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</si>
  <si>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</si>
  <si>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</si>
  <si>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</si>
  <si>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</si>
  <si>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</si>
  <si>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</si>
  <si>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</si>
  <si>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</si>
  <si>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</si>
  <si>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</si>
  <si>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</si>
  <si>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</si>
  <si>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</si>
  <si>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</si>
  <si>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</si>
  <si>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</si>
  <si>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</si>
  <si>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</si>
  <si>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</si>
  <si>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</si>
  <si>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</si>
  <si>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</si>
  <si>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</si>
  <si>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</si>
  <si>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</si>
  <si>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</si>
  <si>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</si>
  <si>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</si>
  <si>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</si>
  <si>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</si>
  <si>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</si>
  <si>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</si>
  <si>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</si>
  <si>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</si>
  <si>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</si>
  <si>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</si>
  <si>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</si>
  <si>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</si>
  <si>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</si>
  <si>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</si>
  <si>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</si>
  <si>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</si>
  <si>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</si>
  <si>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</si>
  <si>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</si>
  <si>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</si>
  <si>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</si>
  <si>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</si>
  <si>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</si>
  <si>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</si>
  <si>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</si>
  <si>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</si>
  <si>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</si>
  <si>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</si>
  <si>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</si>
  <si>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</si>
  <si>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</si>
  <si>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</si>
  <si>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</si>
  <si>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</si>
  <si>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</si>
  <si>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</si>
  <si>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</si>
  <si>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</si>
  <si>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</si>
  <si>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</si>
  <si>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</si>
  <si>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</si>
  <si>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</si>
  <si>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</si>
  <si>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</si>
  <si>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</si>
  <si>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</si>
  <si>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</si>
  <si>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</si>
  <si>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</si>
  <si>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</si>
  <si>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</si>
  <si>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</si>
  <si>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</si>
  <si>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</si>
  <si>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</si>
  <si>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</si>
  <si>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</si>
  <si>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</si>
  <si>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</si>
  <si>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</si>
  <si>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</si>
  <si>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</si>
  <si>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</si>
  <si>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</si>
  <si>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</si>
  <si>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</si>
  <si>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</si>
  <si>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</si>
  <si>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</si>
  <si>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</si>
  <si>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</si>
  <si>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</si>
  <si>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</si>
  <si>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</si>
  <si>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</si>
  <si>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</si>
  <si>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</si>
  <si>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</si>
  <si>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</si>
  <si>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</si>
  <si>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</si>
  <si>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</si>
  <si>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</si>
  <si>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</si>
  <si>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</si>
  <si>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</si>
  <si>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</si>
  <si>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</si>
  <si>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</si>
  <si>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</si>
  <si>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</si>
  <si>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</si>
  <si>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</si>
  <si>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</si>
  <si>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</si>
  <si>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</si>
  <si>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</si>
  <si>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</si>
  <si>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</si>
  <si>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</si>
  <si>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</si>
  <si>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</si>
  <si>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</si>
  <si>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</si>
  <si>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</si>
  <si>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</si>
  <si>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</si>
  <si>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</si>
  <si>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</si>
  <si>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</si>
  <si>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</si>
  <si>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</si>
  <si>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</si>
  <si>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</si>
  <si>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</si>
  <si>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</si>
  <si>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</si>
  <si>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</si>
  <si>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</si>
  <si>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</si>
  <si>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</si>
  <si>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</si>
  <si>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</si>
  <si>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</si>
  <si>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</si>
  <si>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</si>
  <si>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</si>
  <si>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</si>
  <si>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</si>
  <si>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</si>
  <si>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</si>
  <si>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</si>
  <si>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</si>
  <si>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</si>
  <si>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</si>
  <si>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</si>
  <si>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</si>
  <si>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</si>
  <si>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</si>
  <si>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</si>
  <si>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</si>
  <si>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</si>
  <si>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</si>
  <si>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</si>
  <si>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</si>
  <si>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</si>
  <si>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</si>
  <si>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</si>
  <si>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</si>
  <si>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</si>
  <si>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</si>
  <si>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</si>
  <si>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</si>
  <si>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</si>
  <si>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</si>
  <si>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</si>
  <si>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</si>
  <si>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</si>
  <si>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</si>
  <si>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</si>
  <si>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</si>
  <si>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</si>
  <si>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</si>
  <si>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</si>
  <si>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</si>
  <si>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</si>
  <si>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</si>
  <si>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</si>
  <si>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</si>
  <si>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</si>
  <si>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</si>
  <si>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</si>
  <si>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</si>
  <si>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</si>
  <si>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</si>
  <si>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</si>
  <si>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</si>
  <si>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</si>
  <si>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</si>
  <si>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</si>
  <si>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</si>
  <si>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</si>
  <si>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</si>
  <si>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</si>
  <si>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</si>
  <si>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</si>
  <si>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</si>
  <si>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</si>
  <si>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</si>
  <si>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</si>
  <si>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</si>
  <si>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</si>
  <si>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</si>
  <si>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</si>
  <si>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</si>
  <si>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</si>
  <si>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</si>
  <si>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</si>
  <si>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</si>
  <si>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</si>
  <si>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</si>
  <si>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</si>
  <si>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</si>
  <si>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</si>
  <si>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</si>
  <si>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</si>
  <si>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</si>
  <si>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</si>
  <si>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</si>
  <si>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</si>
  <si>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</si>
  <si>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</si>
  <si>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</si>
  <si>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</si>
  <si>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</si>
  <si>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</si>
  <si>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</si>
  <si>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</si>
  <si>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</si>
  <si>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</si>
  <si>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</si>
  <si>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</si>
  <si>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</si>
  <si>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</si>
  <si>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</si>
  <si>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</si>
  <si>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</si>
  <si>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</si>
  <si>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</si>
  <si>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</si>
  <si>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</si>
  <si>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</si>
  <si>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</si>
  <si>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</si>
  <si>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</si>
  <si>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</si>
  <si>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</si>
  <si>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</si>
  <si>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</si>
  <si>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</si>
  <si>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</si>
  <si>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</si>
  <si>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</si>
  <si>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</si>
  <si>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</si>
  <si>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</si>
  <si>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</si>
  <si>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</si>
  <si>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</si>
  <si>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</si>
  <si>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</si>
  <si>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</si>
  <si>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</si>
  <si>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</si>
  <si>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</si>
  <si>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</si>
  <si>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</si>
  <si>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</si>
  <si>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</si>
  <si>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</si>
  <si>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</si>
  <si>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</si>
  <si>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</si>
  <si>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</si>
  <si>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</si>
  <si>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</si>
  <si>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</si>
  <si>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</si>
  <si>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</si>
  <si>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</si>
  <si>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</si>
  <si>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</si>
  <si>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</si>
  <si>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</si>
  <si>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</si>
  <si>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</si>
  <si>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</si>
  <si>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</si>
  <si>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</si>
  <si>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</si>
  <si>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</si>
  <si>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</si>
  <si>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</si>
  <si>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</si>
  <si>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</si>
  <si>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</si>
  <si>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</si>
  <si>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</si>
  <si>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</si>
  <si>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</si>
  <si>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</si>
  <si>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</si>
  <si>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</si>
  <si>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</si>
  <si>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</si>
  <si>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</si>
  <si>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</si>
  <si>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</si>
  <si>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</si>
  <si>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</si>
  <si>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</si>
  <si>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</si>
  <si>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</si>
  <si>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</si>
  <si>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</si>
  <si>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</si>
  <si>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</si>
  <si>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</si>
  <si>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</si>
  <si>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</si>
  <si>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</si>
  <si>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</si>
  <si>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</si>
  <si>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</si>
  <si>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</si>
  <si>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</si>
  <si>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</si>
  <si>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</si>
  <si>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</si>
  <si>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</si>
  <si>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</si>
  <si>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</si>
  <si>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</si>
  <si>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</si>
  <si>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</si>
  <si>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</si>
  <si>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</si>
  <si>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</si>
  <si>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</si>
  <si>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</si>
  <si>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</si>
  <si>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</si>
  <si>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</si>
  <si>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</si>
  <si>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</si>
  <si>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</si>
  <si>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</si>
  <si>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</si>
  <si>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</si>
  <si>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</si>
  <si>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</si>
  <si>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</si>
  <si>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</si>
  <si>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</si>
  <si>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</si>
  <si>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</si>
  <si>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</si>
  <si>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</si>
  <si>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</si>
  <si>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</si>
  <si>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</si>
  <si>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</si>
  <si>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</si>
  <si>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</si>
  <si>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</si>
  <si>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</si>
  <si>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</si>
  <si>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</si>
  <si>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</si>
  <si>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</si>
  <si>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</si>
  <si>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</si>
  <si>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</si>
  <si>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</si>
  <si>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</si>
  <si>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</si>
  <si>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</si>
  <si>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</si>
  <si>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</si>
  <si>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</si>
  <si>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</si>
  <si>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</si>
  <si>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</si>
  <si>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</si>
  <si>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</si>
  <si>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</si>
  <si>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</si>
  <si>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</si>
  <si>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</si>
  <si>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</si>
  <si>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</si>
  <si>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</si>
  <si>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</si>
  <si>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</si>
  <si>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</si>
  <si>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</si>
  <si>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</si>
  <si>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</si>
  <si>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</si>
  <si>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</si>
  <si>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</si>
  <si>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</si>
  <si>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</si>
  <si>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</si>
  <si>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</si>
  <si>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</si>
  <si>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</si>
  <si>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</si>
  <si>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</si>
  <si>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</si>
  <si>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</si>
  <si>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</si>
  <si>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</si>
  <si>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</si>
  <si>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</si>
  <si>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</si>
  <si>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</si>
  <si>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</si>
  <si>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</si>
  <si>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</si>
  <si>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</si>
  <si>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</si>
  <si>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</si>
  <si>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</si>
  <si>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</si>
  <si>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</si>
  <si>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</si>
  <si>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</si>
  <si>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</si>
  <si>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</si>
  <si>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</si>
  <si>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</si>
  <si>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</si>
  <si>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</si>
  <si>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</si>
  <si>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</si>
  <si>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</si>
  <si>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</si>
  <si>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</si>
  <si>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</si>
  <si>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</si>
  <si>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</si>
  <si>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</si>
  <si>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</si>
  <si>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</si>
  <si>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</si>
  <si>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</si>
  <si>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</si>
  <si>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</si>
  <si>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</si>
  <si>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</si>
  <si>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</si>
  <si>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</si>
  <si>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</si>
  <si>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</si>
  <si>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</si>
  <si>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</si>
  <si>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</si>
  <si>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</si>
  <si>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</si>
  <si>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</si>
  <si>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</si>
  <si>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</si>
  <si>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</si>
  <si>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</si>
  <si>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</si>
  <si>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</si>
  <si>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</si>
  <si>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</si>
  <si>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</si>
  <si>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</si>
  <si>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</si>
  <si>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</si>
  <si>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</si>
  <si>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</si>
  <si>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</si>
  <si>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</si>
  <si>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</si>
  <si>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</si>
  <si>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</si>
  <si>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</si>
  <si>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</si>
  <si>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</si>
  <si>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</si>
  <si>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</si>
  <si>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</si>
  <si>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</si>
  <si>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</si>
  <si>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</si>
  <si>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</si>
  <si>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</si>
  <si>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</si>
  <si>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</si>
  <si>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</si>
  <si>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</si>
  <si>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</si>
  <si>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</si>
  <si>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</si>
  <si>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</si>
  <si>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</si>
  <si>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</si>
  <si>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</si>
  <si>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</si>
  <si>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</si>
  <si>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</si>
  <si>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</si>
  <si>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</si>
  <si>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</si>
  <si>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</si>
  <si>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</si>
  <si>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</si>
  <si>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</si>
  <si>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</si>
  <si>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</si>
  <si>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</si>
  <si>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</si>
  <si>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</si>
  <si>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</si>
  <si>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</si>
  <si>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</si>
  <si>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</si>
  <si>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</si>
  <si>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</si>
  <si>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</si>
  <si>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</si>
  <si>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</si>
  <si>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</si>
  <si>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</si>
  <si>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</si>
  <si>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</si>
  <si>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</si>
  <si>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</si>
  <si>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</si>
  <si>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</si>
  <si>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</si>
  <si>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</si>
  <si>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</si>
  <si>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</si>
  <si>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</si>
  <si>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</si>
  <si>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</si>
  <si>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</si>
  <si>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</si>
  <si>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</si>
  <si>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</si>
  <si>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</si>
  <si>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</si>
  <si>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</si>
  <si>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</si>
  <si>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</si>
  <si>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</si>
  <si>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</si>
  <si>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</si>
  <si>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</si>
  <si>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</si>
  <si>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</si>
  <si>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</si>
  <si>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</si>
  <si>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</si>
  <si>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</si>
  <si>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</si>
  <si>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</si>
  <si>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</si>
  <si>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</si>
  <si>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</si>
  <si>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</si>
  <si>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</si>
  <si>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</si>
  <si>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</si>
  <si>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</si>
  <si>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</si>
  <si>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</si>
  <si>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</si>
  <si>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</si>
  <si>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</si>
  <si>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</si>
  <si>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</si>
  <si>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</si>
  <si>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</si>
  <si>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</si>
  <si>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</si>
  <si>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</si>
  <si>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</si>
  <si>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</si>
  <si>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</si>
  <si>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</si>
  <si>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</si>
  <si>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</si>
  <si>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</si>
  <si>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</si>
  <si>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</si>
  <si>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</si>
  <si>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</si>
  <si>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</si>
  <si>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</si>
  <si>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</si>
  <si>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</si>
  <si>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</si>
  <si>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</si>
  <si>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</si>
  <si>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</si>
  <si>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</si>
  <si>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</si>
  <si>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</si>
  <si>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</si>
  <si>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</si>
  <si>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</si>
  <si>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</si>
  <si>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</si>
  <si>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</si>
  <si>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</si>
  <si>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</si>
  <si>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</si>
  <si>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</si>
  <si>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</si>
  <si>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</si>
  <si>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</si>
  <si>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</si>
  <si>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</si>
  <si>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</si>
  <si>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</si>
  <si>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</si>
  <si>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</si>
  <si>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</si>
  <si>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</si>
  <si>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</si>
  <si>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</si>
  <si>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</si>
  <si>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</si>
  <si>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</si>
  <si>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</si>
  <si>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</si>
  <si>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</si>
  <si>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</si>
  <si>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</si>
  <si>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</si>
  <si>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</si>
  <si>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</si>
  <si>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</si>
  <si>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</si>
  <si>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</si>
  <si>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</si>
  <si>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</si>
  <si>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</si>
  <si>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</si>
  <si>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</si>
  <si>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</si>
  <si>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</si>
  <si>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</si>
  <si>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</si>
  <si>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</si>
  <si>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</si>
  <si>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</si>
  <si>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</si>
  <si>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</si>
  <si>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</si>
  <si>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</si>
  <si>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</si>
  <si>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</si>
  <si>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</si>
  <si>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</si>
  <si>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</si>
  <si>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</si>
  <si>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</si>
  <si>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</si>
  <si>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</si>
  <si>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</si>
  <si>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</si>
  <si>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</si>
  <si>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</si>
  <si>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</si>
  <si>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</si>
  <si>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</si>
  <si>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</si>
  <si>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</si>
  <si>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</si>
  <si>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</si>
  <si>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</si>
  <si>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</si>
  <si>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</si>
  <si>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</si>
  <si>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</si>
  <si>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</si>
  <si>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</si>
  <si>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</si>
  <si>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</si>
  <si>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</si>
  <si>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</si>
  <si>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</si>
  <si>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</si>
  <si>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</si>
  <si>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</si>
  <si>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</si>
  <si>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</si>
  <si>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</si>
  <si>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</si>
  <si>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</si>
  <si>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</si>
  <si>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</si>
  <si>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</si>
  <si>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</si>
  <si>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</si>
  <si>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</si>
  <si>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</si>
  <si>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</si>
  <si>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</si>
  <si>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</si>
  <si>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</si>
  <si>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</si>
  <si>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</si>
  <si>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</si>
  <si>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</si>
  <si>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</si>
  <si>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</si>
  <si>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</si>
  <si>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</si>
  <si>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</si>
  <si>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</si>
  <si>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</si>
  <si>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</si>
  <si>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</si>
  <si>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</si>
  <si>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</si>
  <si>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</si>
  <si>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</si>
  <si>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</si>
  <si>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</si>
  <si>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</si>
  <si>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</si>
  <si>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</si>
  <si>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</si>
  <si>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</si>
  <si>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</si>
  <si>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</si>
  <si>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</si>
  <si>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</si>
  <si>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</si>
  <si>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</si>
  <si>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</si>
  <si>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</si>
  <si>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</si>
  <si>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</si>
  <si>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</si>
  <si>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</si>
  <si>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</si>
  <si>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</si>
  <si>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</si>
  <si>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</si>
  <si>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</si>
  <si>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</si>
  <si>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</si>
  <si>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</si>
  <si>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</si>
  <si>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</si>
  <si>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</si>
  <si>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</si>
  <si>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</si>
  <si>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</si>
  <si>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</si>
  <si>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</si>
  <si>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</si>
  <si>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</si>
  <si>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</si>
  <si>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</si>
  <si>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</si>
  <si>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</si>
  <si>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</si>
  <si>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</si>
  <si>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</si>
  <si>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</si>
  <si>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</si>
  <si>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</si>
  <si>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</si>
  <si>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</si>
  <si>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</si>
  <si>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</si>
  <si>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</si>
  <si>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</si>
  <si>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</si>
  <si>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</si>
  <si>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</si>
  <si>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</si>
  <si>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</si>
  <si>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</si>
  <si>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</si>
  <si>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</si>
  <si>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</si>
  <si>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</si>
  <si>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</si>
  <si>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</si>
  <si>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</si>
  <si>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</si>
  <si>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</si>
  <si>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</si>
  <si>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</si>
  <si>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</si>
  <si>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</si>
  <si>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</si>
  <si>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</si>
  <si>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</si>
  <si>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</si>
  <si>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</si>
  <si>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</si>
  <si>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</si>
  <si>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</si>
  <si>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</si>
  <si>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</si>
  <si>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</si>
  <si>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</si>
  <si>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</si>
  <si>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</si>
  <si>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</si>
  <si>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</si>
  <si>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</si>
  <si>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</si>
  <si>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</si>
  <si>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</si>
  <si>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</si>
  <si>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</si>
  <si>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</si>
  <si>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</si>
  <si>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</si>
  <si>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</si>
  <si>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</si>
  <si>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</si>
  <si>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</si>
  <si>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</si>
  <si>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</si>
  <si>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</si>
  <si>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</si>
  <si>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</si>
  <si>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</si>
  <si>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</si>
  <si>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</si>
  <si>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</si>
  <si>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</si>
  <si>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</si>
  <si>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</si>
  <si>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</si>
  <si>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</si>
  <si>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</si>
  <si>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</si>
  <si>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</si>
  <si>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</si>
  <si>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</si>
  <si>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</si>
  <si>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</si>
  <si>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</si>
  <si>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</si>
  <si>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</si>
  <si>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</si>
  <si>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</si>
  <si>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</si>
  <si>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</si>
  <si>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</si>
  <si>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</si>
  <si>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</si>
  <si>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</si>
  <si>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</si>
  <si>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</si>
  <si>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</si>
  <si>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</si>
  <si>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</si>
  <si>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</si>
  <si>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</si>
  <si>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</si>
  <si>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</si>
  <si>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</si>
  <si>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</si>
  <si>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</si>
  <si>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</si>
  <si>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</si>
  <si>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</si>
  <si>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</si>
  <si>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</si>
  <si>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</si>
  <si>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</si>
  <si>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</si>
  <si>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</si>
  <si>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</si>
  <si>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</si>
  <si>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</si>
  <si>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</si>
  <si>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</si>
  <si>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</si>
  <si>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</si>
  <si>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</si>
  <si>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</si>
  <si>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</si>
  <si>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</si>
  <si>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</si>
  <si>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</si>
  <si>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</si>
  <si>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</si>
  <si>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</si>
  <si>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</si>
  <si>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</si>
  <si>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</si>
  <si>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</si>
  <si>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</si>
  <si>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</si>
  <si>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</si>
  <si>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</si>
  <si>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</si>
  <si>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</si>
  <si>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</si>
  <si>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</si>
  <si>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</si>
  <si>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</si>
  <si>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</si>
  <si>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</si>
  <si>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</si>
  <si>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</si>
  <si>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</si>
  <si>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</si>
  <si>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</si>
  <si>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</si>
  <si>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</si>
  <si>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</si>
  <si>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</si>
  <si>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</si>
  <si>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</si>
  <si>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</si>
  <si>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</si>
  <si>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</si>
  <si>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</si>
  <si>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</si>
  <si>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</si>
  <si>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</si>
  <si>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</si>
  <si>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</si>
  <si>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</si>
  <si>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</si>
  <si>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</si>
  <si>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</si>
  <si>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</si>
  <si>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</si>
  <si>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</si>
  <si>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</si>
  <si>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</si>
  <si>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</si>
  <si>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</si>
  <si>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</si>
  <si>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</si>
  <si>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</si>
  <si>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</si>
  <si>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</si>
  <si>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</si>
  <si>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</si>
  <si>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</si>
  <si>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</si>
  <si>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</si>
  <si>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</si>
  <si>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</si>
  <si>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</si>
  <si>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</si>
  <si>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</si>
  <si>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</si>
  <si>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</si>
  <si>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</si>
  <si>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</si>
  <si>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</si>
  <si>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</si>
  <si>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</si>
  <si>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</si>
  <si>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</si>
  <si>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</si>
  <si>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</si>
  <si>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</si>
  <si>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</si>
  <si>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</si>
  <si>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</si>
  <si>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</si>
  <si>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</si>
  <si>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</si>
  <si>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</si>
  <si>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</si>
  <si>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</si>
  <si>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</si>
  <si>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</si>
  <si>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</si>
  <si>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</si>
  <si>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</si>
  <si>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</si>
  <si>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</si>
  <si>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</si>
  <si>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</si>
  <si>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</si>
  <si>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</si>
  <si>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</si>
  <si>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</si>
  <si>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</si>
  <si>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</si>
  <si>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</si>
  <si>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</si>
  <si>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</si>
  <si>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</si>
  <si>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</si>
  <si>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</si>
  <si>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</si>
  <si>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</si>
  <si>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</si>
  <si>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</si>
  <si>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</si>
  <si>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</si>
  <si>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</si>
  <si>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</si>
  <si>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</si>
  <si>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</si>
  <si>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</si>
  <si>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</si>
  <si>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</si>
  <si>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</si>
  <si>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</si>
  <si>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</si>
  <si>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</si>
  <si>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</si>
  <si>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</si>
  <si>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</si>
  <si>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</si>
  <si>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</si>
  <si>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</si>
  <si>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</si>
  <si>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</si>
  <si>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</si>
  <si>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</si>
  <si>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</si>
  <si>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</si>
  <si>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</si>
  <si>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</si>
  <si>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</si>
  <si>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</si>
  <si>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</si>
  <si>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</si>
  <si>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</si>
  <si>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</si>
  <si>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</si>
  <si>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</si>
  <si>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</si>
  <si>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</si>
  <si>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</si>
  <si>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</si>
  <si>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</si>
  <si>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</si>
  <si>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</si>
  <si>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</si>
  <si>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</si>
  <si>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</si>
  <si>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</si>
  <si>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</si>
  <si>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</si>
  <si>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</si>
  <si>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</si>
  <si>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</si>
  <si>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</si>
  <si>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</si>
  <si>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</si>
  <si>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</si>
  <si>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</si>
  <si>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</si>
  <si>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</si>
  <si>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</si>
  <si>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</si>
  <si>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</si>
  <si>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</si>
  <si>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</si>
  <si>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</si>
  <si>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</si>
  <si>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</si>
  <si>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</si>
  <si>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</si>
  <si>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</si>
  <si>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</si>
  <si>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</si>
  <si>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</si>
  <si>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</si>
  <si>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</si>
  <si>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</si>
  <si>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</si>
  <si>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</si>
  <si>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</si>
  <si>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</si>
  <si>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</si>
  <si>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</si>
  <si>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</si>
  <si>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</si>
  <si>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</si>
  <si>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</si>
  <si>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</si>
  <si>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</si>
  <si>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</si>
  <si>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</si>
  <si>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</si>
  <si>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</si>
  <si>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</si>
  <si>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</si>
  <si>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</si>
  <si>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</si>
  <si>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</si>
  <si>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</si>
  <si>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</si>
  <si>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</si>
  <si>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</si>
  <si>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</si>
  <si>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</si>
  <si>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</si>
  <si>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</si>
  <si>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</si>
  <si>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</si>
  <si>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</si>
  <si>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</si>
  <si>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</si>
  <si>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</si>
  <si>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</si>
  <si>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</si>
  <si>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</si>
  <si>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</si>
  <si>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</si>
  <si>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</si>
  <si>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</si>
  <si>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</si>
  <si>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</si>
  <si>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</si>
  <si>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</si>
  <si>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</si>
  <si>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</si>
  <si>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</si>
  <si>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</si>
  <si>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</si>
  <si>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</si>
  <si>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</si>
  <si>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</si>
  <si>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</si>
  <si>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</si>
  <si>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</si>
  <si>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</si>
  <si>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</si>
  <si>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</si>
  <si>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</si>
  <si>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</si>
  <si>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</si>
  <si>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</si>
  <si>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</si>
  <si>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</si>
  <si>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</si>
  <si>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</si>
  <si>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</si>
  <si>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</si>
  <si>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</si>
  <si>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</si>
  <si>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</si>
  <si>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</si>
  <si>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</si>
  <si>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</si>
  <si>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</si>
  <si>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</si>
  <si>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</si>
  <si>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</si>
  <si>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</si>
  <si>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</si>
  <si>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</si>
  <si>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</si>
  <si>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</si>
  <si>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</si>
  <si>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</si>
  <si>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</si>
  <si>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</si>
  <si>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</si>
  <si>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</si>
  <si>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</si>
  <si>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</si>
  <si>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</si>
  <si>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</si>
  <si>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</si>
  <si>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</si>
  <si>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</si>
  <si>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</si>
  <si>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</si>
  <si>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</si>
  <si>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</si>
  <si>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</si>
  <si>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</si>
  <si>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</si>
  <si>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</si>
  <si>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</si>
  <si>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</si>
  <si>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</si>
  <si>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</si>
  <si>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</si>
  <si>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</si>
  <si>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</si>
  <si>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</si>
  <si>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</si>
  <si>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</si>
  <si>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</si>
  <si>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</si>
  <si>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</si>
  <si>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</si>
  <si>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</si>
  <si>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</si>
  <si>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</si>
  <si>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</si>
  <si>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</si>
  <si>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</si>
  <si>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</si>
  <si>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</si>
  <si>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</si>
  <si>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</si>
  <si>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</si>
  <si>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</si>
  <si>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</si>
  <si>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</si>
  <si>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</si>
  <si>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</si>
  <si>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</si>
  <si>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</si>
  <si>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</si>
  <si>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</si>
  <si>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</si>
  <si>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</si>
  <si>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</si>
  <si>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</si>
  <si>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</si>
  <si>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</si>
  <si>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</si>
  <si>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</si>
  <si>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</si>
  <si>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</si>
  <si>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</si>
  <si>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</si>
  <si>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</si>
  <si>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</si>
  <si>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</si>
  <si>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</si>
  <si>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</si>
  <si>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</si>
  <si>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</si>
  <si>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</si>
  <si>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</si>
  <si>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</si>
  <si>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</si>
  <si>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</si>
  <si>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</si>
  <si>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</si>
  <si>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</si>
  <si>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</si>
  <si>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</si>
  <si>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</si>
  <si>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</si>
  <si>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</si>
  <si>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</si>
  <si>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</si>
  <si>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</si>
  <si>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</si>
  <si>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</si>
  <si>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</si>
  <si>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</si>
  <si>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</si>
  <si>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</si>
  <si>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</si>
  <si>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</si>
  <si>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</si>
  <si>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</si>
  <si>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</si>
  <si>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</si>
  <si>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</si>
  <si>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</si>
  <si>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</si>
  <si>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</si>
  <si>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</si>
  <si>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</si>
  <si>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</si>
  <si>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</si>
  <si>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</si>
  <si>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</si>
  <si>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</si>
  <si>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</si>
  <si>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</si>
  <si>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</si>
  <si>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</si>
  <si>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</si>
  <si>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</si>
  <si>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</si>
  <si>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</si>
  <si>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</si>
  <si>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</si>
  <si>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</si>
  <si>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</si>
  <si>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</si>
  <si>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</si>
  <si>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</si>
  <si>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</si>
  <si>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</si>
  <si>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</si>
  <si>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</si>
  <si>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</si>
  <si>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</si>
  <si>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</si>
  <si>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</si>
  <si>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</si>
  <si>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</si>
  <si>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</si>
  <si>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</si>
  <si>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</si>
  <si>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</si>
  <si>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</si>
  <si>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</si>
  <si>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</si>
  <si>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</si>
  <si>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</si>
  <si>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</si>
  <si>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</si>
  <si>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</si>
  <si>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</si>
  <si>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</si>
  <si>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</si>
  <si>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</si>
  <si>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</si>
  <si>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</si>
  <si>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</si>
  <si>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</si>
  <si>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</si>
  <si>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</si>
  <si>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</si>
  <si>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</si>
  <si>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</si>
  <si>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</si>
  <si>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</si>
  <si>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</si>
  <si>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</si>
  <si>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</si>
  <si>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</si>
  <si>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</si>
  <si>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</si>
  <si>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</si>
  <si>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</si>
  <si>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</si>
  <si>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</si>
  <si>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</si>
  <si>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</si>
  <si>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</si>
  <si>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</si>
  <si>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</si>
  <si>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</si>
  <si>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</si>
  <si>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</si>
  <si>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</si>
  <si>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</si>
  <si>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</si>
  <si>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</si>
  <si>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</si>
  <si>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</si>
  <si>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</si>
  <si>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</si>
  <si>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</si>
  <si>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</si>
  <si>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</si>
  <si>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</si>
  <si>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</si>
  <si>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</si>
  <si>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</si>
  <si>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</si>
  <si>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</si>
  <si>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</si>
  <si>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</si>
  <si>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</si>
  <si>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</si>
  <si>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</si>
  <si>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</si>
  <si>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</si>
  <si>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</si>
  <si>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</si>
  <si>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</si>
  <si>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</si>
  <si>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</si>
  <si>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</si>
  <si>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</si>
  <si>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</si>
  <si>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</si>
  <si>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</si>
  <si>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</si>
  <si>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</si>
  <si>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</si>
  <si>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</si>
  <si>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</si>
  <si>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</si>
  <si>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</si>
  <si>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</si>
  <si>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</si>
  <si>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</si>
  <si>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</si>
  <si>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</si>
  <si>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</si>
  <si>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</si>
  <si>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</si>
  <si>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</si>
  <si>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</si>
  <si>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</si>
  <si>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</si>
  <si>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</si>
  <si>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</si>
  <si>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</si>
  <si>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</si>
  <si>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</si>
  <si>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</si>
  <si>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</si>
  <si>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</si>
  <si>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</si>
  <si>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</si>
  <si>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</si>
  <si>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</si>
  <si>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</si>
  <si>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</si>
  <si>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</si>
  <si>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</si>
  <si>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</si>
  <si>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</si>
  <si>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</si>
  <si>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</si>
  <si>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</si>
  <si>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</si>
  <si>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</si>
  <si>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</si>
  <si>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</si>
  <si>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</si>
  <si>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</si>
  <si>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</si>
  <si>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</si>
  <si>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</si>
  <si>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</si>
  <si>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</si>
  <si>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</si>
  <si>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</si>
  <si>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</si>
  <si>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</si>
  <si>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</si>
  <si>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</si>
  <si>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</si>
  <si>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</si>
  <si>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</si>
  <si>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</si>
  <si>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</si>
  <si>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</si>
  <si>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</si>
  <si>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</si>
  <si>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</si>
  <si>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</si>
  <si>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</si>
  <si>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</si>
  <si>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</si>
  <si>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</si>
  <si>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</si>
  <si>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</si>
  <si>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</si>
  <si>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</si>
  <si>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</si>
  <si>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</si>
  <si>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</si>
  <si>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</si>
  <si>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</si>
  <si>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</si>
  <si>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</si>
  <si>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</si>
  <si>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</si>
  <si>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</si>
  <si>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</si>
  <si>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</si>
  <si>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</si>
  <si>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</si>
  <si>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</si>
  <si>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</si>
  <si>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</si>
  <si>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</si>
  <si>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</si>
  <si>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</si>
  <si>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</si>
  <si>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</si>
  <si>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</si>
  <si>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</si>
  <si>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</si>
  <si>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</si>
  <si>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</si>
  <si>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</si>
  <si>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</si>
  <si>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</si>
  <si>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</si>
  <si>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</si>
  <si>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</si>
  <si>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</si>
  <si>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</si>
  <si>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</si>
  <si>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</si>
  <si>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</si>
  <si>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</si>
  <si>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</si>
  <si>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</si>
  <si>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</si>
  <si>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</si>
  <si>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</si>
  <si>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</si>
  <si>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</si>
  <si>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</si>
  <si>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</si>
  <si>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</si>
  <si>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</si>
  <si>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</si>
  <si>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</si>
  <si>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</si>
  <si>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</si>
  <si>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</si>
  <si>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</si>
  <si>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</si>
  <si>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</si>
  <si>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</si>
  <si>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</si>
  <si>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</si>
  <si>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</si>
  <si>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</si>
  <si>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</si>
  <si>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</si>
  <si>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</si>
  <si>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</si>
  <si>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</si>
  <si>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</si>
  <si>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</si>
  <si>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</si>
  <si>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</si>
  <si>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</si>
  <si>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</si>
  <si>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</si>
  <si>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</si>
  <si>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</si>
  <si>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</si>
  <si>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</si>
  <si>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</si>
  <si>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</si>
  <si>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</si>
  <si>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</si>
  <si>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</si>
  <si>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</si>
  <si>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</si>
  <si>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</si>
  <si>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</si>
  <si>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</si>
  <si>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</si>
  <si>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</si>
  <si>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</si>
  <si>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</si>
  <si>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</si>
  <si>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</si>
  <si>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</si>
  <si>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</si>
  <si>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</si>
  <si>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</si>
  <si>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</si>
  <si>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</si>
  <si>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</si>
  <si>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</si>
  <si>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</si>
  <si>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</si>
  <si>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</si>
  <si>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</si>
  <si>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</si>
  <si>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</si>
  <si>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</si>
  <si>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</si>
  <si>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</si>
  <si>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</si>
  <si>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</si>
  <si>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</si>
  <si>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</si>
  <si>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</si>
  <si>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</si>
  <si>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</si>
  <si>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</si>
  <si>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</si>
  <si>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</si>
  <si>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</si>
  <si>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</si>
  <si>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</si>
  <si>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</si>
  <si>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</si>
  <si>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</si>
  <si>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</si>
  <si>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</si>
  <si>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</si>
  <si>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</si>
  <si>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</si>
  <si>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</si>
  <si>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</si>
  <si>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</si>
  <si>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</si>
  <si>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</si>
  <si>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</si>
  <si>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</si>
  <si>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</si>
  <si>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</si>
  <si>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</si>
  <si>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</si>
  <si>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</si>
  <si>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</si>
  <si>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</si>
  <si>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</si>
  <si>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</si>
  <si>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</si>
  <si>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</si>
  <si>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</si>
  <si>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</si>
  <si>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</si>
  <si>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</si>
  <si>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</si>
  <si>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</si>
  <si>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</si>
  <si>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</si>
  <si>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</si>
  <si>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</si>
  <si>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</si>
  <si>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</si>
  <si>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</si>
  <si>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</si>
  <si>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</si>
  <si>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</si>
  <si>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</si>
  <si>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</si>
  <si>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</si>
  <si>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</si>
  <si>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</si>
  <si>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</si>
  <si>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</si>
  <si>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</si>
  <si>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</si>
  <si>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</si>
  <si>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</si>
  <si>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</si>
  <si>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</si>
  <si>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</si>
  <si>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</si>
  <si>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</si>
  <si>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</si>
  <si>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</si>
  <si>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</si>
  <si>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</si>
  <si>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</si>
  <si>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</si>
  <si>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</si>
  <si>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</si>
  <si>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</si>
  <si>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</si>
  <si>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</si>
  <si>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</si>
  <si>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</si>
  <si>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</si>
  <si>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</si>
  <si>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</si>
  <si>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</si>
  <si>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</si>
  <si>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</si>
  <si>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</si>
  <si>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</si>
  <si>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</si>
  <si>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</si>
  <si>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</si>
  <si>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</si>
  <si>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</si>
  <si>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</si>
  <si>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</si>
  <si>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</si>
  <si>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</si>
  <si>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</si>
  <si>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</si>
  <si>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</si>
  <si>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</si>
  <si>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</si>
  <si>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</si>
  <si>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</si>
  <si>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</si>
  <si>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</si>
  <si>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</si>
  <si>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</si>
  <si>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</si>
  <si>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</si>
  <si>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</si>
  <si>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</si>
  <si>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</si>
  <si>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</si>
  <si>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</si>
  <si>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</si>
  <si>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</si>
  <si>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</si>
  <si>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</si>
  <si>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</si>
  <si>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</si>
  <si>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</si>
  <si>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</si>
  <si>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</si>
  <si>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</si>
  <si>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</si>
  <si>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</si>
  <si>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</si>
  <si>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</si>
  <si>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</si>
  <si>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</si>
  <si>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</si>
  <si>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</si>
  <si>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</si>
  <si>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</si>
  <si>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</si>
  <si>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</si>
  <si>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</si>
  <si>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</si>
  <si>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</si>
  <si>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</si>
  <si>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</si>
  <si>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</si>
  <si>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</si>
  <si>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</si>
  <si>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</si>
  <si>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</si>
  <si>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</si>
  <si>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</si>
  <si>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</si>
  <si>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</si>
  <si>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</si>
  <si>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</si>
  <si>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</si>
  <si>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</si>
  <si>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</si>
  <si>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</si>
  <si>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</si>
  <si>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</si>
  <si>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</si>
  <si>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</si>
  <si>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</si>
  <si>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</si>
  <si>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</si>
  <si>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</si>
  <si>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</si>
  <si>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</si>
  <si>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</si>
  <si>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</si>
  <si>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</si>
  <si>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</si>
  <si>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</si>
  <si>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</si>
  <si>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</si>
  <si>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</si>
  <si>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</si>
  <si>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</si>
  <si>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</si>
  <si>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</si>
  <si>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</si>
  <si>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</si>
  <si>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</si>
  <si>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</si>
  <si>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</si>
  <si>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</si>
  <si>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</si>
  <si>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</si>
  <si>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</si>
  <si>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</si>
  <si>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</si>
  <si>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</si>
  <si>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</si>
  <si>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</si>
  <si>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</si>
  <si>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</si>
  <si>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</si>
  <si>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</si>
  <si>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</si>
  <si>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</si>
  <si>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</si>
  <si>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</si>
  <si>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</si>
  <si>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</si>
  <si>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</si>
  <si>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</si>
  <si>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</si>
  <si>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</si>
  <si>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</si>
  <si>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</si>
  <si>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</si>
  <si>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</si>
  <si>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</si>
  <si>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</si>
  <si>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</si>
  <si>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</si>
  <si>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</si>
  <si>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</si>
  <si>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</si>
  <si>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</si>
  <si>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</si>
  <si>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</si>
  <si>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</si>
  <si>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</si>
  <si>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</si>
  <si>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</si>
  <si>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</si>
  <si>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</si>
  <si>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</si>
  <si>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</si>
  <si>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</si>
  <si>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</si>
  <si>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</si>
  <si>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</si>
  <si>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</si>
  <si>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</si>
  <si>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</si>
  <si>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</si>
  <si>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</si>
  <si>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</si>
  <si>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</si>
  <si>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</si>
  <si>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</si>
  <si>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</si>
  <si>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</si>
  <si>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</si>
  <si>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</si>
  <si>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</si>
  <si>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</si>
  <si>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</si>
  <si>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</si>
  <si>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</si>
  <si>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</si>
  <si>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</si>
  <si>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</si>
  <si>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</si>
  <si>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</si>
  <si>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</si>
  <si>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</si>
  <si>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</si>
  <si>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</si>
  <si>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</si>
  <si>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</si>
  <si>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</si>
  <si>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</si>
  <si>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</si>
  <si>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</si>
  <si>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</si>
  <si>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</si>
  <si>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</si>
  <si>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</si>
  <si>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</si>
  <si>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</si>
  <si>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</si>
  <si>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</si>
  <si>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</si>
  <si>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</si>
  <si>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</si>
  <si>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</si>
  <si>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</si>
  <si>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</si>
  <si>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</si>
  <si>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</si>
  <si>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</si>
  <si>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</si>
  <si>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</si>
  <si>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</si>
  <si>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</si>
  <si>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</si>
  <si>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</si>
  <si>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</si>
  <si>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</si>
  <si>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</si>
  <si>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</si>
  <si>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</si>
  <si>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</si>
  <si>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</si>
  <si>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</si>
  <si>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</si>
  <si>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</si>
  <si>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</si>
  <si>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</si>
  <si>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</si>
  <si>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</si>
  <si>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</si>
  <si>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</si>
  <si>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</si>
  <si>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</si>
  <si>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</si>
  <si>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</si>
  <si>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</si>
  <si>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</si>
  <si>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</si>
  <si>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</si>
  <si>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</si>
  <si>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</si>
  <si>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</si>
  <si>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</si>
  <si>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</si>
  <si>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</si>
  <si>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</si>
  <si>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</si>
  <si>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</si>
  <si>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</si>
  <si>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</si>
  <si>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</si>
  <si>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</si>
  <si>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</si>
  <si>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</si>
  <si>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</si>
  <si>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</si>
  <si>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</si>
  <si>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</si>
  <si>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</si>
  <si>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</si>
  <si>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</si>
  <si>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</si>
  <si>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</si>
  <si>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</si>
  <si>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</si>
  <si>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</si>
  <si>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</si>
  <si>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</si>
  <si>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</si>
  <si>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</si>
  <si>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</si>
  <si>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</si>
  <si>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</si>
  <si>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</si>
  <si>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</si>
  <si>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</si>
  <si>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</si>
  <si>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</si>
  <si>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</si>
  <si>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</si>
  <si>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</si>
  <si>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</si>
  <si>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</si>
  <si>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</si>
  <si>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</si>
  <si>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</si>
  <si>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</si>
  <si>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</si>
  <si>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</si>
  <si>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</si>
  <si>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</si>
  <si>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</si>
  <si>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</si>
  <si>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</si>
  <si>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</si>
  <si>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</si>
  <si>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</si>
  <si>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</si>
  <si>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</si>
  <si>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</si>
  <si>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</si>
  <si>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</si>
  <si>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</si>
  <si>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</si>
  <si>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</si>
  <si>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</si>
  <si>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</si>
  <si>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</si>
  <si>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</si>
  <si>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</si>
  <si>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</si>
  <si>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</si>
  <si>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</si>
  <si>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</si>
  <si>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</si>
  <si>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</si>
  <si>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</si>
  <si>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</si>
  <si>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</si>
  <si>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</si>
  <si>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</si>
  <si>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</si>
  <si>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</si>
  <si>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</si>
  <si>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</si>
  <si>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</si>
  <si>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</si>
  <si>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</si>
  <si>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</si>
  <si>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</si>
  <si>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</si>
  <si>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</si>
  <si>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</si>
  <si>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</si>
  <si>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</si>
  <si>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</si>
  <si>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</si>
  <si>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</si>
  <si>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</si>
  <si>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</si>
  <si>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</si>
  <si>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</si>
  <si>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</si>
  <si>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</si>
  <si>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</si>
  <si>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</si>
  <si>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</si>
  <si>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</si>
  <si>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</si>
  <si>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</si>
  <si>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</si>
  <si>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</si>
  <si>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</si>
  <si>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</si>
  <si>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</si>
  <si>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</si>
  <si>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</si>
  <si>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</si>
  <si>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</si>
  <si>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</si>
  <si>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</si>
  <si>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</si>
  <si>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</si>
  <si>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</si>
  <si>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</si>
  <si>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</si>
  <si>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</si>
  <si>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</si>
  <si>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</si>
  <si>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</si>
  <si>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</si>
  <si>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</si>
  <si>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</si>
  <si>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</si>
  <si>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</si>
  <si>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</si>
  <si>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</si>
  <si>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</si>
  <si>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</si>
  <si>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</si>
  <si>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</si>
  <si>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</si>
  <si>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</si>
  <si>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</si>
  <si>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</si>
  <si>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</si>
  <si>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</si>
  <si>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</si>
  <si>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</si>
  <si>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</si>
  <si>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</si>
  <si>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</si>
  <si>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</si>
  <si>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</si>
  <si>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</si>
  <si>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</si>
  <si>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</si>
  <si>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</si>
  <si>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</si>
  <si>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</si>
  <si>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</si>
  <si>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</si>
  <si>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</si>
  <si>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</si>
  <si>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</si>
  <si>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</si>
  <si>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</si>
  <si>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</si>
  <si>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</si>
  <si>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</si>
  <si>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</si>
  <si>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</si>
  <si>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</si>
  <si>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</si>
  <si>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</si>
  <si>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</si>
  <si>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</si>
  <si>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</si>
  <si>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</si>
  <si>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</si>
  <si>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</si>
  <si>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</si>
  <si>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</si>
  <si>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</si>
  <si>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</si>
  <si>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</si>
  <si>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</si>
  <si>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</si>
  <si>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</si>
  <si>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</si>
  <si>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</si>
  <si>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</si>
  <si>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</si>
  <si>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</si>
  <si>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</si>
  <si>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</si>
  <si>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</si>
  <si>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</si>
  <si>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</si>
  <si>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</si>
  <si>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</si>
  <si>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</si>
  <si>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</si>
  <si>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</si>
  <si>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</si>
  <si>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</si>
  <si>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</si>
  <si>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</si>
  <si>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</si>
  <si>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</si>
  <si>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</si>
  <si>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</si>
  <si>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</si>
  <si>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</si>
  <si>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</si>
  <si>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</si>
  <si>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</si>
  <si>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</si>
  <si>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</si>
  <si>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</si>
  <si>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</si>
  <si>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</si>
  <si>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</si>
  <si>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</si>
  <si>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</si>
  <si>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</si>
  <si>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</si>
  <si>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</si>
  <si>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</si>
  <si>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</si>
  <si>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</si>
  <si>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</si>
  <si>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</si>
  <si>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</si>
  <si>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</si>
  <si>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</si>
  <si>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</si>
  <si>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</si>
  <si>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</si>
  <si>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</si>
  <si>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</si>
  <si>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</si>
  <si>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</si>
  <si>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</si>
  <si>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</si>
  <si>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</si>
  <si>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</si>
  <si>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</si>
  <si>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</si>
  <si>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</si>
  <si>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</si>
  <si>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</si>
  <si>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</si>
  <si>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</si>
  <si>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</si>
  <si>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</si>
  <si>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</si>
  <si>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</si>
  <si>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</si>
  <si>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</si>
  <si>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</si>
  <si>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</si>
  <si>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</si>
  <si>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</si>
  <si>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</si>
  <si>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</si>
  <si>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</si>
  <si>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</si>
  <si>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</si>
  <si>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</si>
  <si>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</si>
  <si>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</si>
  <si>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</si>
  <si>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</si>
  <si>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</si>
  <si>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</si>
  <si>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</si>
  <si>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</si>
  <si>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</si>
  <si>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</si>
  <si>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</si>
  <si>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</si>
  <si>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</si>
  <si>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</si>
  <si>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</si>
  <si>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</si>
  <si>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</si>
  <si>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</si>
  <si>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</si>
  <si>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</si>
  <si>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</si>
  <si>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</si>
  <si>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</si>
  <si>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</si>
  <si>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</si>
  <si>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</si>
  <si>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</si>
  <si>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</si>
  <si>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</si>
  <si>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</si>
  <si>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</si>
  <si>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</si>
  <si>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</si>
  <si>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</si>
  <si>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</si>
  <si>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</si>
  <si>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</si>
  <si>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</si>
  <si>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</si>
  <si>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</si>
  <si>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</si>
  <si>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</si>
  <si>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</si>
  <si>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</si>
  <si>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</si>
  <si>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</si>
  <si>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</si>
  <si>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</si>
  <si>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</si>
  <si>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</si>
  <si>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</si>
  <si>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</si>
  <si>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</si>
  <si>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</si>
  <si>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</si>
  <si>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</si>
  <si>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</si>
  <si>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</si>
  <si>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</si>
  <si>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</si>
  <si>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</si>
  <si>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</si>
  <si>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</si>
  <si>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</si>
  <si>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</si>
  <si>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</si>
  <si>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</si>
  <si>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</si>
  <si>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</si>
  <si>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</si>
  <si>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</si>
  <si>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</si>
  <si>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</si>
  <si>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</si>
  <si>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</si>
  <si>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</si>
  <si>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</si>
  <si>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</si>
  <si>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</si>
  <si>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</si>
  <si>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</si>
  <si>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</si>
  <si>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</si>
  <si>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</si>
  <si>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</si>
  <si>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</si>
  <si>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</si>
  <si>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</si>
  <si>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</si>
  <si>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</si>
  <si>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</si>
  <si>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</si>
  <si>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</si>
  <si>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</si>
  <si>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</si>
  <si>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</si>
  <si>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</si>
  <si>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</si>
  <si>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</si>
  <si>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</si>
  <si>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</si>
  <si>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</si>
  <si>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</si>
  <si>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</si>
  <si>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</si>
  <si>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</si>
  <si>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</si>
  <si>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</si>
  <si>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</si>
  <si>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</si>
  <si>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</si>
  <si>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</si>
  <si>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</si>
  <si>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</si>
  <si>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</si>
  <si>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</si>
  <si>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</si>
  <si>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</si>
  <si>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</si>
  <si>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</si>
  <si>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</si>
  <si>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</si>
  <si>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</si>
  <si>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</si>
  <si>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</si>
  <si>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</si>
  <si>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</si>
  <si>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</si>
  <si>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</si>
  <si>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</si>
  <si>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</si>
  <si>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</si>
  <si>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</si>
  <si>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</si>
  <si>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</si>
  <si>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</si>
  <si>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</si>
  <si>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</si>
  <si>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</si>
  <si>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</si>
  <si>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</si>
  <si>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</si>
  <si>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</si>
  <si>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</si>
  <si>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</si>
  <si>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</si>
  <si>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</si>
  <si>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</si>
  <si>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</si>
  <si>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</si>
  <si>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</si>
  <si>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</si>
  <si>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</si>
  <si>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</si>
  <si>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</si>
  <si>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</si>
  <si>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</si>
  <si>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</si>
  <si>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</si>
  <si>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</si>
  <si>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</si>
  <si>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</si>
  <si>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</si>
  <si>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</si>
  <si>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</si>
  <si>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</si>
  <si>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</si>
  <si>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</si>
  <si>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</si>
  <si>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</si>
  <si>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</si>
  <si>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</si>
  <si>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</si>
  <si>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</si>
  <si>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</si>
  <si>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</si>
  <si>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</si>
  <si>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</si>
  <si>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</si>
  <si>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</si>
  <si>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</si>
  <si>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</si>
  <si>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</si>
  <si>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</si>
  <si>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</si>
  <si>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</si>
  <si>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</si>
  <si>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</si>
  <si>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</si>
  <si>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</si>
  <si>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</si>
  <si>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</si>
  <si>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</si>
  <si>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</si>
  <si>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</si>
  <si>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</si>
  <si>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</si>
  <si>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</si>
  <si>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</si>
  <si>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</si>
  <si>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</si>
  <si>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</si>
  <si>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</si>
  <si>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</si>
  <si>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</si>
  <si>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</si>
  <si>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</si>
  <si>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</si>
  <si>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</si>
  <si>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</si>
  <si>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</si>
  <si>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</si>
  <si>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</si>
  <si>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</si>
  <si>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</si>
  <si>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</si>
  <si>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</si>
  <si>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</si>
  <si>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</si>
  <si>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</si>
  <si>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</si>
  <si>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</si>
  <si>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</si>
  <si>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</si>
  <si>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</si>
  <si>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</si>
  <si>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</si>
  <si>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</si>
  <si>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</si>
  <si>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</si>
  <si>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</si>
  <si>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</si>
  <si>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</si>
  <si>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</si>
  <si>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</si>
  <si>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</si>
  <si>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</si>
  <si>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</si>
  <si>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</si>
  <si>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</si>
  <si>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</si>
  <si>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</si>
  <si>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</si>
  <si>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</si>
  <si>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</si>
  <si>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</si>
  <si>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</si>
  <si>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</si>
  <si>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</si>
  <si>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</si>
  <si>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</si>
  <si>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</si>
  <si>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</si>
  <si>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</si>
  <si>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</si>
  <si>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</si>
  <si>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</si>
  <si>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</si>
  <si>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</si>
  <si>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</si>
  <si>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</si>
  <si>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</si>
  <si>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</si>
  <si>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</si>
  <si>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</si>
  <si>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</si>
  <si>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</si>
  <si>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</si>
  <si>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</si>
  <si>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</si>
  <si>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</si>
  <si>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</si>
  <si>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</si>
  <si>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</si>
  <si>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</si>
  <si>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</si>
  <si>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</si>
  <si>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</si>
  <si>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</si>
  <si>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</si>
  <si>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</si>
  <si>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</si>
  <si>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</si>
  <si>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</si>
  <si>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</si>
  <si>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</si>
  <si>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</si>
  <si>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</si>
  <si>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</si>
  <si>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</si>
  <si>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</si>
  <si>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</si>
  <si>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</si>
  <si>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</si>
  <si>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</si>
  <si>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</si>
  <si>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</si>
  <si>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</si>
  <si>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</si>
  <si>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</si>
  <si>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</si>
  <si>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</si>
  <si>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</si>
  <si>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</si>
  <si>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</si>
  <si>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</si>
  <si>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</si>
  <si>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</si>
  <si>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</si>
  <si>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</si>
  <si>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</si>
  <si>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</si>
  <si>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</si>
  <si>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</si>
  <si>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</si>
  <si>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</si>
  <si>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</si>
  <si>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</si>
  <si>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</si>
  <si>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</si>
  <si>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</si>
  <si>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</si>
  <si>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</si>
  <si>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</si>
  <si>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</si>
  <si>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</si>
  <si>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</si>
  <si>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</si>
  <si>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</si>
  <si>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</si>
  <si>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</si>
  <si>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</si>
  <si>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</si>
  <si>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</si>
  <si>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</si>
  <si>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</si>
  <si>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</si>
  <si>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</si>
  <si>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</si>
  <si>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</si>
  <si>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</si>
  <si>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</si>
  <si>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</si>
  <si>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</si>
  <si>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</si>
  <si>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</si>
  <si>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</si>
  <si>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</si>
  <si>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</si>
  <si>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</si>
  <si>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</si>
  <si>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</si>
  <si>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</si>
  <si>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</si>
  <si>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</si>
  <si>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</si>
  <si>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</si>
  <si>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</si>
  <si>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</si>
  <si>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</si>
  <si>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</si>
  <si>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</si>
  <si>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</si>
  <si>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</si>
  <si>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</si>
  <si>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</si>
  <si>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</si>
  <si>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</si>
  <si>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</si>
  <si>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</si>
  <si>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</si>
  <si>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</si>
  <si>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</si>
  <si>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</si>
  <si>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</si>
  <si>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</si>
  <si>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</si>
  <si>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</si>
  <si>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</si>
  <si>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</si>
  <si>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</si>
  <si>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</si>
  <si>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</si>
  <si>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</si>
  <si>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</si>
  <si>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</si>
  <si>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</si>
  <si>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</si>
  <si>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</si>
  <si>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</si>
  <si>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</si>
  <si>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</si>
  <si>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</si>
  <si>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</si>
  <si>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</si>
  <si>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</si>
  <si>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</si>
  <si>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</si>
  <si>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</si>
  <si>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</si>
  <si>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</si>
  <si>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</si>
  <si>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</si>
  <si>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</si>
  <si>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</si>
  <si>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</si>
  <si>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</si>
  <si>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</si>
  <si>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</si>
  <si>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</si>
  <si>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</si>
  <si>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</si>
  <si>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</si>
  <si>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</si>
  <si>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</si>
  <si>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</si>
  <si>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</si>
  <si>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</si>
  <si>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</si>
  <si>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</si>
  <si>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</si>
  <si>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</si>
  <si>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</si>
  <si>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</si>
  <si>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</si>
  <si>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</si>
  <si>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</si>
  <si>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</si>
  <si>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</si>
  <si>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</si>
  <si>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</si>
  <si>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</si>
  <si>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</si>
  <si>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</si>
  <si>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</si>
  <si>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</si>
  <si>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</si>
  <si>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</si>
  <si>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</si>
  <si>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</si>
  <si>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</si>
  <si>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</si>
  <si>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</si>
  <si>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</si>
  <si>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</si>
  <si>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</si>
  <si>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</si>
  <si>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</si>
  <si>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</si>
  <si>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</si>
  <si>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</si>
  <si>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</si>
  <si>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</si>
  <si>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</si>
  <si>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</si>
  <si>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</si>
  <si>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</si>
  <si>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</si>
  <si>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</si>
  <si>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</si>
  <si>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</si>
  <si>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</si>
  <si>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</si>
  <si>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</si>
  <si>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</si>
  <si>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</si>
  <si>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</si>
  <si>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</si>
  <si>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</si>
  <si>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</si>
  <si>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</si>
  <si>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</si>
  <si>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</si>
  <si>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</si>
  <si>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</si>
  <si>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</si>
  <si>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</si>
  <si>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</si>
  <si>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</si>
  <si>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</si>
  <si>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</si>
  <si>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</si>
  <si>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</si>
  <si>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</si>
  <si>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</si>
  <si>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</si>
  <si>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</si>
  <si>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</si>
  <si>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</si>
  <si>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</si>
  <si>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</si>
  <si>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</si>
  <si>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</si>
  <si>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</si>
  <si>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</si>
  <si>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</si>
  <si>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</si>
  <si>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</si>
  <si>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</si>
  <si>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</si>
  <si>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</si>
  <si>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</si>
  <si>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</si>
  <si>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</si>
  <si>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</si>
  <si>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</si>
  <si>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</si>
  <si>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</si>
  <si>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</si>
  <si>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</si>
  <si>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</si>
  <si>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</si>
  <si>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</si>
  <si>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</si>
  <si>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</si>
  <si>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</si>
  <si>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</si>
  <si>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</si>
  <si>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</si>
  <si>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</si>
  <si>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</si>
  <si>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</si>
  <si>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</si>
  <si>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</si>
  <si>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</si>
  <si>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</si>
  <si>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</si>
  <si>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</si>
  <si>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</si>
  <si>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</si>
  <si>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</si>
  <si>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</si>
  <si>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</si>
  <si>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</si>
  <si>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</si>
  <si>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</si>
  <si>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</si>
  <si>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</si>
  <si>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</si>
  <si>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</si>
  <si>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</si>
  <si>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</si>
  <si>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</si>
  <si>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</si>
  <si>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</si>
  <si>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</si>
  <si>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</si>
  <si>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</si>
  <si>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</si>
  <si>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</si>
  <si>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</si>
  <si>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</si>
  <si>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</si>
  <si>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</si>
  <si>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</si>
  <si>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</si>
  <si>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</si>
  <si>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</si>
  <si>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</si>
  <si>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</si>
  <si>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</si>
  <si>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</si>
  <si>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</si>
  <si>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</si>
  <si>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</si>
  <si>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</si>
  <si>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</si>
  <si>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</si>
  <si>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</si>
  <si>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</si>
  <si>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</si>
  <si>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</si>
  <si>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</si>
  <si>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</si>
  <si>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</si>
  <si>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</si>
  <si>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</si>
  <si>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</si>
  <si>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</si>
  <si>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</si>
  <si>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</si>
  <si>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</si>
  <si>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</si>
  <si>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</si>
  <si>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</si>
  <si>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</si>
  <si>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</si>
  <si>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</si>
  <si>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</si>
  <si>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</si>
  <si>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</si>
  <si>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</si>
  <si>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</si>
  <si>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</si>
  <si>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</si>
  <si>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</si>
  <si>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</si>
  <si>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</si>
  <si>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</si>
  <si>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</si>
  <si>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</si>
  <si>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</si>
  <si>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박해식</t>
    <phoneticPr fontId="2" type="noConversion"/>
  </si>
  <si>
    <t>HIO(1), 우신(1)</t>
    <phoneticPr fontId="2" type="noConversion"/>
  </si>
  <si>
    <t>개인차량</t>
    <phoneticPr fontId="2" type="noConversion"/>
  </si>
  <si>
    <t>GNN0017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</si>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</sst>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69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73"/>
  <sheetViews>
    <sheetView showGridLines="0" tabSelected="1" topLeftCell="A269" zoomScaleNormal="100" workbookViewId="0">
      <selection activeCell="L278" sqref="L27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3" t="s">
        <v>3265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71"/>
      <c r="Q22" s="672"/>
      <c r="R22" s="672"/>
      <c r="S22" s="672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71"/>
      <c r="Q27" s="672"/>
      <c r="R27" s="672"/>
      <c r="S27" s="672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71"/>
      <c r="Q36" s="672"/>
      <c r="R36" s="672"/>
      <c r="S36" s="672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71"/>
      <c r="Q37" s="672"/>
      <c r="R37" s="672"/>
      <c r="S37" s="672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71"/>
      <c r="Q40" s="672"/>
      <c r="R40" s="672"/>
      <c r="S40" s="672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71"/>
      <c r="Q41" s="672"/>
      <c r="R41" s="672"/>
      <c r="S41" s="672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71" t="s">
        <v>4394</v>
      </c>
      <c r="Q43" s="672"/>
      <c r="R43" s="672"/>
      <c r="S43" s="672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71"/>
      <c r="Q61" s="672"/>
      <c r="R61" s="672"/>
      <c r="S61" s="672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71"/>
      <c r="Q64" s="672"/>
      <c r="R64" s="672"/>
      <c r="S64" s="672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71"/>
      <c r="Q67" s="672"/>
      <c r="R67" s="672"/>
      <c r="S67" s="672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71"/>
      <c r="Q74" s="672"/>
      <c r="R74" s="672"/>
      <c r="S74" s="672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71"/>
      <c r="Q83" s="672"/>
      <c r="R83" s="672"/>
      <c r="S83" s="672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71"/>
      <c r="Q85" s="672"/>
      <c r="R85" s="672"/>
      <c r="S85" s="672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71" t="s">
        <v>4394</v>
      </c>
      <c r="Q93" s="672"/>
      <c r="R93" s="672"/>
      <c r="S93" s="672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69"/>
      <c r="Q169" s="670"/>
      <c r="R169" s="670"/>
      <c r="S169" s="670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67" t="s">
        <v>4697</v>
      </c>
      <c r="Q182" s="668"/>
      <c r="R182" s="668"/>
      <c r="S182" s="668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316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31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4"/>
      <c r="P203" s="480"/>
      <c r="Q203" s="495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193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31" t="s">
        <v>1791</v>
      </c>
      <c r="F213" s="31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583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598"/>
      <c r="P214" s="584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31" t="s">
        <v>1791</v>
      </c>
      <c r="F215" s="31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585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493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585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31" t="s">
        <v>1791</v>
      </c>
      <c r="F217" s="31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599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31" t="s">
        <v>1791</v>
      </c>
      <c r="F218" s="193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31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585" t="s">
        <v>5332</v>
      </c>
    </row>
    <row r="220" spans="1:16" s="17" customFormat="1" ht="33" customHeight="1">
      <c r="A220" s="441"/>
      <c r="B220" s="406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3" t="s">
        <v>5426</v>
      </c>
      <c r="I220" s="31"/>
      <c r="J220" s="473" t="s">
        <v>5393</v>
      </c>
      <c r="K220" s="136" t="s">
        <v>15</v>
      </c>
      <c r="L220" s="479">
        <v>9080</v>
      </c>
      <c r="M220" s="475">
        <v>3</v>
      </c>
      <c r="N220" s="31"/>
      <c r="O220" s="445"/>
      <c r="P220" s="585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125" t="s">
        <v>15</v>
      </c>
      <c r="L221" s="475">
        <v>9080</v>
      </c>
      <c r="M221" s="475">
        <v>3</v>
      </c>
      <c r="N221" s="31" t="s">
        <v>5312</v>
      </c>
      <c r="O221" s="445"/>
      <c r="P221" s="585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3" t="s">
        <v>5311</v>
      </c>
      <c r="I222" s="474"/>
      <c r="J222" s="31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586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3" t="s">
        <v>5311</v>
      </c>
      <c r="I223" s="474"/>
      <c r="J223" s="31" t="s">
        <v>5423</v>
      </c>
      <c r="K223" s="136" t="s">
        <v>105</v>
      </c>
      <c r="L223" s="479" t="s">
        <v>4559</v>
      </c>
      <c r="M223" s="8">
        <v>3</v>
      </c>
      <c r="N223" s="31"/>
      <c r="O223" s="455" t="s">
        <v>5440</v>
      </c>
      <c r="P223" s="585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31" t="s">
        <v>5392</v>
      </c>
      <c r="J225" s="31" t="s">
        <v>5431</v>
      </c>
      <c r="K225" s="125" t="s">
        <v>15</v>
      </c>
      <c r="L225" s="16">
        <v>9080</v>
      </c>
      <c r="M225" s="8">
        <v>3</v>
      </c>
      <c r="N225" s="31" t="s">
        <v>4674</v>
      </c>
      <c r="O225" s="445"/>
      <c r="P225" s="585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5"/>
      <c r="P226" s="585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585" t="s">
        <v>5314</v>
      </c>
    </row>
    <row r="228" spans="1:16" s="17" customFormat="1" ht="33" customHeight="1">
      <c r="A228" s="441"/>
      <c r="B228" s="406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5434</v>
      </c>
      <c r="I228" s="31" t="s">
        <v>5433</v>
      </c>
      <c r="J228" s="31" t="s">
        <v>641</v>
      </c>
      <c r="K228" s="125" t="s">
        <v>15</v>
      </c>
      <c r="L228" s="16">
        <v>9080</v>
      </c>
      <c r="M228" s="8">
        <v>3</v>
      </c>
      <c r="N228" s="438"/>
      <c r="O228" s="445" t="s">
        <v>5449</v>
      </c>
      <c r="P228" s="585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585" t="s">
        <v>5314</v>
      </c>
    </row>
    <row r="230" spans="1:16" s="17" customFormat="1" ht="33" customHeight="1">
      <c r="A230" s="441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5430</v>
      </c>
      <c r="I230" s="31"/>
      <c r="J230" s="31" t="s">
        <v>641</v>
      </c>
      <c r="K230" s="125" t="s">
        <v>15</v>
      </c>
      <c r="L230" s="16" t="s">
        <v>5287</v>
      </c>
      <c r="M230" s="8">
        <v>2</v>
      </c>
      <c r="N230" s="31"/>
      <c r="O230" s="449"/>
      <c r="P230" s="583"/>
    </row>
    <row r="231" spans="1:16" s="17" customFormat="1" ht="33" customHeight="1">
      <c r="A231" s="441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5391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5" t="s">
        <v>5443</v>
      </c>
      <c r="P231" s="583"/>
    </row>
    <row r="232" spans="1:16" s="17" customFormat="1" ht="33" customHeight="1">
      <c r="A232" s="441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5500</v>
      </c>
      <c r="I232" s="31" t="s">
        <v>5501</v>
      </c>
      <c r="J232" s="193" t="s">
        <v>5502</v>
      </c>
      <c r="K232" s="125" t="s">
        <v>5503</v>
      </c>
      <c r="L232" s="16">
        <v>9080</v>
      </c>
      <c r="M232" s="8">
        <v>2</v>
      </c>
      <c r="N232" s="31"/>
      <c r="O232" s="445"/>
      <c r="P232" s="583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585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193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31" t="s">
        <v>5432</v>
      </c>
      <c r="J235" s="31"/>
      <c r="K235" s="136" t="s">
        <v>15</v>
      </c>
      <c r="L235" s="479" t="s">
        <v>4559</v>
      </c>
      <c r="M235" s="475">
        <v>1</v>
      </c>
      <c r="N235" s="31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31"/>
      <c r="J236" s="31" t="s">
        <v>641</v>
      </c>
      <c r="K236" s="136" t="s">
        <v>15</v>
      </c>
      <c r="L236" s="479" t="s">
        <v>4559</v>
      </c>
      <c r="M236" s="475">
        <v>2</v>
      </c>
      <c r="N236" s="31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31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31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193" t="s">
        <v>5533</v>
      </c>
      <c r="O239" s="445"/>
      <c r="P239" s="585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583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31" t="s">
        <v>5458</v>
      </c>
      <c r="G241" s="479" t="s">
        <v>23</v>
      </c>
      <c r="H241" s="193" t="s">
        <v>5459</v>
      </c>
      <c r="I241" s="31"/>
      <c r="J241" s="193" t="s">
        <v>120</v>
      </c>
      <c r="K241" s="125" t="s">
        <v>5460</v>
      </c>
      <c r="L241" s="16">
        <v>9080</v>
      </c>
      <c r="M241" s="8">
        <v>1</v>
      </c>
      <c r="N241" s="31"/>
      <c r="O241" s="445" t="s">
        <v>5525</v>
      </c>
      <c r="P241" s="583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585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193" t="s">
        <v>5456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5" t="s">
        <v>5524</v>
      </c>
      <c r="P244" s="585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31" t="s">
        <v>5462</v>
      </c>
      <c r="G245" s="479" t="s">
        <v>67</v>
      </c>
      <c r="H245" s="193" t="s">
        <v>5542</v>
      </c>
      <c r="I245" s="31" t="s">
        <v>5463</v>
      </c>
      <c r="J245" s="193" t="s">
        <v>686</v>
      </c>
      <c r="K245" s="125" t="s">
        <v>5464</v>
      </c>
      <c r="L245" s="16" t="s">
        <v>4383</v>
      </c>
      <c r="M245" s="8">
        <v>2</v>
      </c>
      <c r="N245" s="31"/>
      <c r="O245" s="445" t="s">
        <v>5528</v>
      </c>
      <c r="P245" s="583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31" t="s">
        <v>5462</v>
      </c>
      <c r="G246" s="479" t="s">
        <v>205</v>
      </c>
      <c r="H246" s="193" t="s">
        <v>5507</v>
      </c>
      <c r="I246" s="31" t="s">
        <v>5463</v>
      </c>
      <c r="J246" s="193" t="s">
        <v>686</v>
      </c>
      <c r="K246" s="125" t="s">
        <v>5464</v>
      </c>
      <c r="L246" s="16" t="s">
        <v>4383</v>
      </c>
      <c r="M246" s="8">
        <v>2</v>
      </c>
      <c r="N246" s="31"/>
      <c r="O246" s="445" t="s">
        <v>5528</v>
      </c>
      <c r="P246" s="583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31" t="s">
        <v>5547</v>
      </c>
      <c r="G247" s="479" t="s">
        <v>1306</v>
      </c>
      <c r="H247" s="193" t="s">
        <v>5548</v>
      </c>
      <c r="I247" s="31" t="s">
        <v>5549</v>
      </c>
      <c r="J247" s="193" t="s">
        <v>1300</v>
      </c>
      <c r="K247" s="125" t="s">
        <v>15</v>
      </c>
      <c r="L247" s="16" t="s">
        <v>5550</v>
      </c>
      <c r="M247" s="8">
        <v>2</v>
      </c>
      <c r="N247" s="31"/>
      <c r="O247" s="445"/>
      <c r="P247" s="583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125" t="s">
        <v>15</v>
      </c>
      <c r="L248" s="582" t="s">
        <v>5522</v>
      </c>
      <c r="M248" s="8">
        <v>5</v>
      </c>
      <c r="N248" s="31"/>
      <c r="O248" s="445" t="s">
        <v>5529</v>
      </c>
      <c r="P248" s="583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125" t="s">
        <v>15</v>
      </c>
      <c r="L249" s="582" t="s">
        <v>5522</v>
      </c>
      <c r="M249" s="8">
        <v>3</v>
      </c>
      <c r="N249" s="31"/>
      <c r="O249" s="445"/>
      <c r="P249" s="585"/>
    </row>
    <row r="250" spans="1:16" s="17" customFormat="1" ht="33" customHeight="1">
      <c r="A250" s="441"/>
      <c r="B250" s="406">
        <v>46126</v>
      </c>
      <c r="C250" s="4" t="s">
        <v>5387</v>
      </c>
      <c r="D250" s="4" t="s">
        <v>5388</v>
      </c>
      <c r="E250" s="193" t="s">
        <v>5389</v>
      </c>
      <c r="F250" s="193" t="s">
        <v>3904</v>
      </c>
      <c r="G250" s="16" t="s">
        <v>5390</v>
      </c>
      <c r="H250" s="316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583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585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125" t="s">
        <v>15</v>
      </c>
      <c r="L252" s="582">
        <v>9080</v>
      </c>
      <c r="M252" s="8">
        <v>3</v>
      </c>
      <c r="N252" s="31"/>
      <c r="O252" s="445"/>
      <c r="P252" s="583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583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125" t="s">
        <v>15</v>
      </c>
      <c r="L254" s="582">
        <v>9080</v>
      </c>
      <c r="M254" s="8">
        <v>4</v>
      </c>
      <c r="N254" s="31"/>
      <c r="O254" s="445" t="s">
        <v>5581</v>
      </c>
      <c r="P254" s="583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19" t="s">
        <v>4611</v>
      </c>
      <c r="P255" s="583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493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19" t="s">
        <v>5527</v>
      </c>
      <c r="P256" s="583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125" t="s">
        <v>15</v>
      </c>
      <c r="L257" s="582">
        <v>9080</v>
      </c>
      <c r="M257" s="8">
        <v>3</v>
      </c>
      <c r="N257" s="31" t="s">
        <v>5645</v>
      </c>
      <c r="O257" s="445"/>
      <c r="P257" s="583"/>
    </row>
    <row r="258" spans="1:16" s="17" customFormat="1" ht="33" customHeight="1">
      <c r="A258" s="441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5520</v>
      </c>
      <c r="I258" s="31" t="s">
        <v>5607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5" t="s">
        <v>5544</v>
      </c>
      <c r="P258" s="585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31" t="s">
        <v>1277</v>
      </c>
      <c r="J259" s="193"/>
      <c r="K259" s="125" t="s">
        <v>15</v>
      </c>
      <c r="L259" s="16" t="s">
        <v>5606</v>
      </c>
      <c r="M259" s="8">
        <v>1</v>
      </c>
      <c r="N259" s="31"/>
      <c r="O259" s="445" t="s">
        <v>5531</v>
      </c>
      <c r="P259" s="585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31"/>
      <c r="O260" s="445" t="s">
        <v>5605</v>
      </c>
      <c r="P260" s="585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31"/>
      <c r="O261" s="445" t="s">
        <v>5579</v>
      </c>
      <c r="P261" s="585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583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31"/>
      <c r="O264" s="448" t="s">
        <v>5592</v>
      </c>
      <c r="P264" s="583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582">
        <v>9080</v>
      </c>
      <c r="M265" s="475">
        <v>4</v>
      </c>
      <c r="N265" s="31"/>
      <c r="O265" s="448"/>
      <c r="P265" s="583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493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583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31"/>
      <c r="O267" s="448"/>
      <c r="P267" s="583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438"/>
      <c r="O268" s="454" t="s">
        <v>5617</v>
      </c>
      <c r="P268" s="583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193" t="s">
        <v>5644</v>
      </c>
      <c r="O269" s="454"/>
      <c r="P269" s="583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583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582">
        <v>9080</v>
      </c>
      <c r="M271" s="475">
        <v>3</v>
      </c>
      <c r="N271" s="31"/>
      <c r="O271" s="620"/>
      <c r="P271" s="583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142</v>
      </c>
      <c r="H272" s="473" t="s">
        <v>5623</v>
      </c>
      <c r="I272" s="474"/>
      <c r="J272" s="473" t="s">
        <v>5634</v>
      </c>
      <c r="K272" s="136" t="s">
        <v>15</v>
      </c>
      <c r="L272" s="479">
        <v>9080</v>
      </c>
      <c r="M272" s="475">
        <v>2</v>
      </c>
      <c r="N272" s="31"/>
      <c r="O272" s="454" t="s">
        <v>5637</v>
      </c>
      <c r="P272" s="583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31"/>
      <c r="O273" s="454"/>
      <c r="P273" s="583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142</v>
      </c>
      <c r="H274" s="473" t="s">
        <v>5424</v>
      </c>
      <c r="I274" s="474" t="s">
        <v>90</v>
      </c>
      <c r="J274" s="474" t="s">
        <v>5643</v>
      </c>
      <c r="K274" s="136" t="s">
        <v>15</v>
      </c>
      <c r="L274" s="479" t="s">
        <v>33</v>
      </c>
      <c r="M274" s="475">
        <v>2</v>
      </c>
      <c r="N274" s="31" t="s">
        <v>5521</v>
      </c>
      <c r="O274" s="454" t="s">
        <v>5637</v>
      </c>
      <c r="P274" s="583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5635</v>
      </c>
      <c r="K275" s="136" t="s">
        <v>15</v>
      </c>
      <c r="L275" s="479" t="s">
        <v>5425</v>
      </c>
      <c r="M275" s="475">
        <v>2</v>
      </c>
      <c r="N275" s="31" t="s">
        <v>5646</v>
      </c>
      <c r="O275" s="454" t="s">
        <v>5636</v>
      </c>
      <c r="P275" s="583"/>
    </row>
    <row r="276" spans="1:16" s="17" customFormat="1" ht="33" customHeight="1">
      <c r="A276" s="441"/>
      <c r="B276" s="406">
        <v>46137</v>
      </c>
      <c r="C276" s="3" t="s">
        <v>138</v>
      </c>
      <c r="D276" s="3" t="s">
        <v>14</v>
      </c>
      <c r="E276" s="474" t="s">
        <v>1791</v>
      </c>
      <c r="F276" s="474" t="s">
        <v>2821</v>
      </c>
      <c r="G276" s="479" t="s">
        <v>142</v>
      </c>
      <c r="H276" s="473" t="s">
        <v>5316</v>
      </c>
      <c r="I276" s="473"/>
      <c r="J276" s="473" t="s">
        <v>5308</v>
      </c>
      <c r="K276" s="136" t="s">
        <v>15</v>
      </c>
      <c r="L276" s="479" t="s">
        <v>5686</v>
      </c>
      <c r="M276" s="475">
        <v>3</v>
      </c>
      <c r="N276" s="31"/>
      <c r="O276" s="454" t="s">
        <v>5687</v>
      </c>
      <c r="P276" s="583"/>
    </row>
    <row r="277" spans="1:16" s="17" customFormat="1" ht="33" customHeight="1">
      <c r="A277" s="442"/>
      <c r="B277" s="406">
        <v>46137</v>
      </c>
      <c r="C277" s="3" t="s">
        <v>21</v>
      </c>
      <c r="D277" s="3" t="s">
        <v>14</v>
      </c>
      <c r="E277" s="474" t="s">
        <v>107</v>
      </c>
      <c r="F277" s="474" t="s">
        <v>1972</v>
      </c>
      <c r="G277" s="479" t="s">
        <v>142</v>
      </c>
      <c r="H277" s="473" t="s">
        <v>5623</v>
      </c>
      <c r="I277" s="474" t="s">
        <v>5684</v>
      </c>
      <c r="J277" s="473" t="s">
        <v>5308</v>
      </c>
      <c r="K277" s="136" t="s">
        <v>15</v>
      </c>
      <c r="L277" s="479" t="s">
        <v>5688</v>
      </c>
      <c r="M277" s="475">
        <v>4</v>
      </c>
      <c r="N277" s="31"/>
      <c r="O277" s="454" t="s">
        <v>5685</v>
      </c>
      <c r="P277" s="583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372">
        <v>46139</v>
      </c>
      <c r="C279" s="3" t="s">
        <v>21</v>
      </c>
      <c r="D279" s="3" t="s">
        <v>14</v>
      </c>
      <c r="E279" s="474" t="s">
        <v>1897</v>
      </c>
      <c r="F279" s="474" t="s">
        <v>4949</v>
      </c>
      <c r="G279" s="479" t="s">
        <v>5505</v>
      </c>
      <c r="H279" s="473" t="s">
        <v>5321</v>
      </c>
      <c r="I279" s="473"/>
      <c r="J279" s="473" t="s">
        <v>506</v>
      </c>
      <c r="K279" s="136" t="s">
        <v>15</v>
      </c>
      <c r="L279" s="582">
        <v>9080</v>
      </c>
      <c r="M279" s="475">
        <v>3</v>
      </c>
      <c r="N279" s="193" t="s">
        <v>5683</v>
      </c>
      <c r="O279" s="451"/>
      <c r="P279" s="583"/>
    </row>
    <row r="280" spans="1:16" s="17" customFormat="1" ht="33" customHeight="1">
      <c r="A280" s="441"/>
      <c r="B280" s="372">
        <v>46140</v>
      </c>
      <c r="C280" s="4" t="s">
        <v>5624</v>
      </c>
      <c r="D280" s="4" t="s">
        <v>14</v>
      </c>
      <c r="E280" s="31" t="s">
        <v>5625</v>
      </c>
      <c r="F280" s="193" t="s">
        <v>5626</v>
      </c>
      <c r="G280" s="16" t="s">
        <v>23</v>
      </c>
      <c r="H280" s="193" t="s">
        <v>5627</v>
      </c>
      <c r="I280" s="31" t="s">
        <v>5641</v>
      </c>
      <c r="J280" s="474" t="s">
        <v>2832</v>
      </c>
      <c r="K280" s="125" t="s">
        <v>15</v>
      </c>
      <c r="L280" s="479" t="s">
        <v>33</v>
      </c>
      <c r="M280" s="8">
        <v>2</v>
      </c>
      <c r="N280" s="438"/>
      <c r="O280" s="454" t="s">
        <v>5665</v>
      </c>
      <c r="P280" s="583"/>
    </row>
    <row r="281" spans="1:16" s="17" customFormat="1" ht="33" customHeight="1">
      <c r="A281" s="441"/>
      <c r="B281" s="372">
        <v>46140</v>
      </c>
      <c r="C281" s="3" t="s">
        <v>21</v>
      </c>
      <c r="D281" s="3" t="s">
        <v>14</v>
      </c>
      <c r="E281" s="474" t="s">
        <v>1897</v>
      </c>
      <c r="F281" s="474" t="s">
        <v>4949</v>
      </c>
      <c r="G281" s="479" t="s">
        <v>5505</v>
      </c>
      <c r="H281" s="473" t="s">
        <v>5321</v>
      </c>
      <c r="I281" s="473"/>
      <c r="J281" s="473" t="s">
        <v>506</v>
      </c>
      <c r="K281" s="136" t="s">
        <v>15</v>
      </c>
      <c r="L281" s="582">
        <v>9080</v>
      </c>
      <c r="M281" s="475">
        <v>3</v>
      </c>
      <c r="N281" s="31"/>
      <c r="O281" s="454"/>
      <c r="P281" s="583"/>
    </row>
    <row r="282" spans="1:16" s="17" customFormat="1" ht="33" customHeight="1">
      <c r="A282" s="441"/>
      <c r="B282" s="372">
        <v>46141</v>
      </c>
      <c r="C282" s="4" t="s">
        <v>5624</v>
      </c>
      <c r="D282" s="4" t="s">
        <v>14</v>
      </c>
      <c r="E282" s="31" t="s">
        <v>5625</v>
      </c>
      <c r="F282" s="193" t="s">
        <v>5628</v>
      </c>
      <c r="G282" s="16" t="s">
        <v>143</v>
      </c>
      <c r="H282" s="193" t="s">
        <v>5639</v>
      </c>
      <c r="I282" s="31" t="s">
        <v>5640</v>
      </c>
      <c r="J282" s="474" t="s">
        <v>2832</v>
      </c>
      <c r="K282" s="125" t="s">
        <v>15</v>
      </c>
      <c r="L282" s="479" t="s">
        <v>33</v>
      </c>
      <c r="M282" s="8">
        <v>2</v>
      </c>
      <c r="N282" s="31"/>
      <c r="O282" s="454" t="s">
        <v>5666</v>
      </c>
      <c r="P282" s="583"/>
    </row>
    <row r="283" spans="1:16" s="17" customFormat="1" ht="33" customHeight="1">
      <c r="A283" s="441"/>
      <c r="B283" s="372">
        <v>46141</v>
      </c>
      <c r="C283" s="3" t="s">
        <v>21</v>
      </c>
      <c r="D283" s="3" t="s">
        <v>14</v>
      </c>
      <c r="E283" s="474" t="s">
        <v>1897</v>
      </c>
      <c r="F283" s="474" t="s">
        <v>4949</v>
      </c>
      <c r="G283" s="479" t="s">
        <v>5505</v>
      </c>
      <c r="H283" s="473" t="s">
        <v>5321</v>
      </c>
      <c r="I283" s="473"/>
      <c r="J283" s="473" t="s">
        <v>506</v>
      </c>
      <c r="K283" s="136" t="s">
        <v>15</v>
      </c>
      <c r="L283" s="582">
        <v>9080</v>
      </c>
      <c r="M283" s="475">
        <v>3</v>
      </c>
      <c r="N283" s="31"/>
      <c r="O283" s="454"/>
      <c r="P283" s="583"/>
    </row>
    <row r="284" spans="1:16" s="17" customFormat="1" ht="33" customHeight="1">
      <c r="A284" s="441"/>
      <c r="B284" s="406">
        <v>46142</v>
      </c>
      <c r="C284" s="4" t="s">
        <v>5560</v>
      </c>
      <c r="D284" s="4" t="s">
        <v>5565</v>
      </c>
      <c r="E284" s="31" t="s">
        <v>5566</v>
      </c>
      <c r="F284" s="193" t="s">
        <v>5567</v>
      </c>
      <c r="G284" s="16" t="s">
        <v>5568</v>
      </c>
      <c r="H284" s="193" t="s">
        <v>5569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8"/>
      <c r="O284" s="454" t="s">
        <v>5570</v>
      </c>
      <c r="P284" s="583"/>
    </row>
    <row r="285" spans="1:16" s="17" customFormat="1" ht="33" customHeight="1">
      <c r="A285" s="441"/>
      <c r="B285" s="372">
        <v>46142</v>
      </c>
      <c r="C285" s="3" t="s">
        <v>21</v>
      </c>
      <c r="D285" s="3" t="s">
        <v>14</v>
      </c>
      <c r="E285" s="474" t="s">
        <v>107</v>
      </c>
      <c r="F285" s="474" t="s">
        <v>3390</v>
      </c>
      <c r="G285" s="16" t="s">
        <v>23</v>
      </c>
      <c r="H285" s="193" t="s">
        <v>5633</v>
      </c>
      <c r="I285" s="474" t="s">
        <v>90</v>
      </c>
      <c r="J285" s="474" t="s">
        <v>5648</v>
      </c>
      <c r="K285" s="136" t="s">
        <v>15</v>
      </c>
      <c r="L285" s="479" t="s">
        <v>33</v>
      </c>
      <c r="M285" s="8">
        <v>2</v>
      </c>
      <c r="N285" s="438"/>
      <c r="O285" s="620" t="s">
        <v>5667</v>
      </c>
      <c r="P285" s="583"/>
    </row>
    <row r="286" spans="1:16" s="17" customFormat="1" ht="33" customHeight="1">
      <c r="A286" s="441"/>
      <c r="B286" s="372">
        <v>46142</v>
      </c>
      <c r="C286" s="3" t="s">
        <v>21</v>
      </c>
      <c r="D286" s="3" t="s">
        <v>14</v>
      </c>
      <c r="E286" s="474" t="s">
        <v>1897</v>
      </c>
      <c r="F286" s="474" t="s">
        <v>4949</v>
      </c>
      <c r="G286" s="479" t="s">
        <v>5505</v>
      </c>
      <c r="H286" s="473" t="s">
        <v>5321</v>
      </c>
      <c r="I286" s="473"/>
      <c r="J286" s="473" t="s">
        <v>506</v>
      </c>
      <c r="K286" s="136" t="s">
        <v>15</v>
      </c>
      <c r="L286" s="582">
        <v>9080</v>
      </c>
      <c r="M286" s="475">
        <v>3</v>
      </c>
      <c r="N286" s="31"/>
      <c r="O286" s="620"/>
      <c r="P286" s="583"/>
    </row>
    <row r="287" spans="1:16" s="17" customFormat="1" ht="33" customHeight="1">
      <c r="A287" s="441"/>
      <c r="B287" s="406">
        <v>46142</v>
      </c>
      <c r="C287" s="4"/>
      <c r="D287" s="4"/>
      <c r="E287" s="316" t="s">
        <v>5630</v>
      </c>
      <c r="F287" s="31"/>
      <c r="G287" s="16"/>
      <c r="H287" s="193" t="s">
        <v>5668</v>
      </c>
      <c r="I287" s="31" t="s">
        <v>5631</v>
      </c>
      <c r="J287" s="193"/>
      <c r="K287" s="125"/>
      <c r="L287" s="16" t="s">
        <v>5632</v>
      </c>
      <c r="M287" s="8">
        <v>1</v>
      </c>
      <c r="N287" s="31"/>
      <c r="O287" s="620"/>
      <c r="P287" s="583"/>
    </row>
    <row r="288" spans="1:16" s="17" customFormat="1" ht="33" customHeight="1">
      <c r="A288" s="441"/>
      <c r="B288" s="406">
        <v>46143</v>
      </c>
      <c r="C288" s="4"/>
      <c r="D288" s="4"/>
      <c r="E288" s="31"/>
      <c r="F288" s="31"/>
      <c r="G288" s="16"/>
      <c r="H288" s="416" t="s">
        <v>5295</v>
      </c>
      <c r="I288" s="31"/>
      <c r="J288" s="31"/>
      <c r="K288" s="125"/>
      <c r="L288" s="16"/>
      <c r="M288" s="8"/>
      <c r="N288" s="31"/>
      <c r="O288" s="454"/>
      <c r="P288" s="583"/>
    </row>
    <row r="289" spans="1:16" s="17" customFormat="1" ht="33" customHeight="1">
      <c r="A289" s="442"/>
      <c r="B289" s="406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20"/>
      <c r="P289" s="583"/>
    </row>
    <row r="290" spans="1:16" s="17" customFormat="1" ht="33" customHeight="1">
      <c r="A290" s="443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4" t="s">
        <v>63</v>
      </c>
      <c r="P290" s="444" t="s">
        <v>5438</v>
      </c>
    </row>
    <row r="291" spans="1:16" s="17" customFormat="1" ht="33" customHeight="1">
      <c r="A291" s="440" t="s">
        <v>4504</v>
      </c>
      <c r="B291" s="406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/>
      <c r="O291" s="448"/>
      <c r="P291" s="583"/>
    </row>
    <row r="292" spans="1:16" s="17" customFormat="1" ht="33" customHeight="1">
      <c r="A292" s="441"/>
      <c r="B292" s="406">
        <v>46147</v>
      </c>
      <c r="C292" s="4"/>
      <c r="D292" s="4"/>
      <c r="E292" s="31"/>
      <c r="F292" s="31"/>
      <c r="G292" s="16"/>
      <c r="H292" s="416" t="s">
        <v>4762</v>
      </c>
      <c r="I292" s="31"/>
      <c r="J292" s="193"/>
      <c r="K292" s="125"/>
      <c r="L292" s="16"/>
      <c r="M292" s="8"/>
      <c r="N292" s="438"/>
      <c r="O292" s="447"/>
      <c r="P292" s="583"/>
    </row>
    <row r="293" spans="1:16" s="17" customFormat="1" ht="33" customHeight="1">
      <c r="A293" s="441"/>
      <c r="B293" s="406">
        <v>46148</v>
      </c>
      <c r="C293" s="4" t="s">
        <v>113</v>
      </c>
      <c r="D293" s="4" t="s">
        <v>5266</v>
      </c>
      <c r="E293" s="31" t="s">
        <v>5274</v>
      </c>
      <c r="F293" s="31" t="s">
        <v>5275</v>
      </c>
      <c r="G293" s="16" t="s">
        <v>5276</v>
      </c>
      <c r="H293" s="193" t="s">
        <v>5270</v>
      </c>
      <c r="I293" s="31" t="s">
        <v>5602</v>
      </c>
      <c r="J293" s="193"/>
      <c r="K293" s="125" t="s">
        <v>5600</v>
      </c>
      <c r="L293" s="16" t="s">
        <v>5587</v>
      </c>
      <c r="M293" s="8">
        <v>2</v>
      </c>
      <c r="N293" s="31"/>
      <c r="O293" s="454" t="s">
        <v>5642</v>
      </c>
      <c r="P293" s="583"/>
    </row>
    <row r="294" spans="1:16" s="17" customFormat="1" ht="33" customHeight="1">
      <c r="A294" s="441"/>
      <c r="B294" s="406">
        <v>46148</v>
      </c>
      <c r="C294" s="4" t="s">
        <v>21</v>
      </c>
      <c r="D294" s="4" t="s">
        <v>14</v>
      </c>
      <c r="E294" s="31" t="s">
        <v>78</v>
      </c>
      <c r="F294" s="193" t="s">
        <v>3012</v>
      </c>
      <c r="G294" s="16" t="s">
        <v>1382</v>
      </c>
      <c r="H294" s="193" t="s">
        <v>5465</v>
      </c>
      <c r="I294" s="31" t="s">
        <v>5629</v>
      </c>
      <c r="J294" s="31" t="s">
        <v>5596</v>
      </c>
      <c r="K294" s="125" t="s">
        <v>15</v>
      </c>
      <c r="L294" s="16" t="s">
        <v>4559</v>
      </c>
      <c r="M294" s="8">
        <v>3</v>
      </c>
      <c r="N294" s="31"/>
      <c r="O294" s="449"/>
      <c r="P294" s="583"/>
    </row>
    <row r="295" spans="1:16" s="17" customFormat="1" ht="33" customHeight="1">
      <c r="A295" s="441"/>
      <c r="B295" s="406">
        <v>46148</v>
      </c>
      <c r="C295" s="183" t="s">
        <v>21</v>
      </c>
      <c r="D295" s="183" t="s">
        <v>14</v>
      </c>
      <c r="E295" s="666" t="s">
        <v>107</v>
      </c>
      <c r="F295" s="318" t="s">
        <v>2963</v>
      </c>
      <c r="G295" s="392" t="s">
        <v>143</v>
      </c>
      <c r="H295" s="240" t="s">
        <v>5610</v>
      </c>
      <c r="I295" s="318" t="s">
        <v>5677</v>
      </c>
      <c r="J295" s="318" t="s">
        <v>5678</v>
      </c>
      <c r="K295" s="241" t="s">
        <v>15</v>
      </c>
      <c r="L295" s="392" t="s">
        <v>5679</v>
      </c>
      <c r="M295" s="411">
        <v>3</v>
      </c>
      <c r="N295" s="31"/>
      <c r="O295" s="449"/>
      <c r="P295" s="583"/>
    </row>
    <row r="296" spans="1:16" s="17" customFormat="1" ht="33" customHeight="1">
      <c r="A296" s="441"/>
      <c r="B296" s="406">
        <v>46149</v>
      </c>
      <c r="C296" s="183" t="s">
        <v>21</v>
      </c>
      <c r="D296" s="183" t="s">
        <v>14</v>
      </c>
      <c r="E296" s="666" t="s">
        <v>107</v>
      </c>
      <c r="F296" s="318" t="s">
        <v>2963</v>
      </c>
      <c r="G296" s="392" t="s">
        <v>143</v>
      </c>
      <c r="H296" s="240" t="s">
        <v>5610</v>
      </c>
      <c r="I296" s="318" t="s">
        <v>5677</v>
      </c>
      <c r="J296" s="318" t="s">
        <v>5678</v>
      </c>
      <c r="K296" s="241" t="s">
        <v>15</v>
      </c>
      <c r="L296" s="392" t="s">
        <v>5679</v>
      </c>
      <c r="M296" s="411">
        <v>3</v>
      </c>
      <c r="N296" s="31"/>
      <c r="O296" s="449"/>
      <c r="P296" s="583"/>
    </row>
    <row r="297" spans="1:16" s="17" customFormat="1" ht="33" customHeight="1">
      <c r="A297" s="441"/>
      <c r="B297" s="406">
        <v>46149</v>
      </c>
      <c r="C297" s="183" t="s">
        <v>138</v>
      </c>
      <c r="D297" s="183" t="s">
        <v>14</v>
      </c>
      <c r="E297" s="318" t="s">
        <v>1791</v>
      </c>
      <c r="F297" s="318" t="s">
        <v>5680</v>
      </c>
      <c r="G297" s="392" t="s">
        <v>142</v>
      </c>
      <c r="H297" s="240" t="s">
        <v>5681</v>
      </c>
      <c r="I297" s="318" t="s">
        <v>5638</v>
      </c>
      <c r="J297" s="240"/>
      <c r="K297" s="241" t="s">
        <v>15</v>
      </c>
      <c r="L297" s="392" t="s">
        <v>33</v>
      </c>
      <c r="M297" s="411">
        <v>3</v>
      </c>
      <c r="N297" s="31"/>
      <c r="O297" s="449" t="s">
        <v>5682</v>
      </c>
      <c r="P297" s="583"/>
    </row>
    <row r="298" spans="1:16" s="17" customFormat="1" ht="33" customHeight="1">
      <c r="A298" s="441"/>
      <c r="B298" s="406">
        <v>46149</v>
      </c>
      <c r="C298" s="4" t="s">
        <v>113</v>
      </c>
      <c r="D298" s="4" t="s">
        <v>5266</v>
      </c>
      <c r="E298" s="31" t="s">
        <v>5274</v>
      </c>
      <c r="F298" s="31" t="s">
        <v>5275</v>
      </c>
      <c r="G298" s="16" t="s">
        <v>5269</v>
      </c>
      <c r="H298" s="193" t="s">
        <v>5270</v>
      </c>
      <c r="I298" s="31" t="s">
        <v>5598</v>
      </c>
      <c r="J298" s="193" t="s">
        <v>5597</v>
      </c>
      <c r="K298" s="125" t="s">
        <v>5599</v>
      </c>
      <c r="L298" s="16" t="s">
        <v>5587</v>
      </c>
      <c r="M298" s="8">
        <v>2</v>
      </c>
      <c r="N298" s="438"/>
      <c r="O298" s="447"/>
      <c r="P298" s="583"/>
    </row>
    <row r="299" spans="1:16" s="17" customFormat="1" ht="33" customHeight="1">
      <c r="A299" s="441"/>
      <c r="B299" s="372">
        <v>46149</v>
      </c>
      <c r="C299" s="4" t="s">
        <v>113</v>
      </c>
      <c r="D299" s="4" t="s">
        <v>5266</v>
      </c>
      <c r="E299" s="31" t="s">
        <v>5274</v>
      </c>
      <c r="F299" s="31" t="s">
        <v>5275</v>
      </c>
      <c r="G299" s="16" t="s">
        <v>5277</v>
      </c>
      <c r="H299" s="193" t="s">
        <v>5270</v>
      </c>
      <c r="I299" s="31" t="s">
        <v>5501</v>
      </c>
      <c r="J299" s="193" t="s">
        <v>5597</v>
      </c>
      <c r="K299" s="125" t="s">
        <v>15</v>
      </c>
      <c r="L299" s="16" t="s">
        <v>5587</v>
      </c>
      <c r="M299" s="8">
        <v>2</v>
      </c>
      <c r="N299" s="31"/>
      <c r="O299" s="449"/>
      <c r="P299" s="583"/>
    </row>
    <row r="300" spans="1:16" s="17" customFormat="1" ht="33" customHeight="1">
      <c r="A300" s="441"/>
      <c r="B300" s="372">
        <v>46149</v>
      </c>
      <c r="C300" s="183" t="s">
        <v>138</v>
      </c>
      <c r="D300" s="183" t="s">
        <v>17</v>
      </c>
      <c r="E300" s="318" t="s">
        <v>5300</v>
      </c>
      <c r="F300" s="318">
        <v>7064</v>
      </c>
      <c r="G300" s="392" t="s">
        <v>83</v>
      </c>
      <c r="H300" s="240" t="s">
        <v>5603</v>
      </c>
      <c r="I300" s="240" t="s">
        <v>5604</v>
      </c>
      <c r="J300" s="240" t="s">
        <v>68</v>
      </c>
      <c r="K300" s="241" t="s">
        <v>15</v>
      </c>
      <c r="L300" s="392" t="s">
        <v>4559</v>
      </c>
      <c r="M300" s="411">
        <v>3</v>
      </c>
      <c r="N300" s="31"/>
      <c r="O300" s="620" t="s">
        <v>5618</v>
      </c>
      <c r="P300" s="583"/>
    </row>
    <row r="301" spans="1:16" s="17" customFormat="1" ht="33" customHeight="1">
      <c r="A301" s="441"/>
      <c r="B301" s="406">
        <v>46150</v>
      </c>
      <c r="C301" s="4" t="s">
        <v>113</v>
      </c>
      <c r="D301" s="4" t="s">
        <v>5266</v>
      </c>
      <c r="E301" s="31" t="s">
        <v>5274</v>
      </c>
      <c r="F301" s="31" t="s">
        <v>5275</v>
      </c>
      <c r="G301" s="16" t="s">
        <v>5278</v>
      </c>
      <c r="H301" s="193" t="s">
        <v>5270</v>
      </c>
      <c r="I301" s="31" t="s">
        <v>5602</v>
      </c>
      <c r="J301" s="193"/>
      <c r="K301" s="125"/>
      <c r="L301" s="16" t="s">
        <v>5587</v>
      </c>
      <c r="M301" s="8">
        <v>2</v>
      </c>
      <c r="N301" s="31"/>
      <c r="O301" s="446"/>
      <c r="P301" s="583"/>
    </row>
    <row r="302" spans="1:16" s="17" customFormat="1" ht="33" customHeight="1">
      <c r="A302" s="441"/>
      <c r="B302" s="406">
        <v>46150</v>
      </c>
      <c r="C302" s="183" t="s">
        <v>138</v>
      </c>
      <c r="D302" s="183" t="s">
        <v>17</v>
      </c>
      <c r="E302" s="318" t="s">
        <v>5300</v>
      </c>
      <c r="F302" s="318">
        <v>7064</v>
      </c>
      <c r="G302" s="392" t="s">
        <v>83</v>
      </c>
      <c r="H302" s="240" t="s">
        <v>5603</v>
      </c>
      <c r="I302" s="240" t="s">
        <v>5604</v>
      </c>
      <c r="J302" s="240" t="s">
        <v>68</v>
      </c>
      <c r="K302" s="241" t="s">
        <v>15</v>
      </c>
      <c r="L302" s="392" t="s">
        <v>4559</v>
      </c>
      <c r="M302" s="411">
        <v>3</v>
      </c>
      <c r="N302" s="31"/>
      <c r="O302" s="620" t="s">
        <v>5618</v>
      </c>
      <c r="P302" s="583"/>
    </row>
    <row r="303" spans="1:16" s="17" customFormat="1" ht="33" customHeight="1">
      <c r="A303" s="441"/>
      <c r="B303" s="406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193"/>
      <c r="O303" s="455"/>
      <c r="P303" s="583"/>
    </row>
    <row r="304" spans="1:16" s="17" customFormat="1" ht="33" customHeight="1">
      <c r="A304" s="442"/>
      <c r="B304" s="406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31"/>
      <c r="O304" s="449"/>
      <c r="P304" s="583"/>
    </row>
    <row r="305" spans="1:16" s="17" customFormat="1" ht="33" customHeight="1">
      <c r="A305" s="443" t="s">
        <v>0</v>
      </c>
      <c r="B305" s="326" t="s">
        <v>1</v>
      </c>
      <c r="C305" s="325" t="s">
        <v>2</v>
      </c>
      <c r="D305" s="325" t="s">
        <v>3</v>
      </c>
      <c r="E305" s="325" t="s">
        <v>4</v>
      </c>
      <c r="F305" s="325" t="s">
        <v>5</v>
      </c>
      <c r="G305" s="325" t="s">
        <v>6</v>
      </c>
      <c r="H305" s="327" t="s">
        <v>7</v>
      </c>
      <c r="I305" s="325" t="s">
        <v>8</v>
      </c>
      <c r="J305" s="325" t="s">
        <v>9</v>
      </c>
      <c r="K305" s="328" t="s">
        <v>10</v>
      </c>
      <c r="L305" s="329" t="s">
        <v>11</v>
      </c>
      <c r="M305" s="325" t="s">
        <v>12</v>
      </c>
      <c r="N305" s="330" t="s">
        <v>13</v>
      </c>
      <c r="O305" s="444" t="s">
        <v>63</v>
      </c>
      <c r="P305" s="444" t="s">
        <v>5438</v>
      </c>
    </row>
    <row r="306" spans="1:16" s="17" customFormat="1" ht="33" customHeight="1">
      <c r="A306" s="440" t="s">
        <v>4505</v>
      </c>
      <c r="B306" s="406">
        <v>46153</v>
      </c>
      <c r="C306" s="3" t="s">
        <v>21</v>
      </c>
      <c r="D306" s="3" t="s">
        <v>14</v>
      </c>
      <c r="E306" s="474" t="s">
        <v>1897</v>
      </c>
      <c r="F306" s="474" t="s">
        <v>4949</v>
      </c>
      <c r="G306" s="479" t="s">
        <v>5673</v>
      </c>
      <c r="H306" s="193" t="s">
        <v>5674</v>
      </c>
      <c r="I306" s="31" t="s">
        <v>5675</v>
      </c>
      <c r="J306" s="31"/>
      <c r="K306" s="125" t="s">
        <v>5676</v>
      </c>
      <c r="L306" s="16">
        <v>9080</v>
      </c>
      <c r="M306" s="8">
        <v>2</v>
      </c>
      <c r="N306" s="31" t="s">
        <v>4674</v>
      </c>
      <c r="O306" s="448"/>
      <c r="P306" s="583"/>
    </row>
    <row r="307" spans="1:16" s="17" customFormat="1" ht="33" customHeight="1">
      <c r="A307" s="441"/>
      <c r="B307" s="406">
        <v>46153</v>
      </c>
      <c r="C307" s="3"/>
      <c r="D307" s="3"/>
      <c r="E307" s="493"/>
      <c r="F307" s="474"/>
      <c r="G307" s="479"/>
      <c r="H307" s="473"/>
      <c r="I307" s="474"/>
      <c r="J307" s="474"/>
      <c r="K307" s="136"/>
      <c r="L307" s="479"/>
      <c r="M307" s="475"/>
      <c r="N307" s="31"/>
      <c r="O307" s="448"/>
      <c r="P307" s="583"/>
    </row>
    <row r="308" spans="1:16" s="17" customFormat="1" ht="33" customHeight="1">
      <c r="A308" s="441"/>
      <c r="B308" s="406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8"/>
      <c r="O308" s="447"/>
      <c r="P308" s="583"/>
    </row>
    <row r="309" spans="1:16" s="17" customFormat="1" ht="33" customHeight="1">
      <c r="A309" s="441"/>
      <c r="B309" s="406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8"/>
      <c r="O309" s="447"/>
      <c r="P309" s="583"/>
    </row>
    <row r="310" spans="1:16" s="17" customFormat="1" ht="33" customHeight="1">
      <c r="A310" s="441"/>
      <c r="B310" s="406">
        <v>46155</v>
      </c>
      <c r="C310" s="3"/>
      <c r="D310" s="3"/>
      <c r="E310" s="493"/>
      <c r="F310" s="474"/>
      <c r="G310" s="479"/>
      <c r="H310" s="473"/>
      <c r="I310" s="474"/>
      <c r="J310" s="474"/>
      <c r="K310" s="136"/>
      <c r="L310" s="479"/>
      <c r="M310" s="475"/>
      <c r="N310" s="31" t="s">
        <v>4674</v>
      </c>
      <c r="O310" s="447"/>
      <c r="P310" s="583"/>
    </row>
    <row r="311" spans="1:16" s="17" customFormat="1" ht="33" customHeight="1">
      <c r="A311" s="441"/>
      <c r="B311" s="406">
        <v>46155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9"/>
      <c r="P311" s="583"/>
    </row>
    <row r="312" spans="1:16" s="17" customFormat="1" ht="33" customHeight="1">
      <c r="A312" s="441"/>
      <c r="B312" s="406">
        <v>46156</v>
      </c>
      <c r="C312" s="4"/>
      <c r="D312" s="4"/>
      <c r="E312" s="31"/>
      <c r="F312" s="31"/>
      <c r="G312" s="16"/>
      <c r="H312" s="193"/>
      <c r="I312" s="31"/>
      <c r="J312" s="193"/>
      <c r="K312" s="125"/>
      <c r="L312" s="16"/>
      <c r="M312" s="8"/>
      <c r="N312" s="438"/>
      <c r="O312" s="447"/>
      <c r="P312" s="583"/>
    </row>
    <row r="313" spans="1:16" s="17" customFormat="1" ht="33" customHeight="1">
      <c r="A313" s="441"/>
      <c r="B313" s="406">
        <v>46156</v>
      </c>
      <c r="C313" s="4"/>
      <c r="D313" s="4"/>
      <c r="E313" s="293"/>
      <c r="F313" s="31"/>
      <c r="G313" s="16"/>
      <c r="H313" s="193"/>
      <c r="I313" s="31"/>
      <c r="J313" s="31"/>
      <c r="K313" s="125"/>
      <c r="L313" s="16"/>
      <c r="M313" s="8"/>
      <c r="N313" s="31"/>
      <c r="O313" s="449"/>
      <c r="P313" s="583"/>
    </row>
    <row r="314" spans="1:16" s="17" customFormat="1" ht="33" customHeight="1">
      <c r="A314" s="441"/>
      <c r="B314" s="406">
        <v>46157</v>
      </c>
      <c r="C314" s="183" t="s">
        <v>4510</v>
      </c>
      <c r="D314" s="183" t="s">
        <v>4511</v>
      </c>
      <c r="E314" s="240" t="s">
        <v>4520</v>
      </c>
      <c r="F314" s="434" t="s">
        <v>4521</v>
      </c>
      <c r="G314" s="392" t="s">
        <v>4512</v>
      </c>
      <c r="H314" s="240" t="s">
        <v>4515</v>
      </c>
      <c r="I314" s="240" t="s">
        <v>4908</v>
      </c>
      <c r="J314" s="240"/>
      <c r="K314" s="241" t="s">
        <v>4513</v>
      </c>
      <c r="L314" s="392"/>
      <c r="M314" s="411"/>
      <c r="N314" s="31" t="s">
        <v>4674</v>
      </c>
      <c r="O314" s="459" t="s">
        <v>4514</v>
      </c>
      <c r="P314" s="583"/>
    </row>
    <row r="315" spans="1:16" s="17" customFormat="1" ht="33" customHeight="1">
      <c r="A315" s="441"/>
      <c r="B315" s="406">
        <v>46157</v>
      </c>
      <c r="C315" s="4"/>
      <c r="D315" s="4"/>
      <c r="E315" s="31"/>
      <c r="F315" s="31"/>
      <c r="G315" s="16"/>
      <c r="H315" s="193"/>
      <c r="I315" s="31"/>
      <c r="J315" s="31"/>
      <c r="K315" s="125"/>
      <c r="L315" s="16"/>
      <c r="M315" s="8"/>
      <c r="N315" s="31"/>
      <c r="O315" s="445"/>
      <c r="P315" s="583"/>
    </row>
    <row r="316" spans="1:16" s="17" customFormat="1" ht="33" customHeight="1">
      <c r="A316" s="441"/>
      <c r="B316" s="406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193"/>
      <c r="O316" s="455"/>
      <c r="P316" s="583"/>
    </row>
    <row r="317" spans="1:16" s="17" customFormat="1" ht="33" customHeight="1">
      <c r="A317" s="442"/>
      <c r="B317" s="406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31"/>
      <c r="O317" s="449"/>
      <c r="P317" s="583"/>
    </row>
    <row r="318" spans="1:16" s="17" customFormat="1" ht="33" customHeight="1">
      <c r="A318" s="443" t="s">
        <v>0</v>
      </c>
      <c r="B318" s="326" t="s">
        <v>1</v>
      </c>
      <c r="C318" s="325" t="s">
        <v>2</v>
      </c>
      <c r="D318" s="325" t="s">
        <v>3</v>
      </c>
      <c r="E318" s="325" t="s">
        <v>4</v>
      </c>
      <c r="F318" s="325" t="s">
        <v>5</v>
      </c>
      <c r="G318" s="325" t="s">
        <v>6</v>
      </c>
      <c r="H318" s="327" t="s">
        <v>7</v>
      </c>
      <c r="I318" s="325" t="s">
        <v>8</v>
      </c>
      <c r="J318" s="325" t="s">
        <v>9</v>
      </c>
      <c r="K318" s="328" t="s">
        <v>10</v>
      </c>
      <c r="L318" s="329" t="s">
        <v>11</v>
      </c>
      <c r="M318" s="325" t="s">
        <v>12</v>
      </c>
      <c r="N318" s="330" t="s">
        <v>13</v>
      </c>
      <c r="O318" s="444" t="s">
        <v>63</v>
      </c>
      <c r="P318" s="444" t="s">
        <v>5438</v>
      </c>
    </row>
    <row r="319" spans="1:16" s="17" customFormat="1" ht="33" customHeight="1">
      <c r="A319" s="440" t="s">
        <v>4506</v>
      </c>
      <c r="B319" s="406">
        <v>46160</v>
      </c>
      <c r="C319" s="4"/>
      <c r="D319" s="4"/>
      <c r="E319" s="31"/>
      <c r="F319" s="193"/>
      <c r="G319" s="16"/>
      <c r="H319" s="193"/>
      <c r="I319" s="31"/>
      <c r="J319" s="31"/>
      <c r="K319" s="125"/>
      <c r="L319" s="16"/>
      <c r="M319" s="8"/>
      <c r="N319" s="31" t="s">
        <v>4674</v>
      </c>
      <c r="O319" s="448"/>
      <c r="P319" s="583"/>
    </row>
    <row r="320" spans="1:16" s="17" customFormat="1" ht="33" customHeight="1">
      <c r="A320" s="441"/>
      <c r="B320" s="406">
        <v>46160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48"/>
      <c r="P320" s="583"/>
    </row>
    <row r="321" spans="1:16" s="17" customFormat="1" ht="33" customHeight="1">
      <c r="A321" s="441"/>
      <c r="B321" s="406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8"/>
      <c r="O321" s="447"/>
      <c r="P321" s="583"/>
    </row>
    <row r="322" spans="1:16" s="17" customFormat="1" ht="33" customHeight="1">
      <c r="A322" s="441"/>
      <c r="B322" s="406">
        <v>46161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8"/>
      <c r="O322" s="447"/>
      <c r="P322" s="583"/>
    </row>
    <row r="323" spans="1:16" s="17" customFormat="1" ht="33" customHeight="1">
      <c r="A323" s="441"/>
      <c r="B323" s="406">
        <v>46162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583"/>
    </row>
    <row r="324" spans="1:16" s="17" customFormat="1" ht="33" customHeight="1">
      <c r="A324" s="441"/>
      <c r="B324" s="406">
        <v>46162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9"/>
      <c r="P324" s="583"/>
    </row>
    <row r="325" spans="1:16" s="17" customFormat="1" ht="33" customHeight="1">
      <c r="A325" s="441"/>
      <c r="B325" s="406">
        <v>46163</v>
      </c>
      <c r="C325" s="4"/>
      <c r="D325" s="4"/>
      <c r="E325" s="31"/>
      <c r="F325" s="31"/>
      <c r="G325" s="16"/>
      <c r="H325" s="193"/>
      <c r="I325" s="31"/>
      <c r="J325" s="193"/>
      <c r="K325" s="125"/>
      <c r="L325" s="16"/>
      <c r="M325" s="8"/>
      <c r="N325" s="438"/>
      <c r="O325" s="447"/>
      <c r="P325" s="583"/>
    </row>
    <row r="326" spans="1:16" s="17" customFormat="1" ht="33" customHeight="1">
      <c r="A326" s="441"/>
      <c r="B326" s="406">
        <v>46163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9"/>
      <c r="P326" s="583"/>
    </row>
    <row r="327" spans="1:16" s="17" customFormat="1" ht="33" customHeight="1">
      <c r="A327" s="441"/>
      <c r="B327" s="406">
        <v>46164</v>
      </c>
      <c r="C327" s="4"/>
      <c r="D327" s="4"/>
      <c r="E327" s="31"/>
      <c r="F327" s="293"/>
      <c r="G327" s="16"/>
      <c r="H327" s="193"/>
      <c r="I327" s="31"/>
      <c r="J327" s="193"/>
      <c r="K327" s="125"/>
      <c r="L327" s="16"/>
      <c r="M327" s="8"/>
      <c r="N327" s="31" t="s">
        <v>4674</v>
      </c>
      <c r="O327" s="446"/>
      <c r="P327" s="583"/>
    </row>
    <row r="328" spans="1:16" s="17" customFormat="1" ht="33" customHeight="1">
      <c r="A328" s="441"/>
      <c r="B328" s="406">
        <v>46164</v>
      </c>
      <c r="C328" s="4"/>
      <c r="D328" s="4"/>
      <c r="E328" s="31"/>
      <c r="F328" s="31"/>
      <c r="G328" s="16"/>
      <c r="H328" s="193"/>
      <c r="I328" s="31"/>
      <c r="J328" s="31"/>
      <c r="K328" s="125"/>
      <c r="L328" s="16"/>
      <c r="M328" s="8"/>
      <c r="N328" s="31"/>
      <c r="O328" s="445"/>
      <c r="P328" s="583"/>
    </row>
    <row r="329" spans="1:16" s="17" customFormat="1" ht="33" customHeight="1">
      <c r="A329" s="441"/>
      <c r="B329" s="406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193"/>
      <c r="O329" s="455"/>
      <c r="P329" s="583"/>
    </row>
    <row r="330" spans="1:16" s="17" customFormat="1" ht="33" customHeight="1">
      <c r="A330" s="442"/>
      <c r="B330" s="406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31"/>
      <c r="O330" s="449"/>
      <c r="P330" s="583"/>
    </row>
    <row r="331" spans="1:16" s="17" customFormat="1" ht="33" customHeight="1">
      <c r="A331" s="443" t="s">
        <v>0</v>
      </c>
      <c r="B331" s="326" t="s">
        <v>1</v>
      </c>
      <c r="C331" s="325" t="s">
        <v>2</v>
      </c>
      <c r="D331" s="325" t="s">
        <v>3</v>
      </c>
      <c r="E331" s="325" t="s">
        <v>4</v>
      </c>
      <c r="F331" s="325" t="s">
        <v>5</v>
      </c>
      <c r="G331" s="325" t="s">
        <v>6</v>
      </c>
      <c r="H331" s="327" t="s">
        <v>7</v>
      </c>
      <c r="I331" s="325" t="s">
        <v>8</v>
      </c>
      <c r="J331" s="325" t="s">
        <v>9</v>
      </c>
      <c r="K331" s="328" t="s">
        <v>10</v>
      </c>
      <c r="L331" s="329" t="s">
        <v>11</v>
      </c>
      <c r="M331" s="325" t="s">
        <v>12</v>
      </c>
      <c r="N331" s="330" t="s">
        <v>13</v>
      </c>
      <c r="O331" s="444" t="s">
        <v>63</v>
      </c>
      <c r="P331" s="444" t="s">
        <v>5438</v>
      </c>
    </row>
    <row r="332" spans="1:16" s="17" customFormat="1" ht="33" customHeight="1">
      <c r="A332" s="440" t="s">
        <v>4507</v>
      </c>
      <c r="B332" s="406">
        <v>46167</v>
      </c>
      <c r="C332" s="4"/>
      <c r="D332" s="4"/>
      <c r="E332" s="31"/>
      <c r="F332" s="193"/>
      <c r="G332" s="16"/>
      <c r="H332" s="416" t="s">
        <v>4673</v>
      </c>
      <c r="I332" s="31"/>
      <c r="J332" s="31"/>
      <c r="K332" s="125"/>
      <c r="L332" s="16"/>
      <c r="M332" s="8"/>
      <c r="N332" s="31"/>
      <c r="O332" s="448"/>
      <c r="P332" s="583"/>
    </row>
    <row r="333" spans="1:16" s="17" customFormat="1" ht="33" customHeight="1">
      <c r="A333" s="441"/>
      <c r="B333" s="406">
        <v>46167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48"/>
      <c r="P333" s="583"/>
    </row>
    <row r="334" spans="1:16" s="17" customFormat="1" ht="33" customHeight="1">
      <c r="A334" s="441"/>
      <c r="B334" s="406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8"/>
      <c r="O334" s="447"/>
      <c r="P334" s="583"/>
    </row>
    <row r="335" spans="1:16" s="17" customFormat="1" ht="33" customHeight="1">
      <c r="A335" s="441"/>
      <c r="B335" s="406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8"/>
      <c r="O335" s="447"/>
      <c r="P335" s="583"/>
    </row>
    <row r="336" spans="1:16" s="17" customFormat="1" ht="33" customHeight="1">
      <c r="A336" s="441"/>
      <c r="B336" s="406">
        <v>46169</v>
      </c>
      <c r="C336" s="4"/>
      <c r="D336" s="4"/>
      <c r="E336" s="193" t="s">
        <v>5662</v>
      </c>
      <c r="F336" s="31"/>
      <c r="G336" s="16"/>
      <c r="H336" s="193" t="s">
        <v>5669</v>
      </c>
      <c r="I336" s="31" t="s">
        <v>5663</v>
      </c>
      <c r="J336" s="193"/>
      <c r="K336" s="125"/>
      <c r="L336" s="16" t="s">
        <v>5664</v>
      </c>
      <c r="M336" s="8">
        <v>1</v>
      </c>
      <c r="N336" s="438"/>
      <c r="O336" s="447"/>
      <c r="P336" s="583"/>
    </row>
    <row r="337" spans="1:16" s="17" customFormat="1" ht="33" customHeight="1">
      <c r="A337" s="441"/>
      <c r="B337" s="406">
        <v>46169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9"/>
      <c r="P337" s="583"/>
    </row>
    <row r="338" spans="1:16" s="17" customFormat="1" ht="33" customHeight="1">
      <c r="A338" s="441"/>
      <c r="B338" s="406">
        <v>46170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8"/>
      <c r="O338" s="447"/>
      <c r="P338" s="583"/>
    </row>
    <row r="339" spans="1:16" s="17" customFormat="1" ht="33" customHeight="1">
      <c r="A339" s="441"/>
      <c r="B339" s="406">
        <v>46170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9"/>
      <c r="P339" s="583"/>
    </row>
    <row r="340" spans="1:16" s="17" customFormat="1" ht="33" customHeight="1">
      <c r="A340" s="441"/>
      <c r="B340" s="406">
        <v>46171</v>
      </c>
      <c r="C340" s="4"/>
      <c r="D340" s="4"/>
      <c r="E340" s="31"/>
      <c r="F340" s="293"/>
      <c r="G340" s="16"/>
      <c r="H340" s="193"/>
      <c r="I340" s="31"/>
      <c r="J340" s="193"/>
      <c r="K340" s="125"/>
      <c r="L340" s="16"/>
      <c r="M340" s="8"/>
      <c r="N340" s="31"/>
      <c r="O340" s="446"/>
      <c r="P340" s="583"/>
    </row>
    <row r="341" spans="1:16" s="17" customFormat="1" ht="33" customHeight="1">
      <c r="A341" s="441"/>
      <c r="B341" s="406">
        <v>46171</v>
      </c>
      <c r="C341" s="4"/>
      <c r="D341" s="4"/>
      <c r="E341" s="31"/>
      <c r="F341" s="31"/>
      <c r="G341" s="16"/>
      <c r="H341" s="193"/>
      <c r="I341" s="31"/>
      <c r="J341" s="31"/>
      <c r="K341" s="125"/>
      <c r="L341" s="16"/>
      <c r="M341" s="8"/>
      <c r="N341" s="31"/>
      <c r="O341" s="445"/>
      <c r="P341" s="583"/>
    </row>
    <row r="342" spans="1:16" s="17" customFormat="1" ht="33" customHeight="1">
      <c r="A342" s="441"/>
      <c r="B342" s="406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193"/>
      <c r="O342" s="455"/>
      <c r="P342" s="583"/>
    </row>
    <row r="343" spans="1:16" s="17" customFormat="1" ht="33" customHeight="1">
      <c r="A343" s="442"/>
      <c r="B343" s="406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31"/>
      <c r="O343" s="449"/>
      <c r="P343" s="583"/>
    </row>
    <row r="344" spans="1:16" s="17" customFormat="1" ht="33" customHeight="1">
      <c r="A344" s="443" t="s">
        <v>0</v>
      </c>
      <c r="B344" s="326" t="s">
        <v>1</v>
      </c>
      <c r="C344" s="325" t="s">
        <v>2</v>
      </c>
      <c r="D344" s="325" t="s">
        <v>3</v>
      </c>
      <c r="E344" s="325" t="s">
        <v>4</v>
      </c>
      <c r="F344" s="325" t="s">
        <v>5</v>
      </c>
      <c r="G344" s="325" t="s">
        <v>6</v>
      </c>
      <c r="H344" s="327" t="s">
        <v>7</v>
      </c>
      <c r="I344" s="325" t="s">
        <v>8</v>
      </c>
      <c r="J344" s="325" t="s">
        <v>9</v>
      </c>
      <c r="K344" s="328" t="s">
        <v>10</v>
      </c>
      <c r="L344" s="329" t="s">
        <v>11</v>
      </c>
      <c r="M344" s="325" t="s">
        <v>12</v>
      </c>
      <c r="N344" s="330" t="s">
        <v>13</v>
      </c>
      <c r="O344" s="444" t="s">
        <v>63</v>
      </c>
      <c r="P344" s="444" t="s">
        <v>5438</v>
      </c>
    </row>
    <row r="345" spans="1:16" s="17" customFormat="1" ht="33" customHeight="1">
      <c r="A345" s="440" t="s">
        <v>4508</v>
      </c>
      <c r="B345" s="406">
        <v>46174</v>
      </c>
      <c r="C345" s="4"/>
      <c r="D345" s="4"/>
      <c r="E345" s="31"/>
      <c r="F345" s="193"/>
      <c r="G345" s="16"/>
      <c r="H345" s="193"/>
      <c r="I345" s="31"/>
      <c r="J345" s="31"/>
      <c r="K345" s="125"/>
      <c r="L345" s="16"/>
      <c r="M345" s="8"/>
      <c r="N345" s="31"/>
      <c r="O345" s="448"/>
      <c r="P345" s="583"/>
    </row>
    <row r="346" spans="1:16" s="17" customFormat="1" ht="33" customHeight="1">
      <c r="A346" s="441"/>
      <c r="B346" s="406">
        <v>46174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48"/>
      <c r="P346" s="583"/>
    </row>
    <row r="347" spans="1:16" s="17" customFormat="1" ht="33" customHeight="1">
      <c r="A347" s="441"/>
      <c r="B347" s="406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8"/>
      <c r="O347" s="447"/>
      <c r="P347" s="583"/>
    </row>
    <row r="348" spans="1:16" s="17" customFormat="1" ht="33" customHeight="1">
      <c r="A348" s="441"/>
      <c r="B348" s="406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8"/>
      <c r="O348" s="447"/>
      <c r="P348" s="583"/>
    </row>
    <row r="349" spans="1:16" s="17" customFormat="1" ht="33" customHeight="1">
      <c r="A349" s="441"/>
      <c r="B349" s="406">
        <v>46176</v>
      </c>
      <c r="C349" s="4"/>
      <c r="D349" s="4"/>
      <c r="E349" s="31"/>
      <c r="F349" s="31"/>
      <c r="G349" s="16"/>
      <c r="H349" s="416" t="s">
        <v>4761</v>
      </c>
      <c r="I349" s="31"/>
      <c r="J349" s="193"/>
      <c r="K349" s="125"/>
      <c r="L349" s="16"/>
      <c r="M349" s="8"/>
      <c r="N349" s="438"/>
      <c r="O349" s="447"/>
      <c r="P349" s="583"/>
    </row>
    <row r="350" spans="1:16" s="17" customFormat="1" ht="33" customHeight="1">
      <c r="A350" s="441"/>
      <c r="B350" s="406">
        <v>46176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9"/>
      <c r="P350" s="583"/>
    </row>
    <row r="351" spans="1:16" s="17" customFormat="1" ht="33" customHeight="1">
      <c r="A351" s="441"/>
      <c r="B351" s="406">
        <v>46177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8"/>
      <c r="O351" s="447"/>
      <c r="P351" s="583"/>
    </row>
    <row r="352" spans="1:16" s="17" customFormat="1" ht="33" customHeight="1">
      <c r="A352" s="441"/>
      <c r="B352" s="406">
        <v>46177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9"/>
      <c r="P352" s="583"/>
    </row>
    <row r="353" spans="1:16" s="17" customFormat="1" ht="33" customHeight="1">
      <c r="A353" s="441"/>
      <c r="B353" s="406">
        <v>46178</v>
      </c>
      <c r="C353" s="4" t="s">
        <v>113</v>
      </c>
      <c r="D353" s="4" t="s">
        <v>5266</v>
      </c>
      <c r="E353" s="31" t="s">
        <v>5274</v>
      </c>
      <c r="F353" s="31" t="s">
        <v>5275</v>
      </c>
      <c r="G353" s="16" t="s">
        <v>5279</v>
      </c>
      <c r="H353" s="193" t="s">
        <v>5270</v>
      </c>
      <c r="I353" s="31" t="s">
        <v>5571</v>
      </c>
      <c r="J353" s="193"/>
      <c r="K353" s="125" t="s">
        <v>5600</v>
      </c>
      <c r="L353" s="16" t="s">
        <v>5601</v>
      </c>
      <c r="M353" s="8">
        <v>2</v>
      </c>
      <c r="N353" s="31"/>
      <c r="O353" s="446"/>
      <c r="P353" s="583"/>
    </row>
    <row r="354" spans="1:16" s="17" customFormat="1" ht="33" customHeight="1">
      <c r="A354" s="441"/>
      <c r="B354" s="406">
        <v>46178</v>
      </c>
      <c r="C354" s="4"/>
      <c r="D354" s="4"/>
      <c r="E354" s="31"/>
      <c r="F354" s="31"/>
      <c r="G354" s="16"/>
      <c r="H354" s="193"/>
      <c r="I354" s="31"/>
      <c r="J354" s="31"/>
      <c r="K354" s="125"/>
      <c r="L354" s="16"/>
      <c r="M354" s="8"/>
      <c r="N354" s="31"/>
      <c r="O354" s="445"/>
      <c r="P354" s="583"/>
    </row>
    <row r="355" spans="1:16" s="17" customFormat="1" ht="33" customHeight="1">
      <c r="A355" s="441"/>
      <c r="B355" s="406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193"/>
      <c r="O355" s="455"/>
      <c r="P355" s="583"/>
    </row>
    <row r="356" spans="1:16" s="17" customFormat="1" ht="33" customHeight="1">
      <c r="A356" s="442"/>
      <c r="B356" s="406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31"/>
      <c r="O356" s="449"/>
      <c r="P356" s="583"/>
    </row>
    <row r="357" spans="1:16" s="17" customFormat="1" ht="33" customHeight="1">
      <c r="A357" s="443" t="s">
        <v>0</v>
      </c>
      <c r="B357" s="326" t="s">
        <v>1</v>
      </c>
      <c r="C357" s="325" t="s">
        <v>2</v>
      </c>
      <c r="D357" s="325" t="s">
        <v>3</v>
      </c>
      <c r="E357" s="325" t="s">
        <v>4</v>
      </c>
      <c r="F357" s="325" t="s">
        <v>5</v>
      </c>
      <c r="G357" s="325" t="s">
        <v>6</v>
      </c>
      <c r="H357" s="327" t="s">
        <v>7</v>
      </c>
      <c r="I357" s="325" t="s">
        <v>8</v>
      </c>
      <c r="J357" s="325" t="s">
        <v>9</v>
      </c>
      <c r="K357" s="328" t="s">
        <v>10</v>
      </c>
      <c r="L357" s="329" t="s">
        <v>11</v>
      </c>
      <c r="M357" s="325" t="s">
        <v>12</v>
      </c>
      <c r="N357" s="330" t="s">
        <v>13</v>
      </c>
      <c r="O357" s="444" t="s">
        <v>63</v>
      </c>
      <c r="P357" s="444" t="s">
        <v>5438</v>
      </c>
    </row>
    <row r="358" spans="1:16" s="17" customFormat="1" ht="33" customHeight="1">
      <c r="A358" s="440" t="s">
        <v>4509</v>
      </c>
      <c r="B358" s="406">
        <v>46181</v>
      </c>
      <c r="C358" s="4" t="s">
        <v>113</v>
      </c>
      <c r="D358" s="4" t="s">
        <v>5266</v>
      </c>
      <c r="E358" s="31" t="s">
        <v>5267</v>
      </c>
      <c r="F358" s="31" t="s">
        <v>5268</v>
      </c>
      <c r="G358" s="16" t="s">
        <v>5273</v>
      </c>
      <c r="H358" s="193" t="s">
        <v>5270</v>
      </c>
      <c r="I358" s="31" t="s">
        <v>5571</v>
      </c>
      <c r="J358" s="31"/>
      <c r="K358" s="125" t="s">
        <v>5600</v>
      </c>
      <c r="L358" s="16" t="s">
        <v>5601</v>
      </c>
      <c r="M358" s="8">
        <v>2</v>
      </c>
      <c r="N358" s="31"/>
      <c r="O358" s="448"/>
      <c r="P358" s="583"/>
    </row>
    <row r="359" spans="1:16" s="17" customFormat="1" ht="33" customHeight="1">
      <c r="A359" s="441"/>
      <c r="B359" s="406">
        <v>46181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48"/>
      <c r="P359" s="583"/>
    </row>
    <row r="360" spans="1:16" s="17" customFormat="1" ht="33" customHeight="1">
      <c r="A360" s="441"/>
      <c r="B360" s="406">
        <v>46182</v>
      </c>
      <c r="C360" s="4" t="s">
        <v>113</v>
      </c>
      <c r="D360" s="4" t="s">
        <v>5266</v>
      </c>
      <c r="E360" s="31" t="s">
        <v>5267</v>
      </c>
      <c r="F360" s="31" t="s">
        <v>5268</v>
      </c>
      <c r="G360" s="16" t="s">
        <v>5269</v>
      </c>
      <c r="H360" s="193" t="s">
        <v>5270</v>
      </c>
      <c r="I360" s="31" t="s">
        <v>5501</v>
      </c>
      <c r="J360" s="193" t="s">
        <v>5271</v>
      </c>
      <c r="K360" s="125" t="s">
        <v>5600</v>
      </c>
      <c r="L360" s="16" t="s">
        <v>5601</v>
      </c>
      <c r="M360" s="8">
        <v>2</v>
      </c>
      <c r="N360" s="438"/>
      <c r="O360" s="447"/>
      <c r="P360" s="583"/>
    </row>
    <row r="361" spans="1:16" s="17" customFormat="1" ht="33" customHeight="1">
      <c r="A361" s="441"/>
      <c r="B361" s="406">
        <v>46182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8"/>
      <c r="O361" s="447"/>
      <c r="P361" s="583"/>
    </row>
    <row r="362" spans="1:16" s="17" customFormat="1" ht="33" customHeight="1">
      <c r="A362" s="441"/>
      <c r="B362" s="406">
        <v>46183</v>
      </c>
      <c r="C362" s="4" t="s">
        <v>113</v>
      </c>
      <c r="D362" s="4" t="s">
        <v>5266</v>
      </c>
      <c r="E362" s="31" t="s">
        <v>5267</v>
      </c>
      <c r="F362" s="31" t="s">
        <v>5268</v>
      </c>
      <c r="G362" s="16" t="s">
        <v>5272</v>
      </c>
      <c r="H362" s="193" t="s">
        <v>5270</v>
      </c>
      <c r="I362" s="31" t="s">
        <v>5571</v>
      </c>
      <c r="J362" s="193"/>
      <c r="K362" s="125" t="s">
        <v>5600</v>
      </c>
      <c r="L362" s="16" t="s">
        <v>5601</v>
      </c>
      <c r="M362" s="8">
        <v>2</v>
      </c>
      <c r="N362" s="438"/>
      <c r="O362" s="447"/>
      <c r="P362" s="583"/>
    </row>
    <row r="363" spans="1:16" s="17" customFormat="1" ht="33" customHeight="1">
      <c r="A363" s="441"/>
      <c r="B363" s="406">
        <v>46183</v>
      </c>
      <c r="C363" s="4"/>
      <c r="D363" s="4"/>
      <c r="E363" s="293"/>
      <c r="F363" s="31"/>
      <c r="G363" s="16"/>
      <c r="H363" s="193"/>
      <c r="I363" s="31"/>
      <c r="J363" s="31"/>
      <c r="K363" s="125"/>
      <c r="L363" s="16"/>
      <c r="M363" s="8"/>
      <c r="N363" s="31"/>
      <c r="O363" s="449"/>
      <c r="P363" s="583"/>
    </row>
    <row r="364" spans="1:16" s="17" customFormat="1" ht="33" customHeight="1">
      <c r="A364" s="441"/>
      <c r="B364" s="406">
        <v>46184</v>
      </c>
      <c r="C364" s="4"/>
      <c r="D364" s="4"/>
      <c r="E364" s="31"/>
      <c r="F364" s="31"/>
      <c r="G364" s="16"/>
      <c r="H364" s="193"/>
      <c r="I364" s="31"/>
      <c r="J364" s="193"/>
      <c r="K364" s="125"/>
      <c r="L364" s="16"/>
      <c r="M364" s="8"/>
      <c r="N364" s="438"/>
      <c r="O364" s="447"/>
      <c r="P364" s="583"/>
    </row>
    <row r="365" spans="1:16" s="17" customFormat="1" ht="33" customHeight="1">
      <c r="A365" s="441"/>
      <c r="B365" s="406">
        <v>46184</v>
      </c>
      <c r="C365" s="4"/>
      <c r="D365" s="4"/>
      <c r="E365" s="293"/>
      <c r="F365" s="31"/>
      <c r="G365" s="16"/>
      <c r="H365" s="193"/>
      <c r="I365" s="31"/>
      <c r="J365" s="31"/>
      <c r="K365" s="125"/>
      <c r="L365" s="16"/>
      <c r="M365" s="8"/>
      <c r="N365" s="31"/>
      <c r="O365" s="449"/>
      <c r="P365" s="583"/>
    </row>
    <row r="366" spans="1:16" s="17" customFormat="1" ht="33" customHeight="1">
      <c r="A366" s="441"/>
      <c r="B366" s="406">
        <v>46185</v>
      </c>
      <c r="C366" s="4"/>
      <c r="D366" s="4"/>
      <c r="E366" s="31"/>
      <c r="F366" s="293"/>
      <c r="G366" s="16"/>
      <c r="H366" s="193"/>
      <c r="I366" s="31"/>
      <c r="J366" s="193"/>
      <c r="K366" s="125"/>
      <c r="L366" s="16"/>
      <c r="M366" s="8"/>
      <c r="N366" s="31"/>
      <c r="O366" s="446"/>
      <c r="P366" s="583"/>
    </row>
    <row r="367" spans="1:16" s="17" customFormat="1" ht="33" customHeight="1">
      <c r="A367" s="441"/>
      <c r="B367" s="406">
        <v>46185</v>
      </c>
      <c r="C367" s="4"/>
      <c r="D367" s="4"/>
      <c r="E367" s="31"/>
      <c r="F367" s="31"/>
      <c r="G367" s="16"/>
      <c r="H367" s="193"/>
      <c r="I367" s="31"/>
      <c r="J367" s="31"/>
      <c r="K367" s="125"/>
      <c r="L367" s="16"/>
      <c r="M367" s="8"/>
      <c r="N367" s="31"/>
      <c r="O367" s="445"/>
      <c r="P367" s="583"/>
    </row>
    <row r="368" spans="1:16" s="17" customFormat="1" ht="33" customHeight="1">
      <c r="A368" s="441"/>
      <c r="B368" s="406">
        <v>46186</v>
      </c>
      <c r="C368" s="4"/>
      <c r="D368" s="4"/>
      <c r="E368" s="31"/>
      <c r="F368" s="31"/>
      <c r="G368" s="16"/>
      <c r="H368" s="193"/>
      <c r="I368" s="193"/>
      <c r="J368" s="193"/>
      <c r="K368" s="125"/>
      <c r="L368" s="16"/>
      <c r="M368" s="8"/>
      <c r="N368" s="193"/>
      <c r="O368" s="455"/>
      <c r="P368" s="583"/>
    </row>
    <row r="369" spans="1:16">
      <c r="A369" s="441"/>
      <c r="B369" s="406">
        <v>46186</v>
      </c>
      <c r="C369" s="10"/>
      <c r="D369" s="10"/>
      <c r="E369" s="334"/>
      <c r="F369" s="334"/>
      <c r="G369" s="7"/>
      <c r="H369" s="155"/>
      <c r="I369" s="155"/>
      <c r="J369" s="155"/>
      <c r="K369" s="331"/>
      <c r="L369" s="7"/>
      <c r="M369" s="439"/>
      <c r="N369" s="334"/>
      <c r="O369" s="460"/>
      <c r="P369" s="26"/>
    </row>
    <row r="373" spans="1:16">
      <c r="B373" s="387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404"/>
  <sheetViews>
    <sheetView zoomScaleNormal="100" zoomScaleSheetLayoutView="115" workbookViewId="0">
      <pane ySplit="2" topLeftCell="A1389" activePane="bottomLeft" state="frozen"/>
      <selection pane="bottomLeft" activeCell="D1407" sqref="D14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83" t="s">
        <v>161</v>
      </c>
      <c r="B1" s="783" t="s">
        <v>162</v>
      </c>
      <c r="C1" s="781" t="s">
        <v>1</v>
      </c>
      <c r="D1" s="781" t="s">
        <v>2</v>
      </c>
      <c r="E1" s="781" t="s">
        <v>3</v>
      </c>
      <c r="F1" s="27" t="s">
        <v>54</v>
      </c>
      <c r="G1" s="781" t="s">
        <v>5</v>
      </c>
      <c r="H1" s="781" t="s">
        <v>6</v>
      </c>
      <c r="I1" s="781" t="s">
        <v>7</v>
      </c>
      <c r="J1" s="781" t="s">
        <v>55</v>
      </c>
      <c r="K1" s="785" t="s">
        <v>483</v>
      </c>
      <c r="L1" s="787" t="s">
        <v>56</v>
      </c>
      <c r="M1" s="779" t="s">
        <v>57</v>
      </c>
      <c r="N1" s="781" t="s">
        <v>58</v>
      </c>
    </row>
    <row r="2" spans="1:14">
      <c r="A2" s="784"/>
      <c r="B2" s="784"/>
      <c r="C2" s="782"/>
      <c r="D2" s="782"/>
      <c r="E2" s="782"/>
      <c r="F2" s="28" t="s">
        <v>59</v>
      </c>
      <c r="G2" s="782"/>
      <c r="H2" s="782"/>
      <c r="I2" s="782"/>
      <c r="J2" s="782"/>
      <c r="K2" s="786"/>
      <c r="L2" s="788"/>
      <c r="M2" s="780"/>
      <c r="N2" s="782"/>
    </row>
    <row r="3" spans="1:14" ht="27">
      <c r="A3" s="55">
        <v>1</v>
      </c>
      <c r="B3" s="7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6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6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63"/>
      <c r="C9" s="7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63"/>
      <c r="C10" s="7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6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63"/>
      <c r="C12" s="7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63"/>
      <c r="C13" s="7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63"/>
      <c r="C14" s="7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63"/>
      <c r="C15" s="7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63"/>
      <c r="C16" s="7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6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6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6"/>
    </row>
    <row r="24" spans="1:17" ht="27">
      <c r="A24" s="55">
        <v>4</v>
      </c>
      <c r="B24" s="762" t="s">
        <v>21</v>
      </c>
      <c r="C24" s="76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0" t="s">
        <v>85</v>
      </c>
      <c r="K24" s="765" t="s">
        <v>41</v>
      </c>
      <c r="L24" s="6" t="s">
        <v>15</v>
      </c>
      <c r="M24" s="792">
        <v>180000</v>
      </c>
      <c r="N24" s="45" t="s">
        <v>194</v>
      </c>
    </row>
    <row r="25" spans="1:17" ht="27">
      <c r="A25" s="55">
        <v>4</v>
      </c>
      <c r="B25" s="763"/>
      <c r="C25" s="77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51"/>
      <c r="K25" s="766"/>
      <c r="L25" s="6" t="s">
        <v>15</v>
      </c>
      <c r="M25" s="793"/>
      <c r="N25" s="45" t="s">
        <v>194</v>
      </c>
    </row>
    <row r="26" spans="1:17">
      <c r="A26" s="55">
        <v>4</v>
      </c>
      <c r="B26" s="763"/>
      <c r="C26" s="76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64"/>
      <c r="C27" s="77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5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6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63"/>
      <c r="C32" s="76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63"/>
      <c r="C33" s="77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6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62" t="s">
        <v>20</v>
      </c>
      <c r="C35" s="76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64"/>
      <c r="C36" s="77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62" t="s">
        <v>20</v>
      </c>
      <c r="C37" s="76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64"/>
      <c r="C38" s="77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9"/>
      <c r="C40" s="76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9"/>
      <c r="C41" s="77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5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57"/>
      <c r="C45" s="75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57"/>
      <c r="C46" s="7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5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6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6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5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5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5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62" t="s">
        <v>64</v>
      </c>
      <c r="C67" s="76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65" t="s">
        <v>435</v>
      </c>
      <c r="L67" s="6" t="s">
        <v>436</v>
      </c>
      <c r="M67" s="792">
        <v>750000</v>
      </c>
      <c r="N67" s="45" t="s">
        <v>446</v>
      </c>
    </row>
    <row r="68" spans="1:15" ht="27">
      <c r="A68" s="55">
        <v>19</v>
      </c>
      <c r="B68" s="763"/>
      <c r="C68" s="77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6"/>
      <c r="L68" s="6" t="s">
        <v>411</v>
      </c>
      <c r="M68" s="793"/>
      <c r="N68" s="45" t="s">
        <v>445</v>
      </c>
    </row>
    <row r="69" spans="1:15">
      <c r="A69" s="55">
        <v>19</v>
      </c>
      <c r="B69" s="763"/>
      <c r="C69" s="77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6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6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9">
        <v>500000</v>
      </c>
      <c r="N71" s="78" t="s">
        <v>444</v>
      </c>
      <c r="O71">
        <v>2</v>
      </c>
    </row>
    <row r="72" spans="1:15">
      <c r="A72" s="55">
        <v>20</v>
      </c>
      <c r="B72" s="7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6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6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6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6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0">
        <v>300000</v>
      </c>
      <c r="N76" s="79" t="s">
        <v>97</v>
      </c>
    </row>
    <row r="77" spans="1:15">
      <c r="A77" s="55">
        <v>20</v>
      </c>
      <c r="B77" s="7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6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6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6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63"/>
      <c r="C83" s="7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63"/>
      <c r="C84" s="77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63"/>
      <c r="C85" s="76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63"/>
      <c r="C86" s="77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6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6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6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6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63"/>
      <c r="C93" s="76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63"/>
      <c r="C94" s="77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63"/>
      <c r="C95" s="77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6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6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62" t="s">
        <v>21</v>
      </c>
      <c r="C99" s="76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63"/>
      <c r="C100" s="77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6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6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6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6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6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6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6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30" t="s">
        <v>658</v>
      </c>
      <c r="C110" s="73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55"/>
      <c r="C111" s="77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55"/>
      <c r="C112" s="77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77"/>
      <c r="C113" s="77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7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55"/>
      <c r="C115" s="73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31"/>
      <c r="C116" s="77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62" t="s">
        <v>20</v>
      </c>
      <c r="C117" s="7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0" t="s">
        <v>168</v>
      </c>
      <c r="K117" s="765" t="s">
        <v>645</v>
      </c>
      <c r="L117" s="57" t="s">
        <v>209</v>
      </c>
      <c r="M117" s="752">
        <f>250000*5</f>
        <v>1250000</v>
      </c>
      <c r="N117" s="762" t="s">
        <v>121</v>
      </c>
    </row>
    <row r="118" spans="1:14">
      <c r="A118" s="101">
        <v>28</v>
      </c>
      <c r="B118" s="763"/>
      <c r="C118" s="77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74"/>
      <c r="K118" s="773"/>
      <c r="L118" s="57" t="s">
        <v>209</v>
      </c>
      <c r="M118" s="753"/>
      <c r="N118" s="763"/>
    </row>
    <row r="119" spans="1:14">
      <c r="A119" s="101">
        <v>28</v>
      </c>
      <c r="B119" s="763"/>
      <c r="C119" s="77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51"/>
      <c r="K119" s="766"/>
      <c r="L119" s="57" t="s">
        <v>209</v>
      </c>
      <c r="M119" s="754"/>
      <c r="N119" s="764"/>
    </row>
    <row r="120" spans="1:14">
      <c r="A120" s="101">
        <v>28</v>
      </c>
      <c r="B120" s="764"/>
      <c r="C120" s="77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2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30" t="s">
        <v>307</v>
      </c>
      <c r="C122" s="73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3" t="s">
        <v>458</v>
      </c>
      <c r="N122" s="110" t="s">
        <v>706</v>
      </c>
    </row>
    <row r="123" spans="1:14" ht="16.5" customHeight="1">
      <c r="A123" s="55">
        <v>29</v>
      </c>
      <c r="B123" s="755"/>
      <c r="C123" s="7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30" t="s">
        <v>664</v>
      </c>
      <c r="K123" s="756" t="s">
        <v>707</v>
      </c>
      <c r="L123" s="110" t="s">
        <v>324</v>
      </c>
      <c r="M123" s="759" t="s">
        <v>708</v>
      </c>
      <c r="N123" s="110"/>
    </row>
    <row r="124" spans="1:14">
      <c r="A124" s="55">
        <v>29</v>
      </c>
      <c r="B124" s="755"/>
      <c r="C124" s="7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5"/>
      <c r="K124" s="757"/>
      <c r="L124" s="110" t="s">
        <v>324</v>
      </c>
      <c r="M124" s="760"/>
      <c r="N124" s="110"/>
    </row>
    <row r="125" spans="1:14">
      <c r="A125" s="55">
        <v>29</v>
      </c>
      <c r="B125" s="755"/>
      <c r="C125" s="7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31"/>
      <c r="K125" s="758"/>
      <c r="L125" s="110" t="s">
        <v>324</v>
      </c>
      <c r="M125" s="761"/>
      <c r="N125" s="110"/>
    </row>
    <row r="126" spans="1:14">
      <c r="A126" s="55">
        <v>29</v>
      </c>
      <c r="B126" s="731"/>
      <c r="C126" s="7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3" t="s">
        <v>458</v>
      </c>
      <c r="N126" s="110" t="s">
        <v>425</v>
      </c>
    </row>
    <row r="127" spans="1:14">
      <c r="A127" s="55">
        <v>29</v>
      </c>
      <c r="B127" s="73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3" t="s">
        <v>672</v>
      </c>
      <c r="N127" s="110" t="s">
        <v>696</v>
      </c>
    </row>
    <row r="128" spans="1:14">
      <c r="A128" s="55">
        <v>29</v>
      </c>
      <c r="B128" s="7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3" t="s">
        <v>458</v>
      </c>
      <c r="N128" s="110" t="s">
        <v>715</v>
      </c>
    </row>
    <row r="129" spans="1:14">
      <c r="A129" s="55">
        <v>29</v>
      </c>
      <c r="B129" s="7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3" t="s">
        <v>672</v>
      </c>
      <c r="N129" s="110" t="s">
        <v>715</v>
      </c>
    </row>
    <row r="130" spans="1:14">
      <c r="A130" s="55">
        <v>29</v>
      </c>
      <c r="B130" s="755"/>
      <c r="C130" s="73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3" t="s">
        <v>458</v>
      </c>
      <c r="N130" s="110" t="s">
        <v>715</v>
      </c>
    </row>
    <row r="131" spans="1:14">
      <c r="A131" s="55">
        <v>29</v>
      </c>
      <c r="B131" s="755"/>
      <c r="C131" s="7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3" t="s">
        <v>672</v>
      </c>
      <c r="N131" s="110" t="s">
        <v>723</v>
      </c>
    </row>
    <row r="132" spans="1:14">
      <c r="A132" s="55">
        <v>29</v>
      </c>
      <c r="B132" s="755"/>
      <c r="C132" s="73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3" t="s">
        <v>672</v>
      </c>
      <c r="N132" s="110" t="s">
        <v>697</v>
      </c>
    </row>
    <row r="133" spans="1:14">
      <c r="A133" s="55">
        <v>29</v>
      </c>
      <c r="B133" s="755"/>
      <c r="C133" s="7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3" t="s">
        <v>458</v>
      </c>
      <c r="N133" s="110" t="s">
        <v>726</v>
      </c>
    </row>
    <row r="134" spans="1:14" ht="25.5">
      <c r="A134" s="55">
        <v>29</v>
      </c>
      <c r="B134" s="7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3" t="s">
        <v>359</v>
      </c>
      <c r="N134" s="110" t="s">
        <v>723</v>
      </c>
    </row>
    <row r="135" spans="1:14" ht="16.5" customHeight="1">
      <c r="A135" s="55">
        <v>30</v>
      </c>
      <c r="B135" s="762" t="s">
        <v>618</v>
      </c>
      <c r="C135" s="76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63"/>
      <c r="C136" s="77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63"/>
      <c r="C137" s="77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64"/>
      <c r="C138" s="77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63"/>
      <c r="C140" s="76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63"/>
      <c r="C141" s="77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62" t="s">
        <v>735</v>
      </c>
    </row>
    <row r="142" spans="1:14">
      <c r="A142" s="55">
        <v>30</v>
      </c>
      <c r="B142" s="76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6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6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62" t="s">
        <v>20</v>
      </c>
      <c r="C146" s="769" t="s">
        <v>869</v>
      </c>
      <c r="D146" s="765" t="s">
        <v>19</v>
      </c>
      <c r="E146" s="76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64"/>
      <c r="C147" s="771"/>
      <c r="D147" s="766"/>
      <c r="E147" s="76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62" t="s">
        <v>123</v>
      </c>
      <c r="C148" s="769" t="s">
        <v>782</v>
      </c>
      <c r="D148" s="765" t="s">
        <v>19</v>
      </c>
      <c r="E148" s="76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64"/>
      <c r="C149" s="771"/>
      <c r="D149" s="766"/>
      <c r="E149" s="76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6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6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62" t="s">
        <v>247</v>
      </c>
    </row>
    <row r="154" spans="1:14" ht="27">
      <c r="A154" s="55">
        <v>34</v>
      </c>
      <c r="B154" s="763"/>
      <c r="C154" s="76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63"/>
    </row>
    <row r="155" spans="1:14" ht="27">
      <c r="A155" s="55">
        <v>34</v>
      </c>
      <c r="B155" s="763"/>
      <c r="C155" s="77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64"/>
    </row>
    <row r="156" spans="1:14" ht="27">
      <c r="A156" s="55">
        <v>34</v>
      </c>
      <c r="B156" s="763"/>
      <c r="C156" s="76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62" t="s">
        <v>825</v>
      </c>
    </row>
    <row r="157" spans="1:14" ht="27">
      <c r="A157" s="55">
        <v>34</v>
      </c>
      <c r="B157" s="763"/>
      <c r="C157" s="77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63"/>
    </row>
    <row r="158" spans="1:14" ht="27">
      <c r="A158" s="55">
        <v>34</v>
      </c>
      <c r="B158" s="763"/>
      <c r="C158" s="76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63"/>
    </row>
    <row r="159" spans="1:14" ht="27">
      <c r="A159" s="55">
        <v>34</v>
      </c>
      <c r="B159" s="763"/>
      <c r="C159" s="77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63"/>
    </row>
    <row r="160" spans="1:14" ht="27">
      <c r="A160" s="55">
        <v>34</v>
      </c>
      <c r="B160" s="76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63"/>
    </row>
    <row r="161" spans="1:15" ht="27">
      <c r="A161" s="55">
        <v>34</v>
      </c>
      <c r="B161" s="76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64"/>
    </row>
    <row r="162" spans="1:15" ht="27">
      <c r="A162" s="55">
        <v>34</v>
      </c>
      <c r="B162" s="76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6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6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6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80" t="s">
        <v>849</v>
      </c>
      <c r="C167" s="70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81"/>
      <c r="C168" s="70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81"/>
      <c r="C169" s="70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82"/>
      <c r="C170" s="70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8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8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8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8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8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8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8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81"/>
      <c r="C178" s="70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82"/>
      <c r="C179" s="70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8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81"/>
      <c r="C181" s="76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0" t="s">
        <v>838</v>
      </c>
      <c r="K181" s="765" t="s">
        <v>985</v>
      </c>
      <c r="L181" s="6" t="s">
        <v>910</v>
      </c>
      <c r="M181" s="752">
        <f>180000+200000+200000</f>
        <v>580000</v>
      </c>
      <c r="N181" s="45" t="s">
        <v>806</v>
      </c>
    </row>
    <row r="182" spans="1:14">
      <c r="A182" s="55">
        <v>36</v>
      </c>
      <c r="B182" s="681"/>
      <c r="C182" s="77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51"/>
      <c r="K182" s="766"/>
      <c r="L182" s="6" t="s">
        <v>911</v>
      </c>
      <c r="M182" s="754"/>
      <c r="N182" s="45" t="s">
        <v>806</v>
      </c>
    </row>
    <row r="183" spans="1:14">
      <c r="A183" s="55">
        <v>36</v>
      </c>
      <c r="B183" s="681"/>
      <c r="C183" s="77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8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8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8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81"/>
      <c r="C187" s="70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82"/>
      <c r="C188" s="70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8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8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8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80" t="s">
        <v>939</v>
      </c>
      <c r="C192" s="70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81"/>
      <c r="C193" s="70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8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8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81"/>
      <c r="C196" s="76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81"/>
      <c r="C197" s="77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81"/>
      <c r="C198" s="76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82"/>
      <c r="C199" s="77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80" t="s">
        <v>20</v>
      </c>
      <c r="C200" s="70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81"/>
      <c r="C201" s="70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81"/>
      <c r="C202" s="70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82"/>
      <c r="C203" s="70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8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8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8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80" t="s">
        <v>20</v>
      </c>
      <c r="C207" s="70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81"/>
      <c r="C208" s="70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8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8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8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8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8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8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8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8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8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80" t="s">
        <v>20</v>
      </c>
      <c r="C218" s="70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81"/>
      <c r="C219" s="70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8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8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8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8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8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8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62" t="s">
        <v>247</v>
      </c>
    </row>
    <row r="226" spans="1:14">
      <c r="A226" s="55">
        <v>44</v>
      </c>
      <c r="B226" s="68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63"/>
    </row>
    <row r="227" spans="1:14">
      <c r="A227" s="55">
        <v>44</v>
      </c>
      <c r="B227" s="68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64"/>
    </row>
    <row r="228" spans="1:14">
      <c r="A228" s="55">
        <v>44</v>
      </c>
      <c r="B228" s="68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8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8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8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8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8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8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8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8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8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8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8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8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8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8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8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8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8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8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81"/>
      <c r="C249" s="70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62" t="s">
        <v>247</v>
      </c>
    </row>
    <row r="250" spans="1:14">
      <c r="A250" s="55">
        <v>48</v>
      </c>
      <c r="B250" s="682"/>
      <c r="C250" s="70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64"/>
    </row>
    <row r="251" spans="1:14">
      <c r="A251" s="55">
        <v>48</v>
      </c>
      <c r="B251" s="68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8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8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8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8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81"/>
      <c r="C256" s="70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62" t="s">
        <v>247</v>
      </c>
    </row>
    <row r="257" spans="1:14">
      <c r="A257" s="55">
        <v>49</v>
      </c>
      <c r="B257" s="682"/>
      <c r="C257" s="70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64"/>
    </row>
    <row r="258" spans="1:14" ht="40.5">
      <c r="A258" s="55">
        <v>49</v>
      </c>
      <c r="B258" s="68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8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4" t="s">
        <v>1112</v>
      </c>
      <c r="N260" s="129" t="s">
        <v>1097</v>
      </c>
    </row>
    <row r="261" spans="1:14">
      <c r="A261" s="55">
        <v>49</v>
      </c>
      <c r="B261" s="8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4" t="s">
        <v>458</v>
      </c>
      <c r="N261" s="676" t="s">
        <v>1103</v>
      </c>
    </row>
    <row r="262" spans="1:14" ht="25.5">
      <c r="A262" s="132">
        <v>49</v>
      </c>
      <c r="B262" s="8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5" t="s">
        <v>672</v>
      </c>
      <c r="N262" s="677"/>
    </row>
    <row r="263" spans="1:14" ht="16.5" customHeight="1">
      <c r="A263" s="55">
        <v>50</v>
      </c>
      <c r="B263" s="680" t="s">
        <v>20</v>
      </c>
      <c r="C263" s="70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81"/>
      <c r="C264" s="70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81"/>
      <c r="C265" s="70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81"/>
      <c r="C266" s="70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82"/>
      <c r="C267" s="70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01" t="s">
        <v>658</v>
      </c>
      <c r="C268" s="67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6" t="s">
        <v>708</v>
      </c>
      <c r="N268" s="148" t="s">
        <v>665</v>
      </c>
    </row>
    <row r="269" spans="1:14">
      <c r="A269" s="55">
        <v>51</v>
      </c>
      <c r="B269" s="802"/>
      <c r="C269" s="69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6" t="s">
        <v>1112</v>
      </c>
      <c r="N269" s="148" t="s">
        <v>425</v>
      </c>
    </row>
    <row r="270" spans="1:14">
      <c r="A270" s="55">
        <v>51</v>
      </c>
      <c r="B270" s="803"/>
      <c r="C270" s="67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6" t="s">
        <v>458</v>
      </c>
      <c r="N270" s="148" t="s">
        <v>1160</v>
      </c>
    </row>
    <row r="271" spans="1:14" ht="16.5" customHeight="1">
      <c r="A271" s="55">
        <v>52</v>
      </c>
      <c r="B271" s="680" t="s">
        <v>20</v>
      </c>
      <c r="C271" s="70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81"/>
      <c r="C272" s="70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81"/>
      <c r="C273" s="70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68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81"/>
      <c r="C275" s="70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81"/>
      <c r="C276" s="70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8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08" t="s">
        <v>1196</v>
      </c>
      <c r="B278" s="809"/>
      <c r="C278" s="809"/>
      <c r="D278" s="809"/>
      <c r="E278" s="809"/>
      <c r="F278" s="809"/>
      <c r="G278" s="809"/>
      <c r="H278" s="809"/>
      <c r="I278" s="809"/>
      <c r="J278" s="809"/>
      <c r="K278" s="809"/>
      <c r="L278" s="809"/>
      <c r="M278" s="809"/>
      <c r="N278" s="810"/>
    </row>
    <row r="279" spans="1:15" ht="16.5" customHeight="1">
      <c r="A279" s="55">
        <v>1</v>
      </c>
      <c r="B279" s="680" t="s">
        <v>20</v>
      </c>
      <c r="C279" s="70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82"/>
      <c r="C280" s="70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80" t="s">
        <v>64</v>
      </c>
      <c r="C281" s="70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81"/>
      <c r="C282" s="70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81"/>
      <c r="C283" s="70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0" t="s">
        <v>1174</v>
      </c>
      <c r="K283" s="80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81"/>
      <c r="C284" s="70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51"/>
      <c r="K284" s="80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8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8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11" t="s">
        <v>123</v>
      </c>
      <c r="C287" s="67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4" t="s">
        <v>708</v>
      </c>
      <c r="N287" s="129" t="s">
        <v>665</v>
      </c>
    </row>
    <row r="288" spans="1:15">
      <c r="A288" s="55">
        <v>2</v>
      </c>
      <c r="B288" s="812"/>
      <c r="C288" s="67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4" t="s">
        <v>1112</v>
      </c>
      <c r="N288" s="128" t="s">
        <v>425</v>
      </c>
    </row>
    <row r="289" spans="1:15">
      <c r="A289" s="55">
        <v>2</v>
      </c>
      <c r="B289" s="801" t="s">
        <v>64</v>
      </c>
      <c r="C289" s="67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4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02"/>
      <c r="C290" s="80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7" t="s">
        <v>1233</v>
      </c>
      <c r="N290" s="151" t="s">
        <v>726</v>
      </c>
    </row>
    <row r="291" spans="1:15" ht="25.5">
      <c r="A291" s="55">
        <v>2</v>
      </c>
      <c r="B291" s="802"/>
      <c r="C291" s="80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76" t="s">
        <v>638</v>
      </c>
      <c r="K291" s="740" t="s">
        <v>671</v>
      </c>
      <c r="L291" s="148" t="s">
        <v>309</v>
      </c>
      <c r="M291" s="686" t="s">
        <v>672</v>
      </c>
      <c r="N291" s="148" t="s">
        <v>723</v>
      </c>
    </row>
    <row r="292" spans="1:15">
      <c r="A292" s="55">
        <v>2</v>
      </c>
      <c r="B292" s="802"/>
      <c r="C292" s="80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77"/>
      <c r="K292" s="741"/>
      <c r="L292" s="148" t="s">
        <v>309</v>
      </c>
      <c r="M292" s="687"/>
      <c r="N292" s="148" t="s">
        <v>723</v>
      </c>
    </row>
    <row r="293" spans="1:15">
      <c r="A293" s="55">
        <v>2</v>
      </c>
      <c r="B293" s="802"/>
      <c r="C293" s="80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6" t="s">
        <v>672</v>
      </c>
      <c r="N293" s="148" t="s">
        <v>723</v>
      </c>
    </row>
    <row r="294" spans="1:15">
      <c r="A294" s="55">
        <v>2</v>
      </c>
      <c r="B294" s="802"/>
      <c r="C294" s="67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6" t="s">
        <v>672</v>
      </c>
      <c r="N294" s="148" t="s">
        <v>1208</v>
      </c>
    </row>
    <row r="295" spans="1:15">
      <c r="A295" s="55">
        <v>2</v>
      </c>
      <c r="B295" s="8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6" t="s">
        <v>672</v>
      </c>
      <c r="N295" s="148" t="s">
        <v>1210</v>
      </c>
    </row>
    <row r="296" spans="1:15" ht="16.5" customHeight="1">
      <c r="A296" s="55">
        <v>3</v>
      </c>
      <c r="B296" s="680" t="s">
        <v>20</v>
      </c>
      <c r="C296" s="70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81"/>
      <c r="C297" s="70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82"/>
      <c r="C298" s="70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8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8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68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80" t="s">
        <v>20</v>
      </c>
      <c r="C302" s="70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81"/>
      <c r="C303" s="70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81"/>
      <c r="C304" s="70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81"/>
      <c r="C305" s="70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82"/>
      <c r="C306" s="70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80" t="s">
        <v>20</v>
      </c>
      <c r="C308" s="70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82"/>
      <c r="C309" s="70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8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8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8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01" t="s">
        <v>307</v>
      </c>
      <c r="C313" s="67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4" t="s">
        <v>1112</v>
      </c>
      <c r="N313" s="129" t="s">
        <v>665</v>
      </c>
    </row>
    <row r="314" spans="1:18">
      <c r="A314" s="55">
        <v>6</v>
      </c>
      <c r="B314" s="803"/>
      <c r="C314" s="67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4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6" t="s">
        <v>458</v>
      </c>
      <c r="N315" s="148" t="s">
        <v>1286</v>
      </c>
    </row>
    <row r="316" spans="1:18" ht="16.5" customHeight="1">
      <c r="A316" s="55">
        <v>7</v>
      </c>
      <c r="B316" s="680" t="s">
        <v>20</v>
      </c>
      <c r="C316" s="70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81"/>
      <c r="C317" s="70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82"/>
      <c r="C318" s="70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8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8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8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80" t="s">
        <v>20</v>
      </c>
      <c r="C322" s="70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82"/>
      <c r="C323" s="70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8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8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8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8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8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80" t="s">
        <v>20</v>
      </c>
      <c r="C329" s="70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81"/>
      <c r="C330" s="70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82"/>
      <c r="C331" s="70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8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8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80" t="s">
        <v>20</v>
      </c>
      <c r="C334" s="70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81"/>
      <c r="C335" s="70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81"/>
      <c r="C336" s="70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82"/>
      <c r="C337" s="70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8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8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8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8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80" t="s">
        <v>20</v>
      </c>
      <c r="C342" s="70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81"/>
      <c r="C343" s="70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8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8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8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8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8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81"/>
      <c r="C349" s="76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82"/>
      <c r="C350" s="77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4" t="s">
        <v>458</v>
      </c>
      <c r="N351" s="129" t="s">
        <v>665</v>
      </c>
      <c r="O351" s="186"/>
    </row>
    <row r="352" spans="1:15">
      <c r="A352" s="55">
        <v>12</v>
      </c>
      <c r="B352" s="8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4" t="s">
        <v>456</v>
      </c>
      <c r="N352" s="129" t="s">
        <v>665</v>
      </c>
      <c r="O352" s="186"/>
    </row>
    <row r="353" spans="1:15">
      <c r="A353" s="55">
        <v>12</v>
      </c>
      <c r="B353" s="8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4" t="s">
        <v>672</v>
      </c>
      <c r="N353" s="129" t="s">
        <v>665</v>
      </c>
      <c r="O353" s="186"/>
    </row>
    <row r="354" spans="1:15">
      <c r="A354" s="55">
        <v>12</v>
      </c>
      <c r="B354" s="8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4" t="s">
        <v>672</v>
      </c>
      <c r="N354" s="129" t="s">
        <v>665</v>
      </c>
      <c r="O354" s="186"/>
    </row>
    <row r="355" spans="1:15">
      <c r="A355" s="55">
        <v>12</v>
      </c>
      <c r="B355" s="8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4" t="s">
        <v>458</v>
      </c>
      <c r="N355" s="129" t="s">
        <v>425</v>
      </c>
      <c r="O355" s="186"/>
    </row>
    <row r="356" spans="1:15" ht="25.5">
      <c r="A356" s="55">
        <v>12</v>
      </c>
      <c r="B356" s="8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4" t="s">
        <v>456</v>
      </c>
      <c r="N356" s="151" t="s">
        <v>1424</v>
      </c>
      <c r="O356" s="186"/>
    </row>
    <row r="357" spans="1:15">
      <c r="A357" s="55">
        <v>12</v>
      </c>
      <c r="B357" s="8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4" t="s">
        <v>359</v>
      </c>
      <c r="N357" s="151" t="s">
        <v>1206</v>
      </c>
      <c r="O357" s="186"/>
    </row>
    <row r="358" spans="1:15" ht="25.5">
      <c r="A358" s="55">
        <v>12</v>
      </c>
      <c r="B358" s="8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4" t="s">
        <v>1430</v>
      </c>
      <c r="N358" s="151" t="s">
        <v>1206</v>
      </c>
      <c r="O358" s="186"/>
    </row>
    <row r="359" spans="1:15">
      <c r="A359" s="55">
        <v>12</v>
      </c>
      <c r="B359" s="8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4" t="s">
        <v>359</v>
      </c>
      <c r="N359" s="151" t="s">
        <v>1206</v>
      </c>
      <c r="O359" s="186"/>
    </row>
    <row r="360" spans="1:15" ht="40.5">
      <c r="A360" s="55">
        <v>13</v>
      </c>
      <c r="B360" s="68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68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68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68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68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68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68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68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8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8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68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68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68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68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68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01" t="s">
        <v>307</v>
      </c>
      <c r="C375" s="128" t="s">
        <v>1531</v>
      </c>
      <c r="D375" s="676" t="s">
        <v>306</v>
      </c>
      <c r="E375" s="676" t="s">
        <v>322</v>
      </c>
      <c r="F375" s="676" t="s">
        <v>307</v>
      </c>
      <c r="G375" s="678">
        <v>4266</v>
      </c>
      <c r="H375" s="676" t="s">
        <v>640</v>
      </c>
      <c r="I375" s="678" t="s">
        <v>1533</v>
      </c>
      <c r="J375" s="676" t="s">
        <v>1534</v>
      </c>
      <c r="K375" s="813" t="s">
        <v>692</v>
      </c>
      <c r="L375" s="676" t="s">
        <v>324</v>
      </c>
      <c r="M375" s="686" t="s">
        <v>1535</v>
      </c>
      <c r="N375" s="676" t="s">
        <v>425</v>
      </c>
    </row>
    <row r="376" spans="1:19">
      <c r="A376" s="199" t="s">
        <v>1539</v>
      </c>
      <c r="B376" s="802"/>
      <c r="C376" s="129" t="s">
        <v>1532</v>
      </c>
      <c r="D376" s="677"/>
      <c r="E376" s="677"/>
      <c r="F376" s="677"/>
      <c r="G376" s="679"/>
      <c r="H376" s="677"/>
      <c r="I376" s="679"/>
      <c r="J376" s="677"/>
      <c r="K376" s="814"/>
      <c r="L376" s="677"/>
      <c r="M376" s="687"/>
      <c r="N376" s="677"/>
    </row>
    <row r="377" spans="1:19">
      <c r="A377" s="199" t="s">
        <v>1539</v>
      </c>
      <c r="B377" s="802"/>
      <c r="C377" s="128" t="s">
        <v>1536</v>
      </c>
      <c r="D377" s="676" t="s">
        <v>306</v>
      </c>
      <c r="E377" s="676" t="s">
        <v>322</v>
      </c>
      <c r="F377" s="676" t="s">
        <v>307</v>
      </c>
      <c r="G377" s="678">
        <v>3306</v>
      </c>
      <c r="H377" s="676" t="s">
        <v>1153</v>
      </c>
      <c r="I377" s="678" t="s">
        <v>1538</v>
      </c>
      <c r="J377" s="676" t="s">
        <v>1534</v>
      </c>
      <c r="K377" s="813" t="s">
        <v>692</v>
      </c>
      <c r="L377" s="676" t="s">
        <v>324</v>
      </c>
      <c r="M377" s="686" t="s">
        <v>1535</v>
      </c>
      <c r="N377" s="676" t="s">
        <v>425</v>
      </c>
    </row>
    <row r="378" spans="1:19">
      <c r="A378" s="199" t="s">
        <v>1539</v>
      </c>
      <c r="B378" s="803"/>
      <c r="C378" s="129" t="s">
        <v>1537</v>
      </c>
      <c r="D378" s="677"/>
      <c r="E378" s="677"/>
      <c r="F378" s="677"/>
      <c r="G378" s="679"/>
      <c r="H378" s="677"/>
      <c r="I378" s="679"/>
      <c r="J378" s="677"/>
      <c r="K378" s="814"/>
      <c r="L378" s="677"/>
      <c r="M378" s="687"/>
      <c r="N378" s="677"/>
    </row>
    <row r="379" spans="1:19" ht="27" customHeight="1">
      <c r="A379" s="123">
        <v>15</v>
      </c>
      <c r="B379" s="68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68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81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68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8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8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80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681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681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68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8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8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8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8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80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68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68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68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81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8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8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8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8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8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8" t="s">
        <v>1786</v>
      </c>
      <c r="C403" s="228" t="s">
        <v>1752</v>
      </c>
      <c r="D403" s="738" t="s">
        <v>306</v>
      </c>
      <c r="E403" s="738" t="s">
        <v>322</v>
      </c>
      <c r="F403" s="738" t="s">
        <v>307</v>
      </c>
      <c r="G403" s="744">
        <v>3306</v>
      </c>
      <c r="H403" s="738" t="s">
        <v>1153</v>
      </c>
      <c r="I403" s="744" t="s">
        <v>1753</v>
      </c>
      <c r="J403" s="738" t="s">
        <v>664</v>
      </c>
      <c r="K403" s="815" t="s">
        <v>1288</v>
      </c>
      <c r="L403" s="738" t="s">
        <v>324</v>
      </c>
      <c r="M403" s="742" t="s">
        <v>1754</v>
      </c>
      <c r="N403" s="738" t="s">
        <v>665</v>
      </c>
    </row>
    <row r="404" spans="1:14">
      <c r="A404" s="123">
        <v>18</v>
      </c>
      <c r="B404" s="689"/>
      <c r="C404" s="228" t="s">
        <v>1755</v>
      </c>
      <c r="D404" s="739"/>
      <c r="E404" s="739"/>
      <c r="F404" s="739"/>
      <c r="G404" s="745"/>
      <c r="H404" s="739"/>
      <c r="I404" s="745"/>
      <c r="J404" s="739"/>
      <c r="K404" s="816"/>
      <c r="L404" s="739"/>
      <c r="M404" s="743"/>
      <c r="N404" s="739"/>
    </row>
    <row r="405" spans="1:14" ht="22.5">
      <c r="A405" s="123">
        <v>18</v>
      </c>
      <c r="B405" s="689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8" t="s">
        <v>1758</v>
      </c>
      <c r="N405" s="228"/>
    </row>
    <row r="406" spans="1:14" ht="16.5" customHeight="1">
      <c r="A406" s="123">
        <v>18</v>
      </c>
      <c r="B406" s="689"/>
      <c r="C406" s="228" t="s">
        <v>1759</v>
      </c>
      <c r="D406" s="738" t="s">
        <v>306</v>
      </c>
      <c r="E406" s="738" t="s">
        <v>322</v>
      </c>
      <c r="F406" s="738" t="s">
        <v>307</v>
      </c>
      <c r="G406" s="744" t="s">
        <v>1760</v>
      </c>
      <c r="H406" s="738" t="s">
        <v>347</v>
      </c>
      <c r="I406" s="744" t="s">
        <v>1154</v>
      </c>
      <c r="J406" s="738" t="s">
        <v>664</v>
      </c>
      <c r="K406" s="738" t="s">
        <v>1761</v>
      </c>
      <c r="L406" s="738" t="s">
        <v>324</v>
      </c>
      <c r="M406" s="742" t="s">
        <v>1762</v>
      </c>
      <c r="N406" s="738" t="s">
        <v>665</v>
      </c>
    </row>
    <row r="407" spans="1:14">
      <c r="A407" s="123">
        <v>18</v>
      </c>
      <c r="B407" s="689"/>
      <c r="C407" s="228" t="s">
        <v>1763</v>
      </c>
      <c r="D407" s="739"/>
      <c r="E407" s="739"/>
      <c r="F407" s="739"/>
      <c r="G407" s="745"/>
      <c r="H407" s="739"/>
      <c r="I407" s="745"/>
      <c r="J407" s="739"/>
      <c r="K407" s="739"/>
      <c r="L407" s="739"/>
      <c r="M407" s="743"/>
      <c r="N407" s="739"/>
    </row>
    <row r="408" spans="1:14" ht="16.5" customHeight="1">
      <c r="A408" s="123">
        <v>18</v>
      </c>
      <c r="B408" s="689"/>
      <c r="C408" s="230" t="s">
        <v>1764</v>
      </c>
      <c r="D408" s="738" t="s">
        <v>306</v>
      </c>
      <c r="E408" s="738" t="s">
        <v>322</v>
      </c>
      <c r="F408" s="738" t="s">
        <v>307</v>
      </c>
      <c r="G408" s="744" t="s">
        <v>1765</v>
      </c>
      <c r="H408" s="738" t="s">
        <v>329</v>
      </c>
      <c r="I408" s="744" t="s">
        <v>1766</v>
      </c>
      <c r="J408" s="738" t="s">
        <v>664</v>
      </c>
      <c r="K408" s="738" t="s">
        <v>1767</v>
      </c>
      <c r="L408" s="738" t="s">
        <v>324</v>
      </c>
      <c r="M408" s="742" t="s">
        <v>1768</v>
      </c>
      <c r="N408" s="738" t="s">
        <v>1769</v>
      </c>
    </row>
    <row r="409" spans="1:14">
      <c r="A409" s="123">
        <v>18</v>
      </c>
      <c r="B409" s="690"/>
      <c r="C409" s="228" t="s">
        <v>1770</v>
      </c>
      <c r="D409" s="739"/>
      <c r="E409" s="739"/>
      <c r="F409" s="739"/>
      <c r="G409" s="745"/>
      <c r="H409" s="739"/>
      <c r="I409" s="745"/>
      <c r="J409" s="739"/>
      <c r="K409" s="739"/>
      <c r="L409" s="739"/>
      <c r="M409" s="743"/>
      <c r="N409" s="739"/>
    </row>
    <row r="410" spans="1:14" ht="16.5" customHeight="1">
      <c r="A410" s="123">
        <v>18</v>
      </c>
      <c r="B410" s="688" t="s">
        <v>253</v>
      </c>
      <c r="C410" s="746" t="s">
        <v>1771</v>
      </c>
      <c r="D410" s="738" t="s">
        <v>311</v>
      </c>
      <c r="E410" s="738" t="s">
        <v>320</v>
      </c>
      <c r="F410" s="738" t="s">
        <v>709</v>
      </c>
      <c r="G410" s="738" t="s">
        <v>1772</v>
      </c>
      <c r="H410" s="746" t="s">
        <v>1773</v>
      </c>
      <c r="I410" s="229" t="s">
        <v>1774</v>
      </c>
      <c r="J410" s="738"/>
      <c r="K410" s="748" t="s">
        <v>1775</v>
      </c>
      <c r="L410" s="738" t="s">
        <v>309</v>
      </c>
      <c r="M410" s="742" t="s">
        <v>1768</v>
      </c>
      <c r="N410" s="738" t="s">
        <v>1776</v>
      </c>
    </row>
    <row r="411" spans="1:14">
      <c r="A411" s="123">
        <v>18</v>
      </c>
      <c r="B411" s="689"/>
      <c r="C411" s="747"/>
      <c r="D411" s="739"/>
      <c r="E411" s="739"/>
      <c r="F411" s="739"/>
      <c r="G411" s="739"/>
      <c r="H411" s="747"/>
      <c r="I411" s="229" t="s">
        <v>1777</v>
      </c>
      <c r="J411" s="739"/>
      <c r="K411" s="749"/>
      <c r="L411" s="739"/>
      <c r="M411" s="743"/>
      <c r="N411" s="739"/>
    </row>
    <row r="412" spans="1:14" ht="22.5">
      <c r="A412" s="123">
        <v>18</v>
      </c>
      <c r="B412" s="689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8" t="s">
        <v>1768</v>
      </c>
      <c r="N412" s="228" t="s">
        <v>1779</v>
      </c>
    </row>
    <row r="413" spans="1:14" ht="16.5" customHeight="1">
      <c r="A413" s="123">
        <v>18</v>
      </c>
      <c r="B413" s="689"/>
      <c r="C413" s="746" t="s">
        <v>1780</v>
      </c>
      <c r="D413" s="746" t="s">
        <v>700</v>
      </c>
      <c r="E413" s="738" t="s">
        <v>675</v>
      </c>
      <c r="F413" s="746" t="s">
        <v>1781</v>
      </c>
      <c r="G413" s="746" t="s">
        <v>1782</v>
      </c>
      <c r="H413" s="746" t="s">
        <v>662</v>
      </c>
      <c r="I413" s="229" t="s">
        <v>1783</v>
      </c>
      <c r="J413" s="738" t="s">
        <v>638</v>
      </c>
      <c r="K413" s="738" t="s">
        <v>731</v>
      </c>
      <c r="L413" s="738" t="s">
        <v>309</v>
      </c>
      <c r="M413" s="742" t="s">
        <v>1784</v>
      </c>
      <c r="N413" s="738" t="s">
        <v>1785</v>
      </c>
    </row>
    <row r="414" spans="1:14">
      <c r="A414" s="123">
        <v>18</v>
      </c>
      <c r="B414" s="690"/>
      <c r="C414" s="747"/>
      <c r="D414" s="747"/>
      <c r="E414" s="739"/>
      <c r="F414" s="747"/>
      <c r="G414" s="747"/>
      <c r="H414" s="747"/>
      <c r="I414" s="26"/>
      <c r="J414" s="739"/>
      <c r="K414" s="739"/>
      <c r="L414" s="739"/>
      <c r="M414" s="743"/>
      <c r="N414" s="739"/>
    </row>
    <row r="415" spans="1:14" ht="16.5" customHeight="1">
      <c r="A415" s="123">
        <v>19</v>
      </c>
      <c r="B415" s="688" t="s">
        <v>20</v>
      </c>
      <c r="C415" s="148" t="s">
        <v>1798</v>
      </c>
      <c r="D415" s="676" t="s">
        <v>306</v>
      </c>
      <c r="E415" s="676" t="s">
        <v>322</v>
      </c>
      <c r="F415" s="676" t="s">
        <v>307</v>
      </c>
      <c r="G415" s="678" t="s">
        <v>1800</v>
      </c>
      <c r="H415" s="676" t="s">
        <v>1801</v>
      </c>
      <c r="I415" s="678" t="s">
        <v>1796</v>
      </c>
      <c r="J415" s="676" t="s">
        <v>664</v>
      </c>
      <c r="K415" s="148" t="s">
        <v>1520</v>
      </c>
      <c r="L415" s="676" t="s">
        <v>324</v>
      </c>
      <c r="M415" s="686" t="s">
        <v>1803</v>
      </c>
      <c r="N415" s="676" t="s">
        <v>665</v>
      </c>
    </row>
    <row r="416" spans="1:14">
      <c r="A416" s="123">
        <v>19</v>
      </c>
      <c r="B416" s="689"/>
      <c r="C416" s="148" t="s">
        <v>1799</v>
      </c>
      <c r="D416" s="677"/>
      <c r="E416" s="677"/>
      <c r="F416" s="677"/>
      <c r="G416" s="679"/>
      <c r="H416" s="677"/>
      <c r="I416" s="679"/>
      <c r="J416" s="677"/>
      <c r="K416" s="148" t="s">
        <v>1802</v>
      </c>
      <c r="L416" s="677"/>
      <c r="M416" s="687"/>
      <c r="N416" s="677"/>
    </row>
    <row r="417" spans="1:14">
      <c r="A417" s="123">
        <v>19</v>
      </c>
      <c r="B417" s="689"/>
      <c r="C417" s="148" t="s">
        <v>1804</v>
      </c>
      <c r="D417" s="676" t="s">
        <v>306</v>
      </c>
      <c r="E417" s="676" t="s">
        <v>322</v>
      </c>
      <c r="F417" s="676" t="s">
        <v>307</v>
      </c>
      <c r="G417" s="678" t="s">
        <v>1805</v>
      </c>
      <c r="H417" s="676" t="s">
        <v>1806</v>
      </c>
      <c r="I417" s="678" t="s">
        <v>1807</v>
      </c>
      <c r="J417" s="676" t="s">
        <v>664</v>
      </c>
      <c r="K417" s="740" t="s">
        <v>1155</v>
      </c>
      <c r="L417" s="676" t="s">
        <v>324</v>
      </c>
      <c r="M417" s="686" t="s">
        <v>1808</v>
      </c>
      <c r="N417" s="676" t="s">
        <v>665</v>
      </c>
    </row>
    <row r="418" spans="1:14">
      <c r="A418" s="123">
        <v>19</v>
      </c>
      <c r="B418" s="690"/>
      <c r="C418" s="148" t="s">
        <v>1799</v>
      </c>
      <c r="D418" s="677"/>
      <c r="E418" s="677"/>
      <c r="F418" s="677"/>
      <c r="G418" s="679"/>
      <c r="H418" s="677"/>
      <c r="I418" s="679"/>
      <c r="J418" s="677"/>
      <c r="K418" s="741"/>
      <c r="L418" s="677"/>
      <c r="M418" s="687"/>
      <c r="N418" s="677"/>
    </row>
    <row r="419" spans="1:14" ht="16.5" customHeight="1">
      <c r="A419" s="123">
        <v>19</v>
      </c>
      <c r="B419" s="688" t="s">
        <v>21</v>
      </c>
      <c r="C419" s="730" t="s">
        <v>1809</v>
      </c>
      <c r="D419" s="730" t="s">
        <v>700</v>
      </c>
      <c r="E419" s="676" t="s">
        <v>675</v>
      </c>
      <c r="F419" s="730" t="s">
        <v>1810</v>
      </c>
      <c r="G419" s="730" t="s">
        <v>1811</v>
      </c>
      <c r="H419" s="730" t="s">
        <v>662</v>
      </c>
      <c r="I419" s="678" t="s">
        <v>1812</v>
      </c>
      <c r="J419" s="676"/>
      <c r="K419" s="732" t="s">
        <v>1813</v>
      </c>
      <c r="L419" s="676" t="s">
        <v>309</v>
      </c>
      <c r="M419" s="686" t="s">
        <v>1814</v>
      </c>
      <c r="N419" s="149" t="s">
        <v>1815</v>
      </c>
    </row>
    <row r="420" spans="1:14">
      <c r="A420" s="123">
        <v>19</v>
      </c>
      <c r="B420" s="689"/>
      <c r="C420" s="731"/>
      <c r="D420" s="731"/>
      <c r="E420" s="677"/>
      <c r="F420" s="731"/>
      <c r="G420" s="731"/>
      <c r="H420" s="731"/>
      <c r="I420" s="679"/>
      <c r="J420" s="677"/>
      <c r="K420" s="733"/>
      <c r="L420" s="677"/>
      <c r="M420" s="687"/>
      <c r="N420" s="149" t="s">
        <v>1816</v>
      </c>
    </row>
    <row r="421" spans="1:14">
      <c r="A421" s="123">
        <v>19</v>
      </c>
      <c r="B421" s="689"/>
      <c r="C421" s="734" t="s">
        <v>1817</v>
      </c>
      <c r="D421" s="730" t="s">
        <v>700</v>
      </c>
      <c r="E421" s="676" t="s">
        <v>320</v>
      </c>
      <c r="F421" s="676" t="s">
        <v>337</v>
      </c>
      <c r="G421" s="730" t="s">
        <v>353</v>
      </c>
      <c r="H421" s="730" t="s">
        <v>1818</v>
      </c>
      <c r="I421" s="678" t="s">
        <v>1819</v>
      </c>
      <c r="J421" s="676" t="s">
        <v>638</v>
      </c>
      <c r="K421" s="736" t="s">
        <v>692</v>
      </c>
      <c r="L421" s="676" t="s">
        <v>309</v>
      </c>
      <c r="M421" s="686" t="s">
        <v>1820</v>
      </c>
      <c r="N421" s="148" t="s">
        <v>1821</v>
      </c>
    </row>
    <row r="422" spans="1:14">
      <c r="A422" s="123">
        <v>19</v>
      </c>
      <c r="B422" s="689"/>
      <c r="C422" s="735"/>
      <c r="D422" s="731"/>
      <c r="E422" s="677"/>
      <c r="F422" s="677"/>
      <c r="G422" s="731"/>
      <c r="H422" s="731"/>
      <c r="I422" s="679"/>
      <c r="J422" s="677"/>
      <c r="K422" s="737"/>
      <c r="L422" s="677"/>
      <c r="M422" s="687"/>
      <c r="N422" s="148" t="s">
        <v>1822</v>
      </c>
    </row>
    <row r="423" spans="1:14">
      <c r="A423" s="123">
        <v>19</v>
      </c>
      <c r="B423" s="68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6" t="s">
        <v>1814</v>
      </c>
      <c r="N423" s="148" t="s">
        <v>1821</v>
      </c>
    </row>
    <row r="424" spans="1:14">
      <c r="A424" s="123">
        <v>19</v>
      </c>
      <c r="B424" s="689"/>
      <c r="C424" s="730" t="s">
        <v>1824</v>
      </c>
      <c r="D424" s="730" t="s">
        <v>700</v>
      </c>
      <c r="E424" s="676" t="s">
        <v>320</v>
      </c>
      <c r="F424" s="676" t="s">
        <v>709</v>
      </c>
      <c r="G424" s="676" t="s">
        <v>1772</v>
      </c>
      <c r="H424" s="730" t="s">
        <v>1825</v>
      </c>
      <c r="I424" s="149" t="s">
        <v>1826</v>
      </c>
      <c r="J424" s="676" t="s">
        <v>638</v>
      </c>
      <c r="K424" s="676" t="s">
        <v>692</v>
      </c>
      <c r="L424" s="676" t="s">
        <v>309</v>
      </c>
      <c r="M424" s="686" t="s">
        <v>1535</v>
      </c>
      <c r="N424" s="678" t="s">
        <v>1828</v>
      </c>
    </row>
    <row r="425" spans="1:14">
      <c r="A425" s="123">
        <v>19</v>
      </c>
      <c r="B425" s="689"/>
      <c r="C425" s="731"/>
      <c r="D425" s="731"/>
      <c r="E425" s="677"/>
      <c r="F425" s="677"/>
      <c r="G425" s="677"/>
      <c r="H425" s="731"/>
      <c r="I425" s="149" t="s">
        <v>1827</v>
      </c>
      <c r="J425" s="677"/>
      <c r="K425" s="677"/>
      <c r="L425" s="677"/>
      <c r="M425" s="687"/>
      <c r="N425" s="679"/>
    </row>
    <row r="426" spans="1:14">
      <c r="A426" s="123">
        <v>19</v>
      </c>
      <c r="B426" s="69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6" t="s">
        <v>1832</v>
      </c>
      <c r="N426" s="148" t="s">
        <v>1206</v>
      </c>
    </row>
    <row r="427" spans="1:14">
      <c r="A427" s="123">
        <v>20</v>
      </c>
      <c r="B427" s="68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9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90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69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688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689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6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689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90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6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68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6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6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1">
        <v>500000</v>
      </c>
      <c r="N442" s="234" t="s">
        <v>1192</v>
      </c>
    </row>
    <row r="443" spans="1:14" s="26" customFormat="1">
      <c r="A443" s="123">
        <v>21</v>
      </c>
      <c r="B443" s="6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6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9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9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68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69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688" t="s">
        <v>2082</v>
      </c>
      <c r="C452" s="245" t="s">
        <v>1910</v>
      </c>
      <c r="D452" s="710" t="s">
        <v>306</v>
      </c>
      <c r="E452" s="710" t="s">
        <v>322</v>
      </c>
      <c r="F452" s="710" t="s">
        <v>307</v>
      </c>
      <c r="G452" s="710">
        <v>3306</v>
      </c>
      <c r="H452" s="710" t="s">
        <v>1153</v>
      </c>
      <c r="I452" s="710" t="s">
        <v>1911</v>
      </c>
      <c r="J452" s="710" t="s">
        <v>1111</v>
      </c>
      <c r="K452" s="710" t="s">
        <v>692</v>
      </c>
      <c r="L452" s="710" t="s">
        <v>324</v>
      </c>
      <c r="M452" s="708" t="s">
        <v>1912</v>
      </c>
      <c r="N452" s="710" t="s">
        <v>665</v>
      </c>
    </row>
    <row r="453" spans="1:14">
      <c r="A453" s="123">
        <v>23</v>
      </c>
      <c r="B453" s="689"/>
      <c r="C453" s="245" t="s">
        <v>1913</v>
      </c>
      <c r="D453" s="711"/>
      <c r="E453" s="711"/>
      <c r="F453" s="711"/>
      <c r="G453" s="711"/>
      <c r="H453" s="711"/>
      <c r="I453" s="711"/>
      <c r="J453" s="711"/>
      <c r="K453" s="711"/>
      <c r="L453" s="711"/>
      <c r="M453" s="709"/>
      <c r="N453" s="711"/>
    </row>
    <row r="454" spans="1:14">
      <c r="A454" s="123">
        <v>23</v>
      </c>
      <c r="B454" s="689"/>
      <c r="C454" s="245" t="s">
        <v>1914</v>
      </c>
      <c r="D454" s="710" t="s">
        <v>306</v>
      </c>
      <c r="E454" s="710" t="s">
        <v>322</v>
      </c>
      <c r="F454" s="710" t="s">
        <v>307</v>
      </c>
      <c r="G454" s="712" t="s">
        <v>1418</v>
      </c>
      <c r="H454" s="710" t="s">
        <v>1915</v>
      </c>
      <c r="I454" s="712" t="s">
        <v>1154</v>
      </c>
      <c r="J454" s="710" t="s">
        <v>664</v>
      </c>
      <c r="K454" s="726" t="s">
        <v>1767</v>
      </c>
      <c r="L454" s="710" t="s">
        <v>324</v>
      </c>
      <c r="M454" s="708" t="s">
        <v>1535</v>
      </c>
      <c r="N454" s="710" t="s">
        <v>665</v>
      </c>
    </row>
    <row r="455" spans="1:14">
      <c r="A455" s="123">
        <v>23</v>
      </c>
      <c r="B455" s="689"/>
      <c r="C455" s="245" t="s">
        <v>1913</v>
      </c>
      <c r="D455" s="711"/>
      <c r="E455" s="711"/>
      <c r="F455" s="711"/>
      <c r="G455" s="713"/>
      <c r="H455" s="711"/>
      <c r="I455" s="713"/>
      <c r="J455" s="711"/>
      <c r="K455" s="727"/>
      <c r="L455" s="711"/>
      <c r="M455" s="709"/>
      <c r="N455" s="711"/>
    </row>
    <row r="456" spans="1:14">
      <c r="A456" s="123">
        <v>23</v>
      </c>
      <c r="B456" s="689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9" t="s">
        <v>1912</v>
      </c>
      <c r="N456" s="243" t="s">
        <v>425</v>
      </c>
    </row>
    <row r="457" spans="1:14">
      <c r="A457" s="123">
        <v>23</v>
      </c>
      <c r="B457" s="689"/>
      <c r="C457" s="245" t="s">
        <v>1921</v>
      </c>
      <c r="D457" s="710" t="s">
        <v>306</v>
      </c>
      <c r="E457" s="710" t="s">
        <v>322</v>
      </c>
      <c r="F457" s="710" t="s">
        <v>307</v>
      </c>
      <c r="G457" s="712">
        <v>4267</v>
      </c>
      <c r="H457" s="710" t="s">
        <v>640</v>
      </c>
      <c r="I457" s="712" t="s">
        <v>1154</v>
      </c>
      <c r="J457" s="710" t="s">
        <v>664</v>
      </c>
      <c r="K457" s="726" t="s">
        <v>1767</v>
      </c>
      <c r="L457" s="710" t="s">
        <v>324</v>
      </c>
      <c r="M457" s="708" t="s">
        <v>1535</v>
      </c>
      <c r="N457" s="710" t="s">
        <v>665</v>
      </c>
    </row>
    <row r="458" spans="1:14">
      <c r="A458" s="123">
        <v>23</v>
      </c>
      <c r="B458" s="689"/>
      <c r="C458" s="245" t="s">
        <v>1922</v>
      </c>
      <c r="D458" s="711"/>
      <c r="E458" s="711"/>
      <c r="F458" s="711"/>
      <c r="G458" s="713"/>
      <c r="H458" s="711"/>
      <c r="I458" s="713"/>
      <c r="J458" s="711"/>
      <c r="K458" s="727"/>
      <c r="L458" s="711"/>
      <c r="M458" s="709"/>
      <c r="N458" s="711"/>
    </row>
    <row r="459" spans="1:14">
      <c r="A459" s="123">
        <v>23</v>
      </c>
      <c r="B459" s="689"/>
      <c r="C459" s="245" t="s">
        <v>1921</v>
      </c>
      <c r="D459" s="710" t="s">
        <v>306</v>
      </c>
      <c r="E459" s="710" t="s">
        <v>322</v>
      </c>
      <c r="F459" s="710" t="s">
        <v>307</v>
      </c>
      <c r="G459" s="712" t="s">
        <v>1923</v>
      </c>
      <c r="H459" s="710" t="s">
        <v>662</v>
      </c>
      <c r="I459" s="712" t="s">
        <v>1924</v>
      </c>
      <c r="J459" s="710" t="s">
        <v>349</v>
      </c>
      <c r="K459" s="728" t="s">
        <v>1920</v>
      </c>
      <c r="L459" s="710" t="s">
        <v>324</v>
      </c>
      <c r="M459" s="708" t="s">
        <v>1535</v>
      </c>
      <c r="N459" s="710" t="s">
        <v>425</v>
      </c>
    </row>
    <row r="460" spans="1:14">
      <c r="A460" s="123">
        <v>23</v>
      </c>
      <c r="B460" s="690"/>
      <c r="C460" s="246" t="s">
        <v>1922</v>
      </c>
      <c r="D460" s="711"/>
      <c r="E460" s="711"/>
      <c r="F460" s="711"/>
      <c r="G460" s="713"/>
      <c r="H460" s="711"/>
      <c r="I460" s="713"/>
      <c r="J460" s="711"/>
      <c r="K460" s="729"/>
      <c r="L460" s="711"/>
      <c r="M460" s="709"/>
      <c r="N460" s="711"/>
    </row>
    <row r="461" spans="1:14">
      <c r="A461" s="123">
        <v>23</v>
      </c>
      <c r="B461" s="688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9" t="s">
        <v>1832</v>
      </c>
      <c r="N461" s="244" t="s">
        <v>1929</v>
      </c>
    </row>
    <row r="462" spans="1:14">
      <c r="A462" s="123">
        <v>23</v>
      </c>
      <c r="B462" s="689"/>
      <c r="C462" s="710" t="s">
        <v>1925</v>
      </c>
      <c r="D462" s="710" t="s">
        <v>311</v>
      </c>
      <c r="E462" s="710" t="s">
        <v>675</v>
      </c>
      <c r="F462" s="710" t="s">
        <v>1930</v>
      </c>
      <c r="G462" s="710" t="s">
        <v>1931</v>
      </c>
      <c r="H462" s="817" t="s">
        <v>347</v>
      </c>
      <c r="I462" s="244" t="s">
        <v>1932</v>
      </c>
      <c r="J462" s="710"/>
      <c r="K462" s="712" t="s">
        <v>1928</v>
      </c>
      <c r="L462" s="710" t="s">
        <v>309</v>
      </c>
      <c r="M462" s="708" t="s">
        <v>1832</v>
      </c>
      <c r="N462" s="712" t="s">
        <v>1929</v>
      </c>
    </row>
    <row r="463" spans="1:14">
      <c r="A463" s="123">
        <v>23</v>
      </c>
      <c r="B463" s="689"/>
      <c r="C463" s="711"/>
      <c r="D463" s="711"/>
      <c r="E463" s="711"/>
      <c r="F463" s="711"/>
      <c r="G463" s="711"/>
      <c r="H463" s="818"/>
      <c r="I463" s="244" t="s">
        <v>1933</v>
      </c>
      <c r="J463" s="711"/>
      <c r="K463" s="713"/>
      <c r="L463" s="711"/>
      <c r="M463" s="709"/>
      <c r="N463" s="713"/>
    </row>
    <row r="464" spans="1:14" ht="24">
      <c r="A464" s="123">
        <v>23</v>
      </c>
      <c r="B464" s="689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9" t="s">
        <v>1937</v>
      </c>
      <c r="N464" s="244" t="s">
        <v>1938</v>
      </c>
    </row>
    <row r="465" spans="1:14">
      <c r="A465" s="123">
        <v>23</v>
      </c>
      <c r="B465" s="690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9" t="s">
        <v>1814</v>
      </c>
      <c r="N465" s="244" t="s">
        <v>1776</v>
      </c>
    </row>
    <row r="466" spans="1:14" ht="27">
      <c r="A466" s="123">
        <v>24</v>
      </c>
      <c r="B466" s="688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689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689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690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68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68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68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68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6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688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689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689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690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68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6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690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10">
        <v>300000</v>
      </c>
      <c r="N481" s="267" t="s">
        <v>1880</v>
      </c>
    </row>
    <row r="482" spans="1:14" ht="27">
      <c r="A482" s="123">
        <v>26</v>
      </c>
      <c r="B482" s="68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68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9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8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689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689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689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6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69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68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69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68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9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9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9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68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6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69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9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9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68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69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68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68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68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68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0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0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0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0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0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0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68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9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0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0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0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0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68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6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68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6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6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6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68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6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69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6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9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0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0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0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6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9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69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68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9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2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2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2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2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2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68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69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6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69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68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68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9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69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68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6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69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68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68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6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68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6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689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68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68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68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68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68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68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68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6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68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68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68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68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68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68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6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68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68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69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1">
        <v>500000</v>
      </c>
      <c r="N672" s="331" t="s">
        <v>128</v>
      </c>
    </row>
    <row r="673" spans="1:14" ht="27.75" thickTop="1">
      <c r="A673" s="358">
        <v>6</v>
      </c>
      <c r="B673" s="722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68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69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68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6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68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68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689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68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6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6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69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68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4" t="s">
        <v>672</v>
      </c>
      <c r="N685" s="129" t="s">
        <v>2726</v>
      </c>
    </row>
    <row r="686" spans="1:14">
      <c r="A686" s="123">
        <v>8</v>
      </c>
      <c r="B686" s="68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4" t="s">
        <v>672</v>
      </c>
      <c r="N686" s="129" t="s">
        <v>665</v>
      </c>
    </row>
    <row r="687" spans="1:14">
      <c r="A687" s="123">
        <v>8</v>
      </c>
      <c r="B687" s="689"/>
      <c r="C687" s="148" t="s">
        <v>2730</v>
      </c>
      <c r="D687" s="676" t="s">
        <v>306</v>
      </c>
      <c r="E687" s="676" t="s">
        <v>322</v>
      </c>
      <c r="F687" s="676" t="s">
        <v>307</v>
      </c>
      <c r="G687" s="678" t="s">
        <v>2723</v>
      </c>
      <c r="H687" s="676" t="s">
        <v>1047</v>
      </c>
      <c r="I687" s="678" t="s">
        <v>704</v>
      </c>
      <c r="J687" s="676" t="s">
        <v>664</v>
      </c>
      <c r="K687" s="718" t="s">
        <v>1767</v>
      </c>
      <c r="L687" s="676"/>
      <c r="M687" s="686" t="s">
        <v>458</v>
      </c>
      <c r="N687" s="676" t="s">
        <v>665</v>
      </c>
    </row>
    <row r="688" spans="1:14">
      <c r="A688" s="123">
        <v>8</v>
      </c>
      <c r="B688" s="689"/>
      <c r="C688" s="148" t="s">
        <v>2731</v>
      </c>
      <c r="D688" s="677"/>
      <c r="E688" s="677"/>
      <c r="F688" s="677"/>
      <c r="G688" s="679"/>
      <c r="H688" s="677"/>
      <c r="I688" s="679"/>
      <c r="J688" s="677"/>
      <c r="K688" s="719"/>
      <c r="L688" s="677"/>
      <c r="M688" s="687"/>
      <c r="N688" s="677"/>
    </row>
    <row r="689" spans="1:14">
      <c r="A689" s="123">
        <v>8</v>
      </c>
      <c r="B689" s="68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4" t="s">
        <v>672</v>
      </c>
      <c r="N689" s="129" t="s">
        <v>665</v>
      </c>
    </row>
    <row r="690" spans="1:14" ht="16.5" customHeight="1">
      <c r="A690" s="123">
        <v>8</v>
      </c>
      <c r="B690" s="689"/>
      <c r="C690" s="148" t="s">
        <v>2734</v>
      </c>
      <c r="D690" s="676" t="s">
        <v>306</v>
      </c>
      <c r="E690" s="676" t="s">
        <v>322</v>
      </c>
      <c r="F690" s="676" t="s">
        <v>307</v>
      </c>
      <c r="G690" s="678" t="s">
        <v>2735</v>
      </c>
      <c r="H690" s="676" t="s">
        <v>640</v>
      </c>
      <c r="I690" s="678" t="s">
        <v>668</v>
      </c>
      <c r="J690" s="676" t="s">
        <v>349</v>
      </c>
      <c r="K690" s="720" t="s">
        <v>2736</v>
      </c>
      <c r="L690" s="676"/>
      <c r="M690" s="686" t="s">
        <v>2773</v>
      </c>
      <c r="N690" s="676" t="s">
        <v>425</v>
      </c>
    </row>
    <row r="691" spans="1:14">
      <c r="A691" s="123">
        <v>8</v>
      </c>
      <c r="B691" s="690"/>
      <c r="C691" s="148" t="s">
        <v>2727</v>
      </c>
      <c r="D691" s="677"/>
      <c r="E691" s="677"/>
      <c r="F691" s="677"/>
      <c r="G691" s="679"/>
      <c r="H691" s="677"/>
      <c r="I691" s="679"/>
      <c r="J691" s="677"/>
      <c r="K691" s="721"/>
      <c r="L691" s="677"/>
      <c r="M691" s="687"/>
      <c r="N691" s="677"/>
    </row>
    <row r="692" spans="1:14">
      <c r="A692" s="123">
        <v>8</v>
      </c>
      <c r="B692" s="68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4" t="s">
        <v>672</v>
      </c>
      <c r="N692" s="151" t="s">
        <v>2741</v>
      </c>
    </row>
    <row r="693" spans="1:14" ht="16.5" customHeight="1">
      <c r="A693" s="123">
        <v>8</v>
      </c>
      <c r="B693" s="689"/>
      <c r="C693" s="676" t="s">
        <v>2772</v>
      </c>
      <c r="D693" s="676" t="s">
        <v>311</v>
      </c>
      <c r="E693" s="676" t="s">
        <v>675</v>
      </c>
      <c r="F693" s="149" t="s">
        <v>1810</v>
      </c>
      <c r="G693" s="678" t="s">
        <v>689</v>
      </c>
      <c r="H693" s="678" t="s">
        <v>662</v>
      </c>
      <c r="I693" s="678" t="s">
        <v>2743</v>
      </c>
      <c r="J693" s="678"/>
      <c r="K693" s="678" t="s">
        <v>698</v>
      </c>
      <c r="L693" s="676" t="s">
        <v>309</v>
      </c>
      <c r="M693" s="686" t="s">
        <v>672</v>
      </c>
      <c r="N693" s="676" t="s">
        <v>2744</v>
      </c>
    </row>
    <row r="694" spans="1:14">
      <c r="A694" s="123">
        <v>8</v>
      </c>
      <c r="B694" s="690"/>
      <c r="C694" s="677"/>
      <c r="D694" s="677"/>
      <c r="E694" s="677"/>
      <c r="F694" s="149" t="s">
        <v>2742</v>
      </c>
      <c r="G694" s="679"/>
      <c r="H694" s="679"/>
      <c r="I694" s="679"/>
      <c r="J694" s="679"/>
      <c r="K694" s="679"/>
      <c r="L694" s="677"/>
      <c r="M694" s="687"/>
      <c r="N694" s="696"/>
    </row>
    <row r="695" spans="1:14">
      <c r="A695" s="123">
        <v>9</v>
      </c>
      <c r="B695" s="688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9">
        <v>250000</v>
      </c>
      <c r="N695" s="243" t="s">
        <v>665</v>
      </c>
    </row>
    <row r="696" spans="1:14">
      <c r="A696" s="123">
        <v>9</v>
      </c>
      <c r="B696" s="689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9">
        <v>250000</v>
      </c>
      <c r="N696" s="243" t="s">
        <v>665</v>
      </c>
    </row>
    <row r="697" spans="1:14">
      <c r="A697" s="123">
        <v>9</v>
      </c>
      <c r="B697" s="689"/>
      <c r="C697" s="245" t="s">
        <v>2749</v>
      </c>
      <c r="D697" s="710" t="s">
        <v>306</v>
      </c>
      <c r="E697" s="710" t="s">
        <v>322</v>
      </c>
      <c r="F697" s="710" t="s">
        <v>307</v>
      </c>
      <c r="G697" s="712" t="s">
        <v>2750</v>
      </c>
      <c r="H697" s="710" t="s">
        <v>405</v>
      </c>
      <c r="I697" s="712" t="s">
        <v>2751</v>
      </c>
      <c r="J697" s="710" t="s">
        <v>664</v>
      </c>
      <c r="K697" s="716" t="s">
        <v>1761</v>
      </c>
      <c r="L697" s="710"/>
      <c r="M697" s="708">
        <v>750000</v>
      </c>
      <c r="N697" s="710" t="s">
        <v>665</v>
      </c>
    </row>
    <row r="698" spans="1:14">
      <c r="A698" s="123">
        <v>9</v>
      </c>
      <c r="B698" s="689"/>
      <c r="C698" s="245" t="s">
        <v>2752</v>
      </c>
      <c r="D698" s="711"/>
      <c r="E698" s="711"/>
      <c r="F698" s="711"/>
      <c r="G698" s="713"/>
      <c r="H698" s="711"/>
      <c r="I698" s="713"/>
      <c r="J698" s="711"/>
      <c r="K698" s="717"/>
      <c r="L698" s="711"/>
      <c r="M698" s="709"/>
      <c r="N698" s="711"/>
    </row>
    <row r="699" spans="1:14">
      <c r="A699" s="123">
        <v>9</v>
      </c>
      <c r="B699" s="689"/>
      <c r="C699" s="245" t="s">
        <v>2749</v>
      </c>
      <c r="D699" s="710" t="s">
        <v>306</v>
      </c>
      <c r="E699" s="710" t="s">
        <v>322</v>
      </c>
      <c r="F699" s="710" t="s">
        <v>307</v>
      </c>
      <c r="G699" s="712" t="s">
        <v>2753</v>
      </c>
      <c r="H699" s="710" t="s">
        <v>662</v>
      </c>
      <c r="I699" s="712" t="s">
        <v>668</v>
      </c>
      <c r="J699" s="710" t="s">
        <v>349</v>
      </c>
      <c r="K699" s="714" t="s">
        <v>2736</v>
      </c>
      <c r="L699" s="710"/>
      <c r="M699" s="708">
        <v>1000000</v>
      </c>
      <c r="N699" s="710" t="s">
        <v>425</v>
      </c>
    </row>
    <row r="700" spans="1:14">
      <c r="A700" s="123">
        <v>9</v>
      </c>
      <c r="B700" s="689"/>
      <c r="C700" s="245" t="s">
        <v>2754</v>
      </c>
      <c r="D700" s="711"/>
      <c r="E700" s="711"/>
      <c r="F700" s="711"/>
      <c r="G700" s="713"/>
      <c r="H700" s="711"/>
      <c r="I700" s="713"/>
      <c r="J700" s="711"/>
      <c r="K700" s="715"/>
      <c r="L700" s="711"/>
      <c r="M700" s="709"/>
      <c r="N700" s="711"/>
    </row>
    <row r="701" spans="1:14">
      <c r="A701" s="123">
        <v>9</v>
      </c>
      <c r="B701" s="690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9">
        <v>500000</v>
      </c>
      <c r="N701" s="243" t="s">
        <v>665</v>
      </c>
    </row>
    <row r="702" spans="1:14">
      <c r="A702" s="123">
        <v>10</v>
      </c>
      <c r="B702" s="68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68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69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68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68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69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68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68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68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69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68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69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68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90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68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68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68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69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68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89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68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6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68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06" t="s">
        <v>2825</v>
      </c>
    </row>
    <row r="734" spans="1:14" ht="27">
      <c r="A734" s="123">
        <v>15</v>
      </c>
      <c r="B734" s="68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07"/>
    </row>
    <row r="735" spans="1:14">
      <c r="A735" s="123">
        <v>15</v>
      </c>
      <c r="B735" s="6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6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6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68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68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68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9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690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1">
        <v>300000</v>
      </c>
      <c r="N745" s="369" t="s">
        <v>128</v>
      </c>
    </row>
    <row r="746" spans="1:14" ht="27">
      <c r="A746" s="123">
        <v>17</v>
      </c>
      <c r="B746" s="68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9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8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68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68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69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68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6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68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68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68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68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68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689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6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690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1">
        <v>1000000</v>
      </c>
      <c r="N770" s="331" t="s">
        <v>2893</v>
      </c>
    </row>
    <row r="771" spans="1:17" ht="27">
      <c r="A771" s="123">
        <v>21</v>
      </c>
      <c r="B771" s="68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9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68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68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69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6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8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9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68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68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69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688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6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0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0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0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68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68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68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68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69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688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689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689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690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688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9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9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9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9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68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9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9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9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68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68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68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68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6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8" t="s">
        <v>3101</v>
      </c>
      <c r="C835" s="148" t="s">
        <v>3083</v>
      </c>
      <c r="D835" s="676" t="s">
        <v>306</v>
      </c>
      <c r="E835" s="676" t="s">
        <v>322</v>
      </c>
      <c r="F835" s="676" t="s">
        <v>307</v>
      </c>
      <c r="G835" s="678" t="s">
        <v>3055</v>
      </c>
      <c r="H835" s="676" t="s">
        <v>1997</v>
      </c>
      <c r="I835" s="678" t="s">
        <v>3056</v>
      </c>
      <c r="J835" s="676" t="s">
        <v>664</v>
      </c>
      <c r="K835" s="148" t="s">
        <v>3085</v>
      </c>
      <c r="L835" s="676"/>
      <c r="M835" s="698" t="s">
        <v>3086</v>
      </c>
      <c r="N835" s="148" t="s">
        <v>3087</v>
      </c>
    </row>
    <row r="836" spans="1:14">
      <c r="A836" s="123">
        <v>29</v>
      </c>
      <c r="B836" s="689"/>
      <c r="C836" s="148" t="s">
        <v>3084</v>
      </c>
      <c r="D836" s="696"/>
      <c r="E836" s="696"/>
      <c r="F836" s="696"/>
      <c r="G836" s="697"/>
      <c r="H836" s="696"/>
      <c r="I836" s="697"/>
      <c r="J836" s="696"/>
      <c r="K836" s="148" t="s">
        <v>707</v>
      </c>
      <c r="L836" s="696"/>
      <c r="M836" s="699"/>
      <c r="N836" s="148"/>
    </row>
    <row r="837" spans="1:14">
      <c r="A837" s="123">
        <v>29</v>
      </c>
      <c r="B837" s="689"/>
      <c r="C837" s="148"/>
      <c r="D837" s="677"/>
      <c r="E837" s="677"/>
      <c r="F837" s="677"/>
      <c r="G837" s="679"/>
      <c r="H837" s="677"/>
      <c r="I837" s="679"/>
      <c r="J837" s="677"/>
      <c r="K837" s="148"/>
      <c r="L837" s="677"/>
      <c r="M837" s="700"/>
      <c r="N837" s="148" t="s">
        <v>3088</v>
      </c>
    </row>
    <row r="838" spans="1:14">
      <c r="A838" s="123">
        <v>29</v>
      </c>
      <c r="B838" s="68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11" t="s">
        <v>1814</v>
      </c>
      <c r="N838" s="148" t="s">
        <v>3089</v>
      </c>
    </row>
    <row r="839" spans="1:14">
      <c r="A839" s="123">
        <v>29</v>
      </c>
      <c r="B839" s="69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11" t="s">
        <v>1814</v>
      </c>
      <c r="N839" s="148" t="s">
        <v>3090</v>
      </c>
    </row>
    <row r="840" spans="1:14">
      <c r="A840" s="123">
        <v>29</v>
      </c>
      <c r="B840" s="688" t="s">
        <v>21</v>
      </c>
      <c r="C840" s="111" t="s">
        <v>3091</v>
      </c>
      <c r="D840" s="676" t="s">
        <v>311</v>
      </c>
      <c r="E840" s="676" t="s">
        <v>320</v>
      </c>
      <c r="F840" s="678" t="s">
        <v>2605</v>
      </c>
      <c r="G840" s="678" t="s">
        <v>3063</v>
      </c>
      <c r="H840" s="678" t="s">
        <v>3064</v>
      </c>
      <c r="I840" s="678" t="s">
        <v>3065</v>
      </c>
      <c r="J840" s="678" t="s">
        <v>702</v>
      </c>
      <c r="K840" s="678" t="s">
        <v>3066</v>
      </c>
      <c r="L840" s="676" t="s">
        <v>309</v>
      </c>
      <c r="M840" s="698" t="s">
        <v>1820</v>
      </c>
      <c r="N840" s="676" t="s">
        <v>3092</v>
      </c>
    </row>
    <row r="841" spans="1:14">
      <c r="A841" s="123">
        <v>29</v>
      </c>
      <c r="B841" s="689"/>
      <c r="C841" s="111" t="s">
        <v>3069</v>
      </c>
      <c r="D841" s="677"/>
      <c r="E841" s="677"/>
      <c r="F841" s="679"/>
      <c r="G841" s="679"/>
      <c r="H841" s="679"/>
      <c r="I841" s="679"/>
      <c r="J841" s="679"/>
      <c r="K841" s="679"/>
      <c r="L841" s="677"/>
      <c r="M841" s="700"/>
      <c r="N841" s="677"/>
    </row>
    <row r="842" spans="1:14">
      <c r="A842" s="123">
        <v>29</v>
      </c>
      <c r="B842" s="68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11" t="s">
        <v>1832</v>
      </c>
      <c r="N842" s="148" t="s">
        <v>3092</v>
      </c>
    </row>
    <row r="843" spans="1:14">
      <c r="A843" s="123">
        <v>29</v>
      </c>
      <c r="B843" s="68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11" t="s">
        <v>1535</v>
      </c>
      <c r="N843" s="148" t="s">
        <v>3092</v>
      </c>
    </row>
    <row r="844" spans="1:14">
      <c r="A844" s="123">
        <v>29</v>
      </c>
      <c r="B844" s="689"/>
      <c r="C844" s="111" t="s">
        <v>3083</v>
      </c>
      <c r="D844" s="676" t="s">
        <v>311</v>
      </c>
      <c r="E844" s="676" t="s">
        <v>320</v>
      </c>
      <c r="F844" s="678" t="s">
        <v>3072</v>
      </c>
      <c r="G844" s="678" t="s">
        <v>1923</v>
      </c>
      <c r="H844" s="678" t="s">
        <v>3073</v>
      </c>
      <c r="I844" s="149" t="s">
        <v>3094</v>
      </c>
      <c r="J844" s="678"/>
      <c r="K844" s="678" t="s">
        <v>3074</v>
      </c>
      <c r="L844" s="676" t="s">
        <v>309</v>
      </c>
      <c r="M844" s="704" t="s">
        <v>3096</v>
      </c>
      <c r="N844" s="676" t="s">
        <v>1206</v>
      </c>
    </row>
    <row r="845" spans="1:14">
      <c r="A845" s="123">
        <v>29</v>
      </c>
      <c r="B845" s="689"/>
      <c r="C845" s="111" t="s">
        <v>3093</v>
      </c>
      <c r="D845" s="677"/>
      <c r="E845" s="677"/>
      <c r="F845" s="679"/>
      <c r="G845" s="679"/>
      <c r="H845" s="679"/>
      <c r="I845" s="149" t="s">
        <v>3095</v>
      </c>
      <c r="J845" s="679"/>
      <c r="K845" s="679"/>
      <c r="L845" s="677"/>
      <c r="M845" s="705"/>
      <c r="N845" s="677"/>
    </row>
    <row r="846" spans="1:14">
      <c r="A846" s="123">
        <v>29</v>
      </c>
      <c r="B846" s="689"/>
      <c r="C846" s="111" t="s">
        <v>3083</v>
      </c>
      <c r="D846" s="676" t="s">
        <v>311</v>
      </c>
      <c r="E846" s="676" t="s">
        <v>320</v>
      </c>
      <c r="F846" s="678" t="s">
        <v>2605</v>
      </c>
      <c r="G846" s="678" t="s">
        <v>3063</v>
      </c>
      <c r="H846" s="678" t="s">
        <v>3064</v>
      </c>
      <c r="I846" s="678" t="s">
        <v>3075</v>
      </c>
      <c r="J846" s="678" t="s">
        <v>702</v>
      </c>
      <c r="K846" s="678" t="s">
        <v>1054</v>
      </c>
      <c r="L846" s="676" t="s">
        <v>309</v>
      </c>
      <c r="M846" s="698" t="s">
        <v>3098</v>
      </c>
      <c r="N846" s="676" t="s">
        <v>3099</v>
      </c>
    </row>
    <row r="847" spans="1:14">
      <c r="A847" s="123">
        <v>29</v>
      </c>
      <c r="B847" s="689"/>
      <c r="C847" s="111"/>
      <c r="D847" s="696"/>
      <c r="E847" s="696"/>
      <c r="F847" s="697"/>
      <c r="G847" s="697"/>
      <c r="H847" s="697"/>
      <c r="I847" s="697"/>
      <c r="J847" s="697"/>
      <c r="K847" s="697"/>
      <c r="L847" s="696"/>
      <c r="M847" s="699"/>
      <c r="N847" s="696"/>
    </row>
    <row r="848" spans="1:14">
      <c r="A848" s="123">
        <v>29</v>
      </c>
      <c r="B848" s="689"/>
      <c r="C848" s="111" t="s">
        <v>3097</v>
      </c>
      <c r="D848" s="677"/>
      <c r="E848" s="677"/>
      <c r="F848" s="679"/>
      <c r="G848" s="679"/>
      <c r="H848" s="679"/>
      <c r="I848" s="679"/>
      <c r="J848" s="679"/>
      <c r="K848" s="679"/>
      <c r="L848" s="677"/>
      <c r="M848" s="700"/>
      <c r="N848" s="677"/>
    </row>
    <row r="849" spans="1:14">
      <c r="A849" s="123">
        <v>29</v>
      </c>
      <c r="B849" s="689"/>
      <c r="C849" s="111" t="s">
        <v>3100</v>
      </c>
      <c r="D849" s="676" t="s">
        <v>311</v>
      </c>
      <c r="E849" s="676" t="s">
        <v>320</v>
      </c>
      <c r="F849" s="678" t="s">
        <v>337</v>
      </c>
      <c r="G849" s="678" t="s">
        <v>3076</v>
      </c>
      <c r="H849" s="678" t="s">
        <v>354</v>
      </c>
      <c r="I849" s="678" t="s">
        <v>310</v>
      </c>
      <c r="J849" s="678" t="s">
        <v>638</v>
      </c>
      <c r="K849" s="678" t="s">
        <v>3077</v>
      </c>
      <c r="L849" s="676" t="s">
        <v>309</v>
      </c>
      <c r="M849" s="698" t="s">
        <v>1820</v>
      </c>
      <c r="N849" s="676" t="s">
        <v>3099</v>
      </c>
    </row>
    <row r="850" spans="1:14">
      <c r="A850" s="123">
        <v>29</v>
      </c>
      <c r="B850" s="690"/>
      <c r="C850" s="111" t="s">
        <v>3093</v>
      </c>
      <c r="D850" s="677"/>
      <c r="E850" s="677"/>
      <c r="F850" s="679"/>
      <c r="G850" s="679"/>
      <c r="H850" s="679"/>
      <c r="I850" s="679"/>
      <c r="J850" s="679"/>
      <c r="K850" s="679"/>
      <c r="L850" s="677"/>
      <c r="M850" s="700"/>
      <c r="N850" s="677"/>
    </row>
    <row r="851" spans="1:14">
      <c r="A851" s="123">
        <v>30</v>
      </c>
      <c r="B851" s="69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6" t="s">
        <v>1535</v>
      </c>
      <c r="N851" s="148" t="s">
        <v>665</v>
      </c>
    </row>
    <row r="852" spans="1:14">
      <c r="A852" s="123">
        <v>30</v>
      </c>
      <c r="B852" s="69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6" t="s">
        <v>1814</v>
      </c>
      <c r="N852" s="148" t="s">
        <v>425</v>
      </c>
    </row>
    <row r="853" spans="1:14">
      <c r="A853" s="123">
        <v>30</v>
      </c>
      <c r="B853" s="692"/>
      <c r="C853" s="148" t="s">
        <v>3110</v>
      </c>
      <c r="D853" s="676" t="s">
        <v>306</v>
      </c>
      <c r="E853" s="676" t="s">
        <v>322</v>
      </c>
      <c r="F853" s="676" t="s">
        <v>307</v>
      </c>
      <c r="G853" s="678" t="s">
        <v>3055</v>
      </c>
      <c r="H853" s="676" t="s">
        <v>1997</v>
      </c>
      <c r="I853" s="678" t="s">
        <v>3112</v>
      </c>
      <c r="J853" s="676" t="s">
        <v>664</v>
      </c>
      <c r="K853" s="148" t="s">
        <v>3113</v>
      </c>
      <c r="L853" s="676"/>
      <c r="M853" s="686" t="s">
        <v>3114</v>
      </c>
      <c r="N853" s="676" t="s">
        <v>665</v>
      </c>
    </row>
    <row r="854" spans="1:14">
      <c r="A854" s="123">
        <v>30</v>
      </c>
      <c r="B854" s="692"/>
      <c r="C854" s="148" t="s">
        <v>3111</v>
      </c>
      <c r="D854" s="677"/>
      <c r="E854" s="677"/>
      <c r="F854" s="677"/>
      <c r="G854" s="679"/>
      <c r="H854" s="677"/>
      <c r="I854" s="679"/>
      <c r="J854" s="677"/>
      <c r="K854" s="148" t="s">
        <v>655</v>
      </c>
      <c r="L854" s="677"/>
      <c r="M854" s="687"/>
      <c r="N854" s="677"/>
    </row>
    <row r="855" spans="1:14">
      <c r="A855" s="123">
        <v>30</v>
      </c>
      <c r="B855" s="69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6" t="s">
        <v>1814</v>
      </c>
      <c r="N855" s="148" t="s">
        <v>665</v>
      </c>
    </row>
    <row r="856" spans="1:14">
      <c r="A856" s="123">
        <v>30</v>
      </c>
      <c r="B856" s="688" t="s">
        <v>3120</v>
      </c>
      <c r="C856" s="694" t="s">
        <v>3121</v>
      </c>
      <c r="D856" s="676" t="s">
        <v>311</v>
      </c>
      <c r="E856" s="676" t="s">
        <v>320</v>
      </c>
      <c r="F856" s="678" t="s">
        <v>2605</v>
      </c>
      <c r="G856" s="678" t="s">
        <v>2753</v>
      </c>
      <c r="H856" s="678" t="s">
        <v>347</v>
      </c>
      <c r="I856" s="678" t="s">
        <v>3122</v>
      </c>
      <c r="J856" s="678" t="s">
        <v>638</v>
      </c>
      <c r="K856" s="678" t="s">
        <v>698</v>
      </c>
      <c r="L856" s="676" t="s">
        <v>309</v>
      </c>
      <c r="M856" s="686" t="s">
        <v>1814</v>
      </c>
      <c r="N856" s="148" t="s">
        <v>3123</v>
      </c>
    </row>
    <row r="857" spans="1:14">
      <c r="A857" s="123">
        <v>30</v>
      </c>
      <c r="B857" s="689"/>
      <c r="C857" s="695"/>
      <c r="D857" s="677"/>
      <c r="E857" s="677"/>
      <c r="F857" s="679"/>
      <c r="G857" s="679"/>
      <c r="H857" s="679"/>
      <c r="I857" s="679"/>
      <c r="J857" s="679"/>
      <c r="K857" s="679"/>
      <c r="L857" s="677"/>
      <c r="M857" s="687"/>
      <c r="N857" s="148" t="s">
        <v>3124</v>
      </c>
    </row>
    <row r="858" spans="1:14" ht="16.5" customHeight="1">
      <c r="A858" s="123">
        <v>30</v>
      </c>
      <c r="B858" s="689"/>
      <c r="C858" s="694" t="s">
        <v>3121</v>
      </c>
      <c r="D858" s="676" t="s">
        <v>311</v>
      </c>
      <c r="E858" s="676" t="s">
        <v>320</v>
      </c>
      <c r="F858" s="678" t="s">
        <v>709</v>
      </c>
      <c r="G858" s="149" t="s">
        <v>3125</v>
      </c>
      <c r="H858" s="678" t="s">
        <v>640</v>
      </c>
      <c r="I858" s="678" t="s">
        <v>3126</v>
      </c>
      <c r="J858" s="678"/>
      <c r="K858" s="678" t="s">
        <v>692</v>
      </c>
      <c r="L858" s="676" t="s">
        <v>309</v>
      </c>
      <c r="M858" s="686" t="s">
        <v>1535</v>
      </c>
      <c r="N858" s="676" t="s">
        <v>1776</v>
      </c>
    </row>
    <row r="859" spans="1:14">
      <c r="A859" s="123">
        <v>30</v>
      </c>
      <c r="B859" s="689"/>
      <c r="C859" s="695"/>
      <c r="D859" s="677"/>
      <c r="E859" s="677"/>
      <c r="F859" s="679"/>
      <c r="G859" s="149">
        <v>2651</v>
      </c>
      <c r="H859" s="679"/>
      <c r="I859" s="679"/>
      <c r="J859" s="679"/>
      <c r="K859" s="679"/>
      <c r="L859" s="677"/>
      <c r="M859" s="687"/>
      <c r="N859" s="677"/>
    </row>
    <row r="860" spans="1:14">
      <c r="A860" s="123">
        <v>30</v>
      </c>
      <c r="B860" s="689"/>
      <c r="C860" s="694" t="s">
        <v>3127</v>
      </c>
      <c r="D860" s="676" t="s">
        <v>311</v>
      </c>
      <c r="E860" s="676" t="s">
        <v>320</v>
      </c>
      <c r="F860" s="678" t="s">
        <v>720</v>
      </c>
      <c r="G860" s="678" t="s">
        <v>1760</v>
      </c>
      <c r="H860" s="678" t="s">
        <v>347</v>
      </c>
      <c r="I860" s="149" t="s">
        <v>3128</v>
      </c>
      <c r="J860" s="678"/>
      <c r="K860" s="678" t="s">
        <v>3130</v>
      </c>
      <c r="L860" s="676" t="s">
        <v>309</v>
      </c>
      <c r="M860" s="686" t="s">
        <v>1937</v>
      </c>
      <c r="N860" s="676" t="s">
        <v>1206</v>
      </c>
    </row>
    <row r="861" spans="1:14">
      <c r="A861" s="123">
        <v>30</v>
      </c>
      <c r="B861" s="689"/>
      <c r="C861" s="695"/>
      <c r="D861" s="677"/>
      <c r="E861" s="677"/>
      <c r="F861" s="679"/>
      <c r="G861" s="679"/>
      <c r="H861" s="679"/>
      <c r="I861" s="149" t="s">
        <v>3129</v>
      </c>
      <c r="J861" s="679"/>
      <c r="K861" s="679"/>
      <c r="L861" s="677"/>
      <c r="M861" s="687"/>
      <c r="N861" s="677"/>
    </row>
    <row r="862" spans="1:14">
      <c r="A862" s="123">
        <v>30</v>
      </c>
      <c r="B862" s="689"/>
      <c r="C862" s="111" t="s">
        <v>3131</v>
      </c>
      <c r="D862" s="676" t="s">
        <v>311</v>
      </c>
      <c r="E862" s="676" t="s">
        <v>320</v>
      </c>
      <c r="F862" s="678" t="s">
        <v>690</v>
      </c>
      <c r="G862" s="678" t="s">
        <v>3070</v>
      </c>
      <c r="H862" s="678" t="s">
        <v>354</v>
      </c>
      <c r="I862" s="678" t="s">
        <v>3133</v>
      </c>
      <c r="J862" s="678" t="s">
        <v>638</v>
      </c>
      <c r="K862" s="678" t="s">
        <v>655</v>
      </c>
      <c r="L862" s="676" t="s">
        <v>309</v>
      </c>
      <c r="M862" s="686" t="s">
        <v>1535</v>
      </c>
      <c r="N862" s="676" t="s">
        <v>1206</v>
      </c>
    </row>
    <row r="863" spans="1:14">
      <c r="A863" s="123">
        <v>30</v>
      </c>
      <c r="B863" s="689"/>
      <c r="C863" s="111" t="s">
        <v>3132</v>
      </c>
      <c r="D863" s="677"/>
      <c r="E863" s="677"/>
      <c r="F863" s="679"/>
      <c r="G863" s="679"/>
      <c r="H863" s="679"/>
      <c r="I863" s="679"/>
      <c r="J863" s="679"/>
      <c r="K863" s="679"/>
      <c r="L863" s="677"/>
      <c r="M863" s="687"/>
      <c r="N863" s="677"/>
    </row>
    <row r="864" spans="1:14">
      <c r="A864" s="123">
        <v>30</v>
      </c>
      <c r="B864" s="689"/>
      <c r="C864" s="111" t="s">
        <v>3134</v>
      </c>
      <c r="D864" s="676" t="s">
        <v>311</v>
      </c>
      <c r="E864" s="676" t="s">
        <v>320</v>
      </c>
      <c r="F864" s="678" t="s">
        <v>337</v>
      </c>
      <c r="G864" s="678" t="s">
        <v>3076</v>
      </c>
      <c r="H864" s="678" t="s">
        <v>354</v>
      </c>
      <c r="I864" s="678" t="s">
        <v>3135</v>
      </c>
      <c r="J864" s="678" t="s">
        <v>638</v>
      </c>
      <c r="K864" s="678" t="s">
        <v>713</v>
      </c>
      <c r="L864" s="676" t="s">
        <v>309</v>
      </c>
      <c r="M864" s="686" t="s">
        <v>1814</v>
      </c>
      <c r="N864" s="676" t="s">
        <v>1206</v>
      </c>
    </row>
    <row r="865" spans="1:14">
      <c r="A865" s="123">
        <v>30</v>
      </c>
      <c r="B865" s="689"/>
      <c r="C865" s="111" t="s">
        <v>3111</v>
      </c>
      <c r="D865" s="677"/>
      <c r="E865" s="677"/>
      <c r="F865" s="679"/>
      <c r="G865" s="679"/>
      <c r="H865" s="679"/>
      <c r="I865" s="679"/>
      <c r="J865" s="679"/>
      <c r="K865" s="679"/>
      <c r="L865" s="677"/>
      <c r="M865" s="687"/>
      <c r="N865" s="677"/>
    </row>
    <row r="866" spans="1:14" ht="25.5">
      <c r="A866" s="123">
        <v>30</v>
      </c>
      <c r="B866" s="68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6" t="s">
        <v>1832</v>
      </c>
      <c r="N866" s="148" t="s">
        <v>1206</v>
      </c>
    </row>
    <row r="867" spans="1:14">
      <c r="A867" s="123">
        <v>30</v>
      </c>
      <c r="B867" s="689"/>
      <c r="C867" s="694" t="s">
        <v>3115</v>
      </c>
      <c r="D867" s="676" t="s">
        <v>311</v>
      </c>
      <c r="E867" s="676" t="s">
        <v>675</v>
      </c>
      <c r="F867" s="678" t="s">
        <v>660</v>
      </c>
      <c r="G867" s="678" t="s">
        <v>661</v>
      </c>
      <c r="H867" s="678" t="s">
        <v>662</v>
      </c>
      <c r="I867" s="149" t="s">
        <v>3138</v>
      </c>
      <c r="J867" s="678" t="s">
        <v>638</v>
      </c>
      <c r="K867" s="678" t="s">
        <v>731</v>
      </c>
      <c r="L867" s="676" t="s">
        <v>309</v>
      </c>
      <c r="M867" s="686" t="s">
        <v>1832</v>
      </c>
      <c r="N867" s="676" t="s">
        <v>3140</v>
      </c>
    </row>
    <row r="868" spans="1:14">
      <c r="A868" s="123">
        <v>30</v>
      </c>
      <c r="B868" s="690"/>
      <c r="C868" s="695"/>
      <c r="D868" s="677"/>
      <c r="E868" s="677"/>
      <c r="F868" s="679"/>
      <c r="G868" s="679"/>
      <c r="H868" s="679"/>
      <c r="I868" s="149" t="s">
        <v>3139</v>
      </c>
      <c r="J868" s="679"/>
      <c r="K868" s="679"/>
      <c r="L868" s="677"/>
      <c r="M868" s="687"/>
      <c r="N868" s="677"/>
    </row>
    <row r="869" spans="1:14">
      <c r="A869" s="123">
        <v>31</v>
      </c>
      <c r="B869" s="68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6" t="s">
        <v>3143</v>
      </c>
      <c r="N869" s="148" t="s">
        <v>665</v>
      </c>
    </row>
    <row r="870" spans="1:14" ht="16.5" customHeight="1">
      <c r="A870" s="123">
        <v>31</v>
      </c>
      <c r="B870" s="689"/>
      <c r="C870" s="148" t="s">
        <v>3144</v>
      </c>
      <c r="D870" s="676" t="s">
        <v>306</v>
      </c>
      <c r="E870" s="676" t="s">
        <v>322</v>
      </c>
      <c r="F870" s="676" t="s">
        <v>307</v>
      </c>
      <c r="G870" s="678">
        <v>1566</v>
      </c>
      <c r="H870" s="676" t="s">
        <v>1915</v>
      </c>
      <c r="I870" s="678" t="s">
        <v>3146</v>
      </c>
      <c r="J870" s="676" t="s">
        <v>664</v>
      </c>
      <c r="K870" s="676" t="s">
        <v>3147</v>
      </c>
      <c r="L870" s="676"/>
      <c r="M870" s="686" t="s">
        <v>3148</v>
      </c>
      <c r="N870" s="676" t="s">
        <v>665</v>
      </c>
    </row>
    <row r="871" spans="1:14">
      <c r="A871" s="123">
        <v>31</v>
      </c>
      <c r="B871" s="689"/>
      <c r="C871" s="148" t="s">
        <v>3145</v>
      </c>
      <c r="D871" s="677"/>
      <c r="E871" s="677"/>
      <c r="F871" s="677"/>
      <c r="G871" s="679"/>
      <c r="H871" s="677"/>
      <c r="I871" s="679"/>
      <c r="J871" s="677"/>
      <c r="K871" s="677"/>
      <c r="L871" s="677"/>
      <c r="M871" s="687"/>
      <c r="N871" s="677"/>
    </row>
    <row r="872" spans="1:14">
      <c r="A872" s="123">
        <v>31</v>
      </c>
      <c r="B872" s="68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6" t="s">
        <v>3143</v>
      </c>
      <c r="N872" s="148" t="s">
        <v>665</v>
      </c>
    </row>
    <row r="873" spans="1:14" ht="16.5" customHeight="1">
      <c r="A873" s="123">
        <v>31</v>
      </c>
      <c r="B873" s="689"/>
      <c r="C873" s="395" t="s">
        <v>3144</v>
      </c>
      <c r="D873" s="676" t="s">
        <v>306</v>
      </c>
      <c r="E873" s="676" t="s">
        <v>322</v>
      </c>
      <c r="F873" s="676" t="s">
        <v>307</v>
      </c>
      <c r="G873" s="678" t="s">
        <v>3151</v>
      </c>
      <c r="H873" s="676" t="s">
        <v>3152</v>
      </c>
      <c r="I873" s="678" t="s">
        <v>332</v>
      </c>
      <c r="J873" s="676" t="s">
        <v>1534</v>
      </c>
      <c r="K873" s="676" t="s">
        <v>1157</v>
      </c>
      <c r="L873" s="676"/>
      <c r="M873" s="686" t="s">
        <v>3153</v>
      </c>
      <c r="N873" s="676" t="s">
        <v>425</v>
      </c>
    </row>
    <row r="874" spans="1:14">
      <c r="A874" s="123">
        <v>31</v>
      </c>
      <c r="B874" s="690"/>
      <c r="C874" s="395" t="s">
        <v>3150</v>
      </c>
      <c r="D874" s="677"/>
      <c r="E874" s="677"/>
      <c r="F874" s="677"/>
      <c r="G874" s="679"/>
      <c r="H874" s="677"/>
      <c r="I874" s="679"/>
      <c r="J874" s="677"/>
      <c r="K874" s="677"/>
      <c r="L874" s="677"/>
      <c r="M874" s="687"/>
      <c r="N874" s="677"/>
    </row>
    <row r="875" spans="1:14">
      <c r="A875" s="123">
        <v>31</v>
      </c>
      <c r="B875" s="68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6" t="s">
        <v>3143</v>
      </c>
      <c r="N875" s="148" t="s">
        <v>3155</v>
      </c>
    </row>
    <row r="876" spans="1:14" ht="16.5" customHeight="1">
      <c r="A876" s="123">
        <v>31</v>
      </c>
      <c r="B876" s="689"/>
      <c r="C876" s="676" t="s">
        <v>3132</v>
      </c>
      <c r="D876" s="676" t="s">
        <v>311</v>
      </c>
      <c r="E876" s="676" t="s">
        <v>675</v>
      </c>
      <c r="F876" s="678" t="s">
        <v>660</v>
      </c>
      <c r="G876" s="678" t="s">
        <v>661</v>
      </c>
      <c r="H876" s="678" t="s">
        <v>662</v>
      </c>
      <c r="I876" s="149" t="s">
        <v>3138</v>
      </c>
      <c r="J876" s="678"/>
      <c r="K876" s="678" t="s">
        <v>698</v>
      </c>
      <c r="L876" s="676" t="s">
        <v>309</v>
      </c>
      <c r="M876" s="686" t="s">
        <v>3143</v>
      </c>
      <c r="N876" s="676" t="s">
        <v>3156</v>
      </c>
    </row>
    <row r="877" spans="1:14">
      <c r="A877" s="123">
        <v>31</v>
      </c>
      <c r="B877" s="689"/>
      <c r="C877" s="677"/>
      <c r="D877" s="677"/>
      <c r="E877" s="677"/>
      <c r="F877" s="679"/>
      <c r="G877" s="679"/>
      <c r="H877" s="679"/>
      <c r="I877" s="149" t="s">
        <v>3139</v>
      </c>
      <c r="J877" s="679"/>
      <c r="K877" s="679"/>
      <c r="L877" s="677"/>
      <c r="M877" s="687"/>
      <c r="N877" s="677"/>
    </row>
    <row r="878" spans="1:14" ht="16.5" customHeight="1">
      <c r="A878" s="123">
        <v>31</v>
      </c>
      <c r="B878" s="689"/>
      <c r="C878" s="148" t="s">
        <v>3157</v>
      </c>
      <c r="D878" s="676" t="s">
        <v>311</v>
      </c>
      <c r="E878" s="676" t="s">
        <v>320</v>
      </c>
      <c r="F878" s="678" t="s">
        <v>3072</v>
      </c>
      <c r="G878" s="678" t="s">
        <v>1923</v>
      </c>
      <c r="H878" s="678" t="s">
        <v>3073</v>
      </c>
      <c r="I878" s="678" t="s">
        <v>3158</v>
      </c>
      <c r="J878" s="678"/>
      <c r="K878" s="678" t="s">
        <v>3159</v>
      </c>
      <c r="L878" s="676" t="s">
        <v>309</v>
      </c>
      <c r="M878" s="686" t="s">
        <v>3160</v>
      </c>
      <c r="N878" s="676" t="s">
        <v>3155</v>
      </c>
    </row>
    <row r="879" spans="1:14">
      <c r="A879" s="123">
        <v>31</v>
      </c>
      <c r="B879" s="689"/>
      <c r="C879" s="148" t="s">
        <v>3115</v>
      </c>
      <c r="D879" s="677"/>
      <c r="E879" s="677"/>
      <c r="F879" s="679"/>
      <c r="G879" s="679"/>
      <c r="H879" s="679"/>
      <c r="I879" s="679"/>
      <c r="J879" s="679"/>
      <c r="K879" s="679"/>
      <c r="L879" s="677"/>
      <c r="M879" s="687"/>
      <c r="N879" s="677"/>
    </row>
    <row r="880" spans="1:14">
      <c r="A880" s="123">
        <v>31</v>
      </c>
      <c r="B880" s="68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6" t="s">
        <v>3162</v>
      </c>
      <c r="N880" s="148" t="s">
        <v>3156</v>
      </c>
    </row>
    <row r="881" spans="1:14">
      <c r="A881" s="123">
        <v>31</v>
      </c>
      <c r="B881" s="689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6" t="s">
        <v>3168</v>
      </c>
      <c r="N881" s="148" t="s">
        <v>1206</v>
      </c>
    </row>
    <row r="882" spans="1:14">
      <c r="A882" s="123">
        <v>31</v>
      </c>
      <c r="B882" s="68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6" t="s">
        <v>3143</v>
      </c>
      <c r="N882" s="148" t="s">
        <v>1206</v>
      </c>
    </row>
    <row r="883" spans="1:14" ht="16.5" customHeight="1">
      <c r="A883" s="123">
        <v>31</v>
      </c>
      <c r="B883" s="689"/>
      <c r="C883" s="111" t="s">
        <v>3170</v>
      </c>
      <c r="D883" s="676" t="s">
        <v>311</v>
      </c>
      <c r="E883" s="676" t="s">
        <v>320</v>
      </c>
      <c r="F883" s="678" t="s">
        <v>337</v>
      </c>
      <c r="G883" s="678" t="s">
        <v>3172</v>
      </c>
      <c r="H883" s="678" t="s">
        <v>3173</v>
      </c>
      <c r="I883" s="678" t="s">
        <v>3174</v>
      </c>
      <c r="J883" s="678" t="s">
        <v>3175</v>
      </c>
      <c r="K883" s="678" t="s">
        <v>3176</v>
      </c>
      <c r="L883" s="676" t="s">
        <v>309</v>
      </c>
      <c r="M883" s="686" t="s">
        <v>3177</v>
      </c>
      <c r="N883" s="676" t="s">
        <v>3140</v>
      </c>
    </row>
    <row r="884" spans="1:14">
      <c r="A884" s="123">
        <v>31</v>
      </c>
      <c r="B884" s="690"/>
      <c r="C884" s="111" t="s">
        <v>3171</v>
      </c>
      <c r="D884" s="677"/>
      <c r="E884" s="677"/>
      <c r="F884" s="679"/>
      <c r="G884" s="679"/>
      <c r="H884" s="679"/>
      <c r="I884" s="679"/>
      <c r="J884" s="679"/>
      <c r="K884" s="679"/>
      <c r="L884" s="677"/>
      <c r="M884" s="687"/>
      <c r="N884" s="677"/>
    </row>
    <row r="885" spans="1:14" ht="27">
      <c r="A885" s="123">
        <v>32</v>
      </c>
      <c r="B885" s="683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684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684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685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683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684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684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685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683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684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685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683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684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685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68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81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81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82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8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68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68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681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68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68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68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68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68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81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81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81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81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82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80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68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681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681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68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68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681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681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68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682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67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4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67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67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67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67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67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4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67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67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67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67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67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67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67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67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4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4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67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4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4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4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4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4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4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4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4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4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4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4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4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4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4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4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4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4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4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4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4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4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4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4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674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674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674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4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4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4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4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4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4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4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4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4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4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4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4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4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4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4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4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674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123">
        <v>53</v>
      </c>
      <c r="B1177" s="674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123">
        <v>53</v>
      </c>
      <c r="B1178" s="674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123">
        <v>53</v>
      </c>
      <c r="B1179" s="674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123">
        <v>53</v>
      </c>
      <c r="B1180" s="674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123">
        <v>53</v>
      </c>
      <c r="B1181" s="674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123">
        <v>53</v>
      </c>
      <c r="B1182" s="674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123">
        <v>53</v>
      </c>
      <c r="B1183" s="674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674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674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123">
        <v>1</v>
      </c>
      <c r="B1186" s="674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123">
        <v>1</v>
      </c>
      <c r="B1187" s="674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123">
        <v>1</v>
      </c>
      <c r="B1188" s="674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123">
        <v>2</v>
      </c>
      <c r="B1189" s="675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6">
        <v>750000</v>
      </c>
      <c r="N1189" s="148" t="s">
        <v>4967</v>
      </c>
    </row>
    <row r="1190" spans="1:14">
      <c r="A1190" s="123">
        <v>2</v>
      </c>
      <c r="B1190" s="675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6">
        <v>250000</v>
      </c>
      <c r="N1190" s="148" t="s">
        <v>4967</v>
      </c>
    </row>
    <row r="1191" spans="1:14">
      <c r="A1191" s="123">
        <v>2</v>
      </c>
      <c r="B1191" s="675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6">
        <v>1000000</v>
      </c>
      <c r="N1191" s="148"/>
    </row>
    <row r="1192" spans="1:14">
      <c r="A1192" s="123">
        <v>2</v>
      </c>
      <c r="B1192" s="675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6">
        <v>500000</v>
      </c>
      <c r="N1192" s="148"/>
    </row>
    <row r="1193" spans="1:14">
      <c r="A1193" s="123">
        <v>2</v>
      </c>
      <c r="B1193" s="675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6">
        <v>750000</v>
      </c>
      <c r="N1193" s="148"/>
    </row>
    <row r="1194" spans="1:14">
      <c r="A1194" s="123">
        <v>2</v>
      </c>
      <c r="B1194" s="675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6">
        <v>750000</v>
      </c>
      <c r="N1194" s="148"/>
    </row>
    <row r="1195" spans="1:14">
      <c r="A1195" s="123">
        <v>2</v>
      </c>
      <c r="B1195" s="675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6">
        <v>500000</v>
      </c>
      <c r="N1195" s="148"/>
    </row>
    <row r="1196" spans="1:14">
      <c r="A1196" s="123">
        <v>2</v>
      </c>
      <c r="B1196" s="675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6">
        <v>1000000</v>
      </c>
      <c r="N1196" s="148"/>
    </row>
    <row r="1197" spans="1:14">
      <c r="A1197" s="123">
        <v>2</v>
      </c>
      <c r="B1197" s="675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12">
        <v>900000</v>
      </c>
      <c r="N1197" s="148" t="s">
        <v>4989</v>
      </c>
    </row>
    <row r="1198" spans="1:14">
      <c r="A1198" s="123">
        <v>2</v>
      </c>
      <c r="B1198" s="675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12">
        <v>500000</v>
      </c>
      <c r="N1198" s="148" t="s">
        <v>4989</v>
      </c>
    </row>
    <row r="1199" spans="1:14">
      <c r="A1199" s="123">
        <v>2</v>
      </c>
      <c r="B1199" s="675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12">
        <v>250000</v>
      </c>
      <c r="N1199" s="148" t="s">
        <v>4989</v>
      </c>
    </row>
    <row r="1200" spans="1:14">
      <c r="A1200" s="123">
        <v>2</v>
      </c>
      <c r="B1200" s="675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12">
        <v>300000</v>
      </c>
      <c r="N1200" s="148" t="s">
        <v>4989</v>
      </c>
    </row>
    <row r="1201" spans="1:14">
      <c r="A1201" s="123">
        <v>2</v>
      </c>
      <c r="B1201" s="675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12">
        <v>600000</v>
      </c>
      <c r="N1201" s="148" t="s">
        <v>4989</v>
      </c>
    </row>
    <row r="1202" spans="1:14">
      <c r="A1202" s="123">
        <v>2</v>
      </c>
      <c r="B1202" s="675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12">
        <v>500000</v>
      </c>
      <c r="N1202" s="148" t="s">
        <v>5000</v>
      </c>
    </row>
    <row r="1203" spans="1:14" ht="22.5">
      <c r="A1203" s="123">
        <v>2</v>
      </c>
      <c r="B1203" s="675"/>
      <c r="C1203" s="149" t="s">
        <v>5001</v>
      </c>
      <c r="D1203" s="148" t="s">
        <v>311</v>
      </c>
      <c r="E1203" s="148" t="s">
        <v>675</v>
      </c>
      <c r="F1203" s="496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12">
        <v>1000000</v>
      </c>
      <c r="N1203" s="154" t="s">
        <v>5007</v>
      </c>
    </row>
    <row r="1204" spans="1:14">
      <c r="A1204" s="123">
        <v>2</v>
      </c>
      <c r="B1204" s="675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12">
        <v>500000</v>
      </c>
      <c r="N1204" s="148" t="s">
        <v>1206</v>
      </c>
    </row>
    <row r="1205" spans="1:14">
      <c r="A1205" s="123">
        <v>2</v>
      </c>
      <c r="B1205" s="675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12">
        <v>300000</v>
      </c>
      <c r="N1205" s="148" t="s">
        <v>1206</v>
      </c>
    </row>
    <row r="1206" spans="1:14">
      <c r="A1206" s="123">
        <v>2</v>
      </c>
      <c r="B1206" s="675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12">
        <v>300000</v>
      </c>
      <c r="N1206" s="148" t="s">
        <v>1206</v>
      </c>
    </row>
    <row r="1207" spans="1:14">
      <c r="A1207" s="123">
        <v>2</v>
      </c>
      <c r="B1207" s="675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12">
        <v>500000</v>
      </c>
      <c r="N1207" s="148" t="s">
        <v>1206</v>
      </c>
    </row>
    <row r="1208" spans="1:14">
      <c r="A1208" s="123">
        <v>2</v>
      </c>
      <c r="B1208" s="675"/>
      <c r="C1208" s="821" t="s">
        <v>5017</v>
      </c>
      <c r="D1208" s="819" t="s">
        <v>311</v>
      </c>
      <c r="E1208" s="819" t="s">
        <v>675</v>
      </c>
      <c r="F1208" s="821" t="s">
        <v>337</v>
      </c>
      <c r="G1208" s="821" t="s">
        <v>353</v>
      </c>
      <c r="H1208" s="821" t="s">
        <v>5018</v>
      </c>
      <c r="I1208" s="497" t="s">
        <v>5019</v>
      </c>
      <c r="J1208" s="821" t="s">
        <v>638</v>
      </c>
      <c r="K1208" s="821" t="s">
        <v>713</v>
      </c>
      <c r="L1208" s="819" t="s">
        <v>309</v>
      </c>
      <c r="M1208" s="820">
        <v>250000</v>
      </c>
      <c r="N1208" s="819" t="s">
        <v>5000</v>
      </c>
    </row>
    <row r="1209" spans="1:14">
      <c r="A1209" s="123">
        <v>2</v>
      </c>
      <c r="B1209" s="675"/>
      <c r="C1209" s="821"/>
      <c r="D1209" s="819"/>
      <c r="E1209" s="819"/>
      <c r="F1209" s="821"/>
      <c r="G1209" s="821"/>
      <c r="H1209" s="821"/>
      <c r="I1209" s="497" t="s">
        <v>5020</v>
      </c>
      <c r="J1209" s="821"/>
      <c r="K1209" s="821"/>
      <c r="L1209" s="819"/>
      <c r="M1209" s="820"/>
      <c r="N1209" s="819"/>
    </row>
    <row r="1210" spans="1:14">
      <c r="A1210" s="123">
        <v>2</v>
      </c>
      <c r="B1210" s="675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6">
        <v>250000</v>
      </c>
      <c r="N1210" s="148" t="s">
        <v>5000</v>
      </c>
    </row>
    <row r="1211" spans="1:14">
      <c r="A1211" s="123">
        <v>3</v>
      </c>
      <c r="B1211" s="675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6">
        <v>250000</v>
      </c>
      <c r="N1211" s="148" t="s">
        <v>5025</v>
      </c>
    </row>
    <row r="1212" spans="1:14">
      <c r="A1212" s="123">
        <v>3</v>
      </c>
      <c r="B1212" s="675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6">
        <v>500000</v>
      </c>
      <c r="N1212" s="148" t="s">
        <v>5025</v>
      </c>
    </row>
    <row r="1213" spans="1:14">
      <c r="A1213" s="123">
        <v>3</v>
      </c>
      <c r="B1213" s="675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6">
        <v>1250000</v>
      </c>
      <c r="N1213" s="148"/>
    </row>
    <row r="1214" spans="1:14">
      <c r="A1214" s="123">
        <v>3</v>
      </c>
      <c r="B1214" s="675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6">
        <v>500000</v>
      </c>
      <c r="N1214" s="148"/>
    </row>
    <row r="1215" spans="1:14">
      <c r="A1215" s="123">
        <v>3</v>
      </c>
      <c r="B1215" s="675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6">
        <v>750000</v>
      </c>
      <c r="N1215" s="148"/>
    </row>
    <row r="1216" spans="1:14">
      <c r="A1216" s="123">
        <v>3</v>
      </c>
      <c r="B1216" s="675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6">
        <v>750000</v>
      </c>
      <c r="N1216" s="148"/>
    </row>
    <row r="1217" spans="1:14">
      <c r="A1217" s="123">
        <v>3</v>
      </c>
      <c r="B1217" s="675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6">
        <v>500000</v>
      </c>
      <c r="N1217" s="148"/>
    </row>
    <row r="1218" spans="1:14">
      <c r="A1218" s="123">
        <v>3</v>
      </c>
      <c r="B1218" s="675" t="s">
        <v>5057</v>
      </c>
      <c r="C1218" s="149" t="s">
        <v>5011</v>
      </c>
      <c r="D1218" s="148" t="s">
        <v>311</v>
      </c>
      <c r="E1218" s="148" t="s">
        <v>320</v>
      </c>
      <c r="F1218" s="497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12">
        <v>250000</v>
      </c>
      <c r="N1218" s="148" t="s">
        <v>5035</v>
      </c>
    </row>
    <row r="1219" spans="1:14">
      <c r="A1219" s="123">
        <v>3</v>
      </c>
      <c r="B1219" s="675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12">
        <v>1000000</v>
      </c>
      <c r="N1219" s="148" t="s">
        <v>5035</v>
      </c>
    </row>
    <row r="1220" spans="1:14">
      <c r="A1220" s="123">
        <v>3</v>
      </c>
      <c r="B1220" s="675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12">
        <v>600000</v>
      </c>
      <c r="N1220" s="148" t="s">
        <v>1929</v>
      </c>
    </row>
    <row r="1221" spans="1:14">
      <c r="A1221" s="123">
        <v>3</v>
      </c>
      <c r="B1221" s="675"/>
      <c r="C1221" s="149" t="s">
        <v>5037</v>
      </c>
      <c r="D1221" s="148" t="s">
        <v>311</v>
      </c>
      <c r="E1221" s="148" t="s">
        <v>320</v>
      </c>
      <c r="F1221" s="497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12">
        <v>500000</v>
      </c>
      <c r="N1221" s="148" t="s">
        <v>5042</v>
      </c>
    </row>
    <row r="1222" spans="1:14">
      <c r="A1222" s="123">
        <v>3</v>
      </c>
      <c r="B1222" s="675"/>
      <c r="C1222" s="821" t="s">
        <v>5043</v>
      </c>
      <c r="D1222" s="819" t="s">
        <v>311</v>
      </c>
      <c r="E1222" s="819" t="s">
        <v>675</v>
      </c>
      <c r="F1222" s="149" t="s">
        <v>5044</v>
      </c>
      <c r="G1222" s="149" t="s">
        <v>5046</v>
      </c>
      <c r="H1222" s="821" t="s">
        <v>347</v>
      </c>
      <c r="I1222" s="149" t="s">
        <v>5048</v>
      </c>
      <c r="J1222" s="821"/>
      <c r="K1222" s="821" t="s">
        <v>705</v>
      </c>
      <c r="L1222" s="819" t="s">
        <v>309</v>
      </c>
      <c r="M1222" s="820">
        <v>500000</v>
      </c>
      <c r="N1222" s="819" t="s">
        <v>5042</v>
      </c>
    </row>
    <row r="1223" spans="1:14">
      <c r="A1223" s="123">
        <v>3</v>
      </c>
      <c r="B1223" s="675"/>
      <c r="C1223" s="821"/>
      <c r="D1223" s="819"/>
      <c r="E1223" s="819"/>
      <c r="F1223" s="149" t="s">
        <v>5045</v>
      </c>
      <c r="G1223" s="149" t="s">
        <v>5047</v>
      </c>
      <c r="H1223" s="821"/>
      <c r="I1223" s="149" t="s">
        <v>5049</v>
      </c>
      <c r="J1223" s="821"/>
      <c r="K1223" s="821"/>
      <c r="L1223" s="819"/>
      <c r="M1223" s="820"/>
      <c r="N1223" s="819"/>
    </row>
    <row r="1224" spans="1:14">
      <c r="A1224" s="123">
        <v>3</v>
      </c>
      <c r="B1224" s="675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12">
        <v>300000</v>
      </c>
      <c r="N1224" s="148" t="s">
        <v>5042</v>
      </c>
    </row>
    <row r="1225" spans="1:14">
      <c r="A1225" s="123">
        <v>3</v>
      </c>
      <c r="B1225" s="675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7" t="s">
        <v>5050</v>
      </c>
      <c r="J1225" s="149" t="s">
        <v>638</v>
      </c>
      <c r="K1225" s="148" t="s">
        <v>713</v>
      </c>
      <c r="L1225" s="148" t="s">
        <v>309</v>
      </c>
      <c r="M1225" s="512">
        <v>250000</v>
      </c>
      <c r="N1225" s="148" t="s">
        <v>1929</v>
      </c>
    </row>
    <row r="1226" spans="1:14">
      <c r="A1226" s="123">
        <v>3</v>
      </c>
      <c r="B1226" s="675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7" t="s">
        <v>5053</v>
      </c>
      <c r="J1226" s="149" t="s">
        <v>638</v>
      </c>
      <c r="K1226" s="149" t="s">
        <v>692</v>
      </c>
      <c r="L1226" s="148" t="s">
        <v>309</v>
      </c>
      <c r="M1226" s="512">
        <v>500000</v>
      </c>
      <c r="N1226" s="148" t="s">
        <v>1929</v>
      </c>
    </row>
    <row r="1227" spans="1:14">
      <c r="A1227" s="123">
        <v>3</v>
      </c>
      <c r="B1227" s="675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7" t="s">
        <v>5054</v>
      </c>
      <c r="J1227" s="149" t="s">
        <v>638</v>
      </c>
      <c r="K1227" s="149" t="s">
        <v>731</v>
      </c>
      <c r="L1227" s="148" t="s">
        <v>309</v>
      </c>
      <c r="M1227" s="512">
        <v>300000</v>
      </c>
      <c r="N1227" s="148" t="s">
        <v>1929</v>
      </c>
    </row>
    <row r="1228" spans="1:14">
      <c r="A1228" s="123">
        <v>3</v>
      </c>
      <c r="B1228" s="675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12">
        <v>500000</v>
      </c>
      <c r="N1228" s="148" t="s">
        <v>5042</v>
      </c>
    </row>
    <row r="1229" spans="1:14">
      <c r="A1229" s="123">
        <v>4</v>
      </c>
      <c r="B1229" s="675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6">
        <v>1250000</v>
      </c>
      <c r="N1229" s="148" t="s">
        <v>5059</v>
      </c>
    </row>
    <row r="1230" spans="1:14">
      <c r="A1230" s="123">
        <v>4</v>
      </c>
      <c r="B1230" s="675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6">
        <v>1250000</v>
      </c>
      <c r="N1230" s="148"/>
    </row>
    <row r="1231" spans="1:14">
      <c r="A1231" s="123">
        <v>4</v>
      </c>
      <c r="B1231" s="675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6">
        <v>250000</v>
      </c>
      <c r="N1231" s="148"/>
    </row>
    <row r="1232" spans="1:14">
      <c r="A1232" s="123">
        <v>4</v>
      </c>
      <c r="B1232" s="675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6">
        <v>750000</v>
      </c>
      <c r="N1232" s="148"/>
    </row>
    <row r="1233" spans="1:14">
      <c r="A1233" s="123">
        <v>4</v>
      </c>
      <c r="B1233" s="675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6">
        <v>750000</v>
      </c>
      <c r="N1233" s="148"/>
    </row>
    <row r="1234" spans="1:14">
      <c r="A1234" s="123">
        <v>4</v>
      </c>
      <c r="B1234" s="675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6">
        <v>500000</v>
      </c>
      <c r="N1234" s="148"/>
    </row>
    <row r="1235" spans="1:14">
      <c r="A1235" s="123">
        <v>4</v>
      </c>
      <c r="B1235" s="675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12">
        <v>500000</v>
      </c>
      <c r="N1235" s="148" t="s">
        <v>5075</v>
      </c>
    </row>
    <row r="1236" spans="1:14">
      <c r="A1236" s="123">
        <v>4</v>
      </c>
      <c r="B1236" s="675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12">
        <v>300000</v>
      </c>
      <c r="N1236" s="148" t="s">
        <v>5075</v>
      </c>
    </row>
    <row r="1237" spans="1:14">
      <c r="A1237" s="123">
        <v>4</v>
      </c>
      <c r="B1237" s="675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12">
        <v>750000</v>
      </c>
      <c r="N1237" s="148" t="s">
        <v>5078</v>
      </c>
    </row>
    <row r="1238" spans="1:14">
      <c r="A1238" s="123">
        <v>4</v>
      </c>
      <c r="B1238" s="675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7" t="s">
        <v>5081</v>
      </c>
      <c r="J1238" s="149"/>
      <c r="K1238" s="149" t="s">
        <v>5006</v>
      </c>
      <c r="L1238" s="148" t="s">
        <v>309</v>
      </c>
      <c r="M1238" s="512">
        <v>1000000</v>
      </c>
      <c r="N1238" s="148" t="s">
        <v>1776</v>
      </c>
    </row>
    <row r="1239" spans="1:14" ht="25.5">
      <c r="A1239" s="123">
        <v>4</v>
      </c>
      <c r="B1239" s="675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7" t="s">
        <v>5083</v>
      </c>
      <c r="J1239" s="149" t="s">
        <v>5084</v>
      </c>
      <c r="K1239" s="149" t="s">
        <v>692</v>
      </c>
      <c r="L1239" s="148" t="s">
        <v>309</v>
      </c>
      <c r="M1239" s="512">
        <v>500000</v>
      </c>
      <c r="N1239" s="148" t="s">
        <v>1776</v>
      </c>
    </row>
    <row r="1240" spans="1:14">
      <c r="A1240" s="123">
        <v>4</v>
      </c>
      <c r="B1240" s="675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12">
        <v>250000</v>
      </c>
      <c r="N1240" s="148" t="s">
        <v>3216</v>
      </c>
    </row>
    <row r="1241" spans="1:14">
      <c r="A1241" s="123">
        <v>4</v>
      </c>
      <c r="B1241" s="675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12">
        <v>1500000</v>
      </c>
      <c r="N1241" s="148" t="s">
        <v>3216</v>
      </c>
    </row>
    <row r="1242" spans="1:14" ht="22.5">
      <c r="A1242" s="123">
        <v>4</v>
      </c>
      <c r="B1242" s="675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6" t="s">
        <v>5094</v>
      </c>
      <c r="J1242" s="149" t="s">
        <v>638</v>
      </c>
      <c r="K1242" s="149" t="s">
        <v>3196</v>
      </c>
      <c r="L1242" s="148" t="s">
        <v>309</v>
      </c>
      <c r="M1242" s="512">
        <v>300000</v>
      </c>
      <c r="N1242" s="148" t="s">
        <v>3216</v>
      </c>
    </row>
    <row r="1243" spans="1:14">
      <c r="A1243" s="123">
        <v>5</v>
      </c>
      <c r="B1243" s="675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6">
        <v>1000000</v>
      </c>
      <c r="N1243" s="148" t="s">
        <v>5097</v>
      </c>
    </row>
    <row r="1244" spans="1:14">
      <c r="A1244" s="123">
        <v>5</v>
      </c>
      <c r="B1244" s="675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6">
        <v>1250000</v>
      </c>
      <c r="N1244" s="148"/>
    </row>
    <row r="1245" spans="1:14">
      <c r="A1245" s="123">
        <v>5</v>
      </c>
      <c r="B1245" s="675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6">
        <v>500000</v>
      </c>
      <c r="N1245" s="148"/>
    </row>
    <row r="1246" spans="1:14">
      <c r="A1246" s="123">
        <v>5</v>
      </c>
      <c r="B1246" s="675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6">
        <v>750000</v>
      </c>
      <c r="N1246" s="148"/>
    </row>
    <row r="1247" spans="1:14">
      <c r="A1247" s="123">
        <v>5</v>
      </c>
      <c r="B1247" s="675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6">
        <v>500000</v>
      </c>
      <c r="N1247" s="148"/>
    </row>
    <row r="1248" spans="1:14">
      <c r="A1248" s="123">
        <v>5</v>
      </c>
      <c r="B1248" s="675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6">
        <v>750000</v>
      </c>
      <c r="N1248" s="148"/>
    </row>
    <row r="1249" spans="1:14">
      <c r="A1249" s="123">
        <v>5</v>
      </c>
      <c r="B1249" s="675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12">
        <v>500000</v>
      </c>
      <c r="N1249" s="148" t="s">
        <v>1206</v>
      </c>
    </row>
    <row r="1250" spans="1:14">
      <c r="A1250" s="123">
        <v>5</v>
      </c>
      <c r="B1250" s="675"/>
      <c r="C1250" s="821" t="s">
        <v>5108</v>
      </c>
      <c r="D1250" s="819" t="s">
        <v>311</v>
      </c>
      <c r="E1250" s="819" t="s">
        <v>675</v>
      </c>
      <c r="F1250" s="819" t="s">
        <v>4996</v>
      </c>
      <c r="G1250" s="819">
        <v>1017</v>
      </c>
      <c r="H1250" s="819" t="s">
        <v>347</v>
      </c>
      <c r="I1250" s="149" t="s">
        <v>5109</v>
      </c>
      <c r="J1250" s="821"/>
      <c r="K1250" s="821" t="s">
        <v>692</v>
      </c>
      <c r="L1250" s="819" t="s">
        <v>309</v>
      </c>
      <c r="M1250" s="820">
        <v>500000</v>
      </c>
      <c r="N1250" s="819" t="s">
        <v>5042</v>
      </c>
    </row>
    <row r="1251" spans="1:14">
      <c r="A1251" s="123">
        <v>5</v>
      </c>
      <c r="B1251" s="675"/>
      <c r="C1251" s="821"/>
      <c r="D1251" s="819"/>
      <c r="E1251" s="819"/>
      <c r="F1251" s="819"/>
      <c r="G1251" s="819"/>
      <c r="H1251" s="819"/>
      <c r="I1251" s="149" t="s">
        <v>5110</v>
      </c>
      <c r="J1251" s="821"/>
      <c r="K1251" s="821"/>
      <c r="L1251" s="819"/>
      <c r="M1251" s="820"/>
      <c r="N1251" s="819"/>
    </row>
    <row r="1252" spans="1:14">
      <c r="A1252" s="123">
        <v>5</v>
      </c>
      <c r="B1252" s="675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7" t="s">
        <v>1426</v>
      </c>
      <c r="J1252" s="149" t="s">
        <v>638</v>
      </c>
      <c r="K1252" s="149" t="s">
        <v>713</v>
      </c>
      <c r="L1252" s="148" t="s">
        <v>309</v>
      </c>
      <c r="M1252" s="512">
        <v>250000</v>
      </c>
      <c r="N1252" s="148" t="s">
        <v>1206</v>
      </c>
    </row>
    <row r="1253" spans="1:14">
      <c r="A1253" s="123">
        <v>5</v>
      </c>
      <c r="B1253" s="675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7" t="s">
        <v>1426</v>
      </c>
      <c r="J1253" s="149" t="s">
        <v>638</v>
      </c>
      <c r="K1253" s="149" t="s">
        <v>3196</v>
      </c>
      <c r="L1253" s="148" t="s">
        <v>309</v>
      </c>
      <c r="M1253" s="512">
        <v>300000</v>
      </c>
      <c r="N1253" s="148" t="s">
        <v>1206</v>
      </c>
    </row>
    <row r="1254" spans="1:14">
      <c r="A1254" s="123">
        <v>5</v>
      </c>
      <c r="B1254" s="675"/>
      <c r="C1254" s="821" t="s">
        <v>5113</v>
      </c>
      <c r="D1254" s="819" t="s">
        <v>311</v>
      </c>
      <c r="E1254" s="819" t="s">
        <v>675</v>
      </c>
      <c r="F1254" s="821" t="s">
        <v>5080</v>
      </c>
      <c r="G1254" s="821">
        <v>3006</v>
      </c>
      <c r="H1254" s="821" t="s">
        <v>347</v>
      </c>
      <c r="I1254" s="497" t="s">
        <v>5114</v>
      </c>
      <c r="J1254" s="821"/>
      <c r="K1254" s="821" t="s">
        <v>705</v>
      </c>
      <c r="L1254" s="819" t="s">
        <v>309</v>
      </c>
      <c r="M1254" s="820">
        <v>500000</v>
      </c>
      <c r="N1254" s="819" t="s">
        <v>5042</v>
      </c>
    </row>
    <row r="1255" spans="1:14">
      <c r="A1255" s="123">
        <v>5</v>
      </c>
      <c r="B1255" s="675"/>
      <c r="C1255" s="821"/>
      <c r="D1255" s="819"/>
      <c r="E1255" s="819"/>
      <c r="F1255" s="821"/>
      <c r="G1255" s="821"/>
      <c r="H1255" s="821"/>
      <c r="I1255" s="497" t="s">
        <v>5115</v>
      </c>
      <c r="J1255" s="821"/>
      <c r="K1255" s="821"/>
      <c r="L1255" s="819"/>
      <c r="M1255" s="820"/>
      <c r="N1255" s="819"/>
    </row>
    <row r="1256" spans="1:14">
      <c r="A1256" s="123">
        <v>5</v>
      </c>
      <c r="B1256" s="675"/>
      <c r="C1256" s="821" t="s">
        <v>5113</v>
      </c>
      <c r="D1256" s="819" t="s">
        <v>311</v>
      </c>
      <c r="E1256" s="819" t="s">
        <v>675</v>
      </c>
      <c r="F1256" s="821" t="s">
        <v>5080</v>
      </c>
      <c r="G1256" s="821">
        <v>3006</v>
      </c>
      <c r="H1256" s="821" t="s">
        <v>347</v>
      </c>
      <c r="I1256" s="497" t="s">
        <v>5114</v>
      </c>
      <c r="J1256" s="821"/>
      <c r="K1256" s="821" t="s">
        <v>4946</v>
      </c>
      <c r="L1256" s="819" t="s">
        <v>309</v>
      </c>
      <c r="M1256" s="820">
        <v>600000</v>
      </c>
      <c r="N1256" s="819" t="s">
        <v>5042</v>
      </c>
    </row>
    <row r="1257" spans="1:14">
      <c r="A1257" s="123">
        <v>5</v>
      </c>
      <c r="B1257" s="675"/>
      <c r="C1257" s="821"/>
      <c r="D1257" s="819"/>
      <c r="E1257" s="819"/>
      <c r="F1257" s="821"/>
      <c r="G1257" s="821"/>
      <c r="H1257" s="821"/>
      <c r="I1257" s="497" t="s">
        <v>5115</v>
      </c>
      <c r="J1257" s="821"/>
      <c r="K1257" s="821"/>
      <c r="L1257" s="819"/>
      <c r="M1257" s="820"/>
      <c r="N1257" s="819"/>
    </row>
    <row r="1258" spans="1:14">
      <c r="A1258" s="123">
        <v>5</v>
      </c>
      <c r="B1258" s="675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12">
        <v>500000</v>
      </c>
      <c r="N1258" s="148" t="s">
        <v>5042</v>
      </c>
    </row>
    <row r="1259" spans="1:14">
      <c r="A1259" s="123">
        <v>6</v>
      </c>
      <c r="B1259" s="675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6">
        <v>500000</v>
      </c>
      <c r="N1259" s="148"/>
    </row>
    <row r="1260" spans="1:14">
      <c r="A1260" s="123">
        <v>6</v>
      </c>
      <c r="B1260" s="675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6">
        <v>750000</v>
      </c>
      <c r="N1260" s="148"/>
    </row>
    <row r="1261" spans="1:14">
      <c r="A1261" s="123">
        <v>6</v>
      </c>
      <c r="B1261" s="675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6">
        <v>500000</v>
      </c>
      <c r="N1261" s="148"/>
    </row>
    <row r="1262" spans="1:14">
      <c r="A1262" s="123">
        <v>6</v>
      </c>
      <c r="B1262" s="675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6">
        <v>750000</v>
      </c>
      <c r="N1262" s="148"/>
    </row>
    <row r="1263" spans="1:14">
      <c r="A1263" s="123">
        <v>6</v>
      </c>
      <c r="B1263" s="675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6">
        <v>1250000</v>
      </c>
      <c r="N1263" s="148"/>
    </row>
    <row r="1264" spans="1:14">
      <c r="A1264" s="123">
        <v>6</v>
      </c>
      <c r="B1264" s="675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7" t="s">
        <v>5122</v>
      </c>
      <c r="J1264" s="149"/>
      <c r="K1264" s="149" t="s">
        <v>713</v>
      </c>
      <c r="L1264" s="148" t="s">
        <v>309</v>
      </c>
      <c r="M1264" s="512">
        <v>250000</v>
      </c>
      <c r="N1264" s="148" t="s">
        <v>5123</v>
      </c>
    </row>
    <row r="1265" spans="1:14">
      <c r="A1265" s="123">
        <v>6</v>
      </c>
      <c r="B1265" s="675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12">
        <v>500000</v>
      </c>
      <c r="N1265" s="148" t="s">
        <v>5123</v>
      </c>
    </row>
    <row r="1266" spans="1:14">
      <c r="A1266" s="123">
        <v>6</v>
      </c>
      <c r="B1266" s="675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7" t="s">
        <v>1426</v>
      </c>
      <c r="J1266" s="149"/>
      <c r="K1266" s="149" t="s">
        <v>713</v>
      </c>
      <c r="L1266" s="148" t="s">
        <v>309</v>
      </c>
      <c r="M1266" s="512">
        <v>250000</v>
      </c>
      <c r="N1266" s="148" t="s">
        <v>5127</v>
      </c>
    </row>
    <row r="1267" spans="1:14">
      <c r="A1267" s="123">
        <v>6</v>
      </c>
      <c r="B1267" s="675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7" t="s">
        <v>5130</v>
      </c>
      <c r="J1267" s="149" t="s">
        <v>638</v>
      </c>
      <c r="K1267" s="149" t="s">
        <v>5131</v>
      </c>
      <c r="L1267" s="148" t="s">
        <v>309</v>
      </c>
      <c r="M1267" s="512">
        <v>300000</v>
      </c>
      <c r="N1267" s="148" t="s">
        <v>1929</v>
      </c>
    </row>
    <row r="1268" spans="1:14">
      <c r="A1268" s="123">
        <v>6</v>
      </c>
      <c r="B1268" s="675"/>
      <c r="C1268" s="821" t="s">
        <v>5132</v>
      </c>
      <c r="D1268" s="819" t="s">
        <v>311</v>
      </c>
      <c r="E1268" s="819" t="s">
        <v>675</v>
      </c>
      <c r="F1268" s="149" t="s">
        <v>5133</v>
      </c>
      <c r="G1268" s="496" t="s">
        <v>5135</v>
      </c>
      <c r="H1268" s="396" t="s">
        <v>347</v>
      </c>
      <c r="I1268" s="821" t="s">
        <v>5138</v>
      </c>
      <c r="J1268" s="821" t="s">
        <v>638</v>
      </c>
      <c r="K1268" s="821" t="s">
        <v>692</v>
      </c>
      <c r="L1268" s="819" t="s">
        <v>309</v>
      </c>
      <c r="M1268" s="820">
        <v>500000</v>
      </c>
      <c r="N1268" s="819" t="s">
        <v>1776</v>
      </c>
    </row>
    <row r="1269" spans="1:14">
      <c r="A1269" s="123">
        <v>6</v>
      </c>
      <c r="B1269" s="675"/>
      <c r="C1269" s="821"/>
      <c r="D1269" s="819"/>
      <c r="E1269" s="819"/>
      <c r="F1269" s="149" t="s">
        <v>5134</v>
      </c>
      <c r="G1269" s="496" t="s">
        <v>5136</v>
      </c>
      <c r="H1269" s="396" t="s">
        <v>5137</v>
      </c>
      <c r="I1269" s="821"/>
      <c r="J1269" s="821"/>
      <c r="K1269" s="821"/>
      <c r="L1269" s="819"/>
      <c r="M1269" s="820"/>
      <c r="N1269" s="819"/>
    </row>
    <row r="1270" spans="1:14" ht="24">
      <c r="A1270" s="123">
        <v>6</v>
      </c>
      <c r="B1270" s="675"/>
      <c r="C1270" s="149" t="s">
        <v>5132</v>
      </c>
      <c r="D1270" s="148" t="s">
        <v>311</v>
      </c>
      <c r="E1270" s="148" t="s">
        <v>320</v>
      </c>
      <c r="F1270" s="497" t="s">
        <v>720</v>
      </c>
      <c r="G1270" s="149" t="s">
        <v>5139</v>
      </c>
      <c r="H1270" s="149" t="s">
        <v>3064</v>
      </c>
      <c r="I1270" s="497" t="s">
        <v>5140</v>
      </c>
      <c r="J1270" s="149" t="s">
        <v>702</v>
      </c>
      <c r="K1270" s="149" t="s">
        <v>5141</v>
      </c>
      <c r="L1270" s="148" t="s">
        <v>309</v>
      </c>
      <c r="M1270" s="512">
        <v>550000</v>
      </c>
      <c r="N1270" s="148" t="s">
        <v>1929</v>
      </c>
    </row>
    <row r="1271" spans="1:14">
      <c r="A1271" s="123">
        <v>6</v>
      </c>
      <c r="B1271" s="675"/>
      <c r="C1271" s="149" t="s">
        <v>5132</v>
      </c>
      <c r="D1271" s="148" t="s">
        <v>311</v>
      </c>
      <c r="E1271" s="148" t="s">
        <v>320</v>
      </c>
      <c r="F1271" s="496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12">
        <v>500000</v>
      </c>
      <c r="N1271" s="148" t="s">
        <v>1206</v>
      </c>
    </row>
    <row r="1272" spans="1:14">
      <c r="A1272" s="123">
        <v>7</v>
      </c>
      <c r="B1272" s="675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6">
        <v>500000</v>
      </c>
      <c r="N1272" s="148" t="s">
        <v>5145</v>
      </c>
    </row>
    <row r="1273" spans="1:14">
      <c r="A1273" s="123">
        <v>7</v>
      </c>
      <c r="B1273" s="675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6">
        <v>500000</v>
      </c>
      <c r="N1273" s="148"/>
    </row>
    <row r="1274" spans="1:14">
      <c r="A1274" s="123">
        <v>7</v>
      </c>
      <c r="B1274" s="675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6">
        <v>500000</v>
      </c>
      <c r="N1274" s="148"/>
    </row>
    <row r="1275" spans="1:14">
      <c r="A1275" s="123">
        <v>7</v>
      </c>
      <c r="B1275" s="675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6">
        <v>500000</v>
      </c>
      <c r="N1275" s="148"/>
    </row>
    <row r="1276" spans="1:14">
      <c r="A1276" s="123">
        <v>7</v>
      </c>
      <c r="B1276" s="675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6">
        <v>1000000</v>
      </c>
      <c r="N1276" s="148"/>
    </row>
    <row r="1277" spans="1:14">
      <c r="A1277" s="123">
        <v>7</v>
      </c>
      <c r="B1277" s="675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12">
        <v>500000</v>
      </c>
      <c r="N1277" s="148" t="s">
        <v>1776</v>
      </c>
    </row>
    <row r="1278" spans="1:14" ht="25.5">
      <c r="A1278" s="123">
        <v>7</v>
      </c>
      <c r="B1278" s="675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12">
        <v>300000</v>
      </c>
      <c r="N1278" s="148" t="s">
        <v>1776</v>
      </c>
    </row>
    <row r="1279" spans="1:14">
      <c r="A1279" s="123">
        <v>7</v>
      </c>
      <c r="B1279" s="675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12">
        <v>500000</v>
      </c>
      <c r="N1279" s="148" t="s">
        <v>1776</v>
      </c>
    </row>
    <row r="1280" spans="1:14">
      <c r="A1280" s="123">
        <v>7</v>
      </c>
      <c r="B1280" s="675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12">
        <v>300000</v>
      </c>
      <c r="N1280" s="148" t="s">
        <v>1776</v>
      </c>
    </row>
    <row r="1281" spans="1:14">
      <c r="A1281" s="123">
        <v>8</v>
      </c>
      <c r="B1281" s="675" t="s">
        <v>20</v>
      </c>
      <c r="C1281" s="552" t="s">
        <v>5156</v>
      </c>
      <c r="D1281" s="544" t="s">
        <v>306</v>
      </c>
      <c r="E1281" s="544" t="s">
        <v>322</v>
      </c>
      <c r="F1281" s="544" t="s">
        <v>307</v>
      </c>
      <c r="G1281" s="552" t="s">
        <v>5070</v>
      </c>
      <c r="H1281" s="552" t="s">
        <v>354</v>
      </c>
      <c r="I1281" s="552" t="s">
        <v>4925</v>
      </c>
      <c r="J1281" s="544" t="s">
        <v>664</v>
      </c>
      <c r="K1281" s="544" t="s">
        <v>3186</v>
      </c>
      <c r="L1281" s="544"/>
      <c r="M1281" s="545">
        <v>1250000</v>
      </c>
      <c r="N1281" s="148"/>
    </row>
    <row r="1282" spans="1:14">
      <c r="A1282" s="123">
        <v>8</v>
      </c>
      <c r="B1282" s="675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6">
        <v>1250000</v>
      </c>
      <c r="N1282" s="148"/>
    </row>
    <row r="1283" spans="1:14">
      <c r="A1283" s="123">
        <v>8</v>
      </c>
      <c r="B1283" s="675"/>
      <c r="C1283" s="552" t="s">
        <v>5158</v>
      </c>
      <c r="D1283" s="544" t="s">
        <v>306</v>
      </c>
      <c r="E1283" s="544" t="s">
        <v>322</v>
      </c>
      <c r="F1283" s="544" t="s">
        <v>307</v>
      </c>
      <c r="G1283" s="552" t="s">
        <v>3058</v>
      </c>
      <c r="H1283" s="552" t="s">
        <v>354</v>
      </c>
      <c r="I1283" s="552" t="s">
        <v>310</v>
      </c>
      <c r="J1283" s="544" t="s">
        <v>664</v>
      </c>
      <c r="K1283" s="544" t="s">
        <v>4953</v>
      </c>
      <c r="L1283" s="544"/>
      <c r="M1283" s="545">
        <v>750000</v>
      </c>
      <c r="N1283" s="148"/>
    </row>
    <row r="1284" spans="1:14">
      <c r="A1284" s="123">
        <v>8</v>
      </c>
      <c r="B1284" s="675"/>
      <c r="C1284" s="552" t="s">
        <v>5159</v>
      </c>
      <c r="D1284" s="544" t="s">
        <v>306</v>
      </c>
      <c r="E1284" s="544" t="s">
        <v>322</v>
      </c>
      <c r="F1284" s="544" t="s">
        <v>307</v>
      </c>
      <c r="G1284" s="552" t="s">
        <v>4812</v>
      </c>
      <c r="H1284" s="552" t="s">
        <v>662</v>
      </c>
      <c r="I1284" s="552" t="s">
        <v>1096</v>
      </c>
      <c r="J1284" s="544" t="s">
        <v>664</v>
      </c>
      <c r="K1284" s="544" t="s">
        <v>3105</v>
      </c>
      <c r="L1284" s="544"/>
      <c r="M1284" s="545">
        <v>500000</v>
      </c>
      <c r="N1284" s="148"/>
    </row>
    <row r="1285" spans="1:14">
      <c r="A1285" s="123">
        <v>8</v>
      </c>
      <c r="B1285" s="675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12">
        <v>250000</v>
      </c>
      <c r="N1285" s="148" t="s">
        <v>5162</v>
      </c>
    </row>
    <row r="1286" spans="1:14">
      <c r="A1286" s="123">
        <v>8</v>
      </c>
      <c r="B1286" s="675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12">
        <v>250000</v>
      </c>
      <c r="N1286" s="148" t="s">
        <v>5162</v>
      </c>
    </row>
    <row r="1287" spans="1:14">
      <c r="A1287" s="123">
        <v>8</v>
      </c>
      <c r="B1287" s="675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12">
        <v>300000</v>
      </c>
      <c r="N1287" s="148" t="s">
        <v>1206</v>
      </c>
    </row>
    <row r="1288" spans="1:14">
      <c r="A1288" s="123">
        <v>8</v>
      </c>
      <c r="B1288" s="675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12">
        <v>300000</v>
      </c>
      <c r="N1288" s="148" t="s">
        <v>1206</v>
      </c>
    </row>
    <row r="1289" spans="1:14">
      <c r="A1289" s="123">
        <v>8</v>
      </c>
      <c r="B1289" s="675"/>
      <c r="C1289" s="822" t="s">
        <v>5168</v>
      </c>
      <c r="D1289" s="823" t="s">
        <v>311</v>
      </c>
      <c r="E1289" s="823" t="s">
        <v>675</v>
      </c>
      <c r="F1289" s="527" t="s">
        <v>5133</v>
      </c>
      <c r="G1289" s="528" t="s">
        <v>5135</v>
      </c>
      <c r="H1289" s="528" t="s">
        <v>347</v>
      </c>
      <c r="I1289" s="822" t="s">
        <v>5138</v>
      </c>
      <c r="J1289" s="822"/>
      <c r="K1289" s="822" t="s">
        <v>692</v>
      </c>
      <c r="L1289" s="823" t="s">
        <v>309</v>
      </c>
      <c r="M1289" s="824">
        <v>500000</v>
      </c>
      <c r="N1289" s="819" t="s">
        <v>5042</v>
      </c>
    </row>
    <row r="1290" spans="1:14" ht="19.5">
      <c r="A1290" s="123">
        <v>8</v>
      </c>
      <c r="B1290" s="675"/>
      <c r="C1290" s="821"/>
      <c r="D1290" s="819"/>
      <c r="E1290" s="819"/>
      <c r="F1290" s="149" t="s">
        <v>5134</v>
      </c>
      <c r="G1290" s="496" t="s">
        <v>5136</v>
      </c>
      <c r="H1290" s="498" t="s">
        <v>5137</v>
      </c>
      <c r="I1290" s="821"/>
      <c r="J1290" s="821"/>
      <c r="K1290" s="821"/>
      <c r="L1290" s="819"/>
      <c r="M1290" s="820"/>
      <c r="N1290" s="819"/>
    </row>
    <row r="1291" spans="1:14">
      <c r="A1291" s="123">
        <v>8</v>
      </c>
      <c r="B1291" s="675"/>
      <c r="C1291" s="822" t="s">
        <v>5169</v>
      </c>
      <c r="D1291" s="823" t="s">
        <v>311</v>
      </c>
      <c r="E1291" s="823" t="s">
        <v>320</v>
      </c>
      <c r="F1291" s="825" t="s">
        <v>709</v>
      </c>
      <c r="G1291" s="822" t="s">
        <v>3102</v>
      </c>
      <c r="H1291" s="822" t="s">
        <v>3103</v>
      </c>
      <c r="I1291" s="527" t="s">
        <v>5338</v>
      </c>
      <c r="J1291" s="822" t="s">
        <v>638</v>
      </c>
      <c r="K1291" s="822" t="s">
        <v>713</v>
      </c>
      <c r="L1291" s="823" t="s">
        <v>309</v>
      </c>
      <c r="M1291" s="824">
        <v>250000</v>
      </c>
      <c r="N1291" s="819" t="s">
        <v>5042</v>
      </c>
    </row>
    <row r="1292" spans="1:14">
      <c r="A1292" s="123">
        <v>8</v>
      </c>
      <c r="B1292" s="675"/>
      <c r="C1292" s="821"/>
      <c r="D1292" s="819"/>
      <c r="E1292" s="819"/>
      <c r="F1292" s="826"/>
      <c r="G1292" s="821"/>
      <c r="H1292" s="821"/>
      <c r="I1292" s="149" t="s">
        <v>5170</v>
      </c>
      <c r="J1292" s="821"/>
      <c r="K1292" s="821"/>
      <c r="L1292" s="819"/>
      <c r="M1292" s="820"/>
      <c r="N1292" s="819"/>
    </row>
    <row r="1293" spans="1:14">
      <c r="A1293" s="123">
        <v>8</v>
      </c>
      <c r="B1293" s="675"/>
      <c r="C1293" s="822" t="s">
        <v>5171</v>
      </c>
      <c r="D1293" s="823" t="s">
        <v>311</v>
      </c>
      <c r="E1293" s="823" t="s">
        <v>320</v>
      </c>
      <c r="F1293" s="822" t="s">
        <v>337</v>
      </c>
      <c r="G1293" s="822" t="s">
        <v>3172</v>
      </c>
      <c r="H1293" s="822" t="s">
        <v>3061</v>
      </c>
      <c r="I1293" s="527" t="s">
        <v>5339</v>
      </c>
      <c r="J1293" s="822" t="s">
        <v>638</v>
      </c>
      <c r="K1293" s="822" t="s">
        <v>692</v>
      </c>
      <c r="L1293" s="823" t="s">
        <v>309</v>
      </c>
      <c r="M1293" s="824">
        <v>500000</v>
      </c>
      <c r="N1293" s="819" t="s">
        <v>1206</v>
      </c>
    </row>
    <row r="1294" spans="1:14">
      <c r="A1294" s="123">
        <v>8</v>
      </c>
      <c r="B1294" s="675"/>
      <c r="C1294" s="821"/>
      <c r="D1294" s="819"/>
      <c r="E1294" s="819"/>
      <c r="F1294" s="821"/>
      <c r="G1294" s="821"/>
      <c r="H1294" s="821"/>
      <c r="I1294" s="149" t="s">
        <v>5172</v>
      </c>
      <c r="J1294" s="821"/>
      <c r="K1294" s="821"/>
      <c r="L1294" s="819"/>
      <c r="M1294" s="820"/>
      <c r="N1294" s="819"/>
    </row>
    <row r="1295" spans="1:14">
      <c r="A1295" s="123">
        <v>9</v>
      </c>
      <c r="B1295" s="675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6">
        <v>600000</v>
      </c>
      <c r="N1295" s="148" t="s">
        <v>5145</v>
      </c>
    </row>
    <row r="1296" spans="1:14">
      <c r="A1296" s="123">
        <v>9</v>
      </c>
      <c r="B1296" s="675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6">
        <v>300000</v>
      </c>
      <c r="N1296" s="148" t="s">
        <v>5175</v>
      </c>
    </row>
    <row r="1297" spans="1:14">
      <c r="A1297" s="123">
        <v>9</v>
      </c>
      <c r="B1297" s="675"/>
      <c r="C1297" s="514" t="s">
        <v>5176</v>
      </c>
      <c r="D1297" s="515" t="s">
        <v>306</v>
      </c>
      <c r="E1297" s="515" t="s">
        <v>322</v>
      </c>
      <c r="F1297" s="515" t="s">
        <v>307</v>
      </c>
      <c r="G1297" s="514" t="s">
        <v>5177</v>
      </c>
      <c r="H1297" s="514" t="s">
        <v>662</v>
      </c>
      <c r="I1297" s="514" t="s">
        <v>1096</v>
      </c>
      <c r="J1297" s="515" t="s">
        <v>664</v>
      </c>
      <c r="K1297" s="515" t="s">
        <v>4981</v>
      </c>
      <c r="L1297" s="515"/>
      <c r="M1297" s="516">
        <v>500000</v>
      </c>
      <c r="N1297" s="148"/>
    </row>
    <row r="1298" spans="1:14">
      <c r="A1298" s="123">
        <v>9</v>
      </c>
      <c r="B1298" s="675"/>
      <c r="C1298" s="514" t="s">
        <v>5178</v>
      </c>
      <c r="D1298" s="515" t="s">
        <v>306</v>
      </c>
      <c r="E1298" s="515" t="s">
        <v>322</v>
      </c>
      <c r="F1298" s="515" t="s">
        <v>307</v>
      </c>
      <c r="G1298" s="514">
        <v>1570</v>
      </c>
      <c r="H1298" s="514" t="s">
        <v>3179</v>
      </c>
      <c r="I1298" s="514" t="s">
        <v>5028</v>
      </c>
      <c r="J1298" s="515" t="s">
        <v>664</v>
      </c>
      <c r="K1298" s="515" t="s">
        <v>4981</v>
      </c>
      <c r="L1298" s="515"/>
      <c r="M1298" s="516">
        <v>500000</v>
      </c>
      <c r="N1298" s="148"/>
    </row>
    <row r="1299" spans="1:14">
      <c r="A1299" s="123">
        <v>9</v>
      </c>
      <c r="B1299" s="675"/>
      <c r="C1299" s="552" t="s">
        <v>5179</v>
      </c>
      <c r="D1299" s="544" t="s">
        <v>306</v>
      </c>
      <c r="E1299" s="544" t="s">
        <v>322</v>
      </c>
      <c r="F1299" s="544" t="s">
        <v>307</v>
      </c>
      <c r="G1299" s="552">
        <v>8263</v>
      </c>
      <c r="H1299" s="552" t="s">
        <v>3179</v>
      </c>
      <c r="I1299" s="552" t="s">
        <v>1096</v>
      </c>
      <c r="J1299" s="544" t="s">
        <v>664</v>
      </c>
      <c r="K1299" s="544" t="s">
        <v>4971</v>
      </c>
      <c r="L1299" s="544"/>
      <c r="M1299" s="545">
        <v>1000000</v>
      </c>
      <c r="N1299" s="148"/>
    </row>
    <row r="1300" spans="1:14">
      <c r="A1300" s="123">
        <v>9</v>
      </c>
      <c r="B1300" s="675"/>
      <c r="C1300" s="552" t="s">
        <v>5176</v>
      </c>
      <c r="D1300" s="544" t="s">
        <v>306</v>
      </c>
      <c r="E1300" s="544" t="s">
        <v>322</v>
      </c>
      <c r="F1300" s="544" t="s">
        <v>307</v>
      </c>
      <c r="G1300" s="552">
        <v>594</v>
      </c>
      <c r="H1300" s="552" t="s">
        <v>1047</v>
      </c>
      <c r="I1300" s="552" t="s">
        <v>4925</v>
      </c>
      <c r="J1300" s="544" t="s">
        <v>664</v>
      </c>
      <c r="K1300" s="544" t="s">
        <v>3105</v>
      </c>
      <c r="L1300" s="544"/>
      <c r="M1300" s="545">
        <v>500000</v>
      </c>
      <c r="N1300" s="148"/>
    </row>
    <row r="1301" spans="1:14">
      <c r="A1301" s="123">
        <v>9</v>
      </c>
      <c r="B1301" s="675"/>
      <c r="C1301" s="552" t="s">
        <v>5178</v>
      </c>
      <c r="D1301" s="544" t="s">
        <v>306</v>
      </c>
      <c r="E1301" s="544" t="s">
        <v>322</v>
      </c>
      <c r="F1301" s="544" t="s">
        <v>307</v>
      </c>
      <c r="G1301" s="552" t="s">
        <v>4948</v>
      </c>
      <c r="H1301" s="552" t="s">
        <v>1915</v>
      </c>
      <c r="I1301" s="552" t="s">
        <v>1096</v>
      </c>
      <c r="J1301" s="544" t="s">
        <v>664</v>
      </c>
      <c r="K1301" s="544" t="s">
        <v>3105</v>
      </c>
      <c r="L1301" s="544"/>
      <c r="M1301" s="545">
        <v>500000</v>
      </c>
      <c r="N1301" s="148"/>
    </row>
    <row r="1302" spans="1:14">
      <c r="A1302" s="123">
        <v>9</v>
      </c>
      <c r="B1302" s="675" t="s">
        <v>5206</v>
      </c>
      <c r="C1302" s="527" t="s">
        <v>5181</v>
      </c>
      <c r="D1302" s="529" t="s">
        <v>311</v>
      </c>
      <c r="E1302" s="529" t="s">
        <v>320</v>
      </c>
      <c r="F1302" s="527" t="s">
        <v>337</v>
      </c>
      <c r="G1302" s="527" t="s">
        <v>3172</v>
      </c>
      <c r="H1302" s="527" t="s">
        <v>3061</v>
      </c>
      <c r="I1302" s="527" t="s">
        <v>5340</v>
      </c>
      <c r="J1302" s="527"/>
      <c r="K1302" s="527" t="s">
        <v>692</v>
      </c>
      <c r="L1302" s="529" t="s">
        <v>309</v>
      </c>
      <c r="M1302" s="530">
        <v>600000</v>
      </c>
      <c r="N1302" s="148" t="s">
        <v>5182</v>
      </c>
    </row>
    <row r="1303" spans="1:14">
      <c r="A1303" s="123">
        <v>9</v>
      </c>
      <c r="B1303" s="675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12">
        <v>600000</v>
      </c>
      <c r="N1303" s="148" t="s">
        <v>5182</v>
      </c>
    </row>
    <row r="1304" spans="1:14">
      <c r="A1304" s="123">
        <v>9</v>
      </c>
      <c r="B1304" s="675"/>
      <c r="C1304" s="822" t="s">
        <v>5185</v>
      </c>
      <c r="D1304" s="823" t="s">
        <v>311</v>
      </c>
      <c r="E1304" s="823" t="s">
        <v>320</v>
      </c>
      <c r="F1304" s="822" t="s">
        <v>337</v>
      </c>
      <c r="G1304" s="822" t="s">
        <v>3172</v>
      </c>
      <c r="H1304" s="822" t="s">
        <v>3061</v>
      </c>
      <c r="I1304" s="531" t="s">
        <v>5186</v>
      </c>
      <c r="J1304" s="822" t="s">
        <v>638</v>
      </c>
      <c r="K1304" s="822" t="s">
        <v>713</v>
      </c>
      <c r="L1304" s="823" t="s">
        <v>309</v>
      </c>
      <c r="M1304" s="824">
        <v>250000</v>
      </c>
      <c r="N1304" s="819" t="s">
        <v>5042</v>
      </c>
    </row>
    <row r="1305" spans="1:14">
      <c r="A1305" s="123">
        <v>9</v>
      </c>
      <c r="B1305" s="675"/>
      <c r="C1305" s="821"/>
      <c r="D1305" s="819"/>
      <c r="E1305" s="819"/>
      <c r="F1305" s="821"/>
      <c r="G1305" s="821"/>
      <c r="H1305" s="821"/>
      <c r="I1305" s="497" t="s">
        <v>5187</v>
      </c>
      <c r="J1305" s="821"/>
      <c r="K1305" s="821"/>
      <c r="L1305" s="819"/>
      <c r="M1305" s="820"/>
      <c r="N1305" s="819"/>
    </row>
    <row r="1306" spans="1:14">
      <c r="A1306" s="123">
        <v>9</v>
      </c>
      <c r="B1306" s="675"/>
      <c r="C1306" s="822" t="s">
        <v>5185</v>
      </c>
      <c r="D1306" s="823" t="s">
        <v>311</v>
      </c>
      <c r="E1306" s="823" t="s">
        <v>320</v>
      </c>
      <c r="F1306" s="822" t="s">
        <v>5188</v>
      </c>
      <c r="G1306" s="527" t="s">
        <v>689</v>
      </c>
      <c r="H1306" s="822" t="s">
        <v>5190</v>
      </c>
      <c r="I1306" s="527" t="s">
        <v>5341</v>
      </c>
      <c r="J1306" s="822"/>
      <c r="K1306" s="822" t="s">
        <v>713</v>
      </c>
      <c r="L1306" s="823" t="s">
        <v>309</v>
      </c>
      <c r="M1306" s="824">
        <v>250000</v>
      </c>
      <c r="N1306" s="819" t="s">
        <v>5042</v>
      </c>
    </row>
    <row r="1307" spans="1:14">
      <c r="A1307" s="123">
        <v>9</v>
      </c>
      <c r="B1307" s="675"/>
      <c r="C1307" s="821"/>
      <c r="D1307" s="819"/>
      <c r="E1307" s="819"/>
      <c r="F1307" s="821"/>
      <c r="G1307" s="149" t="s">
        <v>5189</v>
      </c>
      <c r="H1307" s="821"/>
      <c r="I1307" s="149" t="s">
        <v>5191</v>
      </c>
      <c r="J1307" s="821"/>
      <c r="K1307" s="821"/>
      <c r="L1307" s="819"/>
      <c r="M1307" s="820"/>
      <c r="N1307" s="819"/>
    </row>
    <row r="1308" spans="1:14">
      <c r="A1308" s="123">
        <v>9</v>
      </c>
      <c r="B1308" s="675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7" t="s">
        <v>5192</v>
      </c>
      <c r="J1308" s="149"/>
      <c r="K1308" s="149" t="s">
        <v>3196</v>
      </c>
      <c r="L1308" s="148" t="s">
        <v>309</v>
      </c>
      <c r="M1308" s="512">
        <v>300000</v>
      </c>
      <c r="N1308" s="148" t="s">
        <v>1929</v>
      </c>
    </row>
    <row r="1309" spans="1:14">
      <c r="A1309" s="123">
        <v>9</v>
      </c>
      <c r="B1309" s="675"/>
      <c r="C1309" s="822" t="s">
        <v>5193</v>
      </c>
      <c r="D1309" s="823" t="s">
        <v>311</v>
      </c>
      <c r="E1309" s="823" t="s">
        <v>320</v>
      </c>
      <c r="F1309" s="822" t="s">
        <v>337</v>
      </c>
      <c r="G1309" s="527" t="s">
        <v>3405</v>
      </c>
      <c r="H1309" s="822" t="s">
        <v>5039</v>
      </c>
      <c r="I1309" s="822" t="s">
        <v>5342</v>
      </c>
      <c r="J1309" s="822"/>
      <c r="K1309" s="822" t="s">
        <v>692</v>
      </c>
      <c r="L1309" s="823" t="s">
        <v>309</v>
      </c>
      <c r="M1309" s="824">
        <v>500000</v>
      </c>
      <c r="N1309" s="819" t="s">
        <v>5042</v>
      </c>
    </row>
    <row r="1310" spans="1:14">
      <c r="A1310" s="123">
        <v>9</v>
      </c>
      <c r="B1310" s="675"/>
      <c r="C1310" s="821"/>
      <c r="D1310" s="819"/>
      <c r="E1310" s="819"/>
      <c r="F1310" s="821"/>
      <c r="G1310" s="149" t="s">
        <v>5194</v>
      </c>
      <c r="H1310" s="821"/>
      <c r="I1310" s="821"/>
      <c r="J1310" s="821"/>
      <c r="K1310" s="821"/>
      <c r="L1310" s="819"/>
      <c r="M1310" s="820"/>
      <c r="N1310" s="819"/>
    </row>
    <row r="1311" spans="1:14" ht="24">
      <c r="A1311" s="123">
        <v>9</v>
      </c>
      <c r="B1311" s="675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7" t="s">
        <v>5196</v>
      </c>
      <c r="J1311" s="149"/>
      <c r="K1311" s="149" t="s">
        <v>731</v>
      </c>
      <c r="L1311" s="148" t="s">
        <v>309</v>
      </c>
      <c r="M1311" s="512">
        <v>300000</v>
      </c>
      <c r="N1311" s="148" t="s">
        <v>5042</v>
      </c>
    </row>
    <row r="1312" spans="1:14">
      <c r="A1312" s="123">
        <v>9</v>
      </c>
      <c r="B1312" s="675"/>
      <c r="C1312" s="822" t="s">
        <v>5197</v>
      </c>
      <c r="D1312" s="823" t="s">
        <v>311</v>
      </c>
      <c r="E1312" s="823" t="s">
        <v>675</v>
      </c>
      <c r="F1312" s="822" t="s">
        <v>5198</v>
      </c>
      <c r="G1312" s="528" t="s">
        <v>1923</v>
      </c>
      <c r="H1312" s="822" t="s">
        <v>347</v>
      </c>
      <c r="I1312" s="822" t="s">
        <v>5345</v>
      </c>
      <c r="J1312" s="822"/>
      <c r="K1312" s="822" t="s">
        <v>692</v>
      </c>
      <c r="L1312" s="823" t="s">
        <v>309</v>
      </c>
      <c r="M1312" s="827">
        <v>500000</v>
      </c>
      <c r="N1312" s="819" t="s">
        <v>1929</v>
      </c>
    </row>
    <row r="1313" spans="1:14">
      <c r="A1313" s="123">
        <v>9</v>
      </c>
      <c r="B1313" s="675"/>
      <c r="C1313" s="821"/>
      <c r="D1313" s="819"/>
      <c r="E1313" s="819"/>
      <c r="F1313" s="821"/>
      <c r="G1313" s="496" t="s">
        <v>5199</v>
      </c>
      <c r="H1313" s="821"/>
      <c r="I1313" s="821"/>
      <c r="J1313" s="821"/>
      <c r="K1313" s="821"/>
      <c r="L1313" s="819"/>
      <c r="M1313" s="828"/>
      <c r="N1313" s="819"/>
    </row>
    <row r="1314" spans="1:14">
      <c r="A1314" s="123">
        <v>10</v>
      </c>
      <c r="B1314" s="675" t="s">
        <v>5180</v>
      </c>
      <c r="C1314" s="514" t="s">
        <v>5200</v>
      </c>
      <c r="D1314" s="515" t="s">
        <v>306</v>
      </c>
      <c r="E1314" s="515" t="s">
        <v>322</v>
      </c>
      <c r="F1314" s="515" t="s">
        <v>307</v>
      </c>
      <c r="G1314" s="514">
        <v>8263</v>
      </c>
      <c r="H1314" s="514" t="s">
        <v>3179</v>
      </c>
      <c r="I1314" s="514" t="s">
        <v>1096</v>
      </c>
      <c r="J1314" s="515" t="s">
        <v>664</v>
      </c>
      <c r="K1314" s="515" t="s">
        <v>4979</v>
      </c>
      <c r="L1314" s="515"/>
      <c r="M1314" s="516">
        <v>750000</v>
      </c>
      <c r="N1314" s="148"/>
    </row>
    <row r="1315" spans="1:14">
      <c r="A1315" s="123">
        <v>10</v>
      </c>
      <c r="B1315" s="675"/>
      <c r="C1315" s="514" t="s">
        <v>5201</v>
      </c>
      <c r="D1315" s="515" t="s">
        <v>306</v>
      </c>
      <c r="E1315" s="515" t="s">
        <v>322</v>
      </c>
      <c r="F1315" s="515" t="s">
        <v>307</v>
      </c>
      <c r="G1315" s="514" t="s">
        <v>5202</v>
      </c>
      <c r="H1315" s="514" t="s">
        <v>5203</v>
      </c>
      <c r="I1315" s="514" t="s">
        <v>5204</v>
      </c>
      <c r="J1315" s="515" t="s">
        <v>664</v>
      </c>
      <c r="K1315" s="515" t="s">
        <v>4981</v>
      </c>
      <c r="L1315" s="515"/>
      <c r="M1315" s="516">
        <v>500000</v>
      </c>
      <c r="N1315" s="148"/>
    </row>
    <row r="1316" spans="1:14">
      <c r="A1316" s="123">
        <v>10</v>
      </c>
      <c r="B1316" s="675"/>
      <c r="C1316" s="552" t="s">
        <v>5205</v>
      </c>
      <c r="D1316" s="544" t="s">
        <v>306</v>
      </c>
      <c r="E1316" s="544" t="s">
        <v>322</v>
      </c>
      <c r="F1316" s="544" t="s">
        <v>307</v>
      </c>
      <c r="G1316" s="552" t="s">
        <v>4974</v>
      </c>
      <c r="H1316" s="552" t="s">
        <v>347</v>
      </c>
      <c r="I1316" s="552" t="s">
        <v>4925</v>
      </c>
      <c r="J1316" s="544" t="s">
        <v>664</v>
      </c>
      <c r="K1316" s="544" t="s">
        <v>3186</v>
      </c>
      <c r="L1316" s="544"/>
      <c r="M1316" s="545">
        <v>1250000</v>
      </c>
      <c r="N1316" s="148"/>
    </row>
    <row r="1317" spans="1:14">
      <c r="A1317" s="123">
        <v>10</v>
      </c>
      <c r="B1317" s="675"/>
      <c r="C1317" s="552" t="s">
        <v>5205</v>
      </c>
      <c r="D1317" s="544" t="s">
        <v>306</v>
      </c>
      <c r="E1317" s="544" t="s">
        <v>322</v>
      </c>
      <c r="F1317" s="544" t="s">
        <v>307</v>
      </c>
      <c r="G1317" s="552" t="s">
        <v>4812</v>
      </c>
      <c r="H1317" s="552" t="s">
        <v>662</v>
      </c>
      <c r="I1317" s="552" t="s">
        <v>1096</v>
      </c>
      <c r="J1317" s="544" t="s">
        <v>664</v>
      </c>
      <c r="K1317" s="544" t="s">
        <v>3186</v>
      </c>
      <c r="L1317" s="544"/>
      <c r="M1317" s="545">
        <v>1250000</v>
      </c>
      <c r="N1317" s="148"/>
    </row>
    <row r="1318" spans="1:14">
      <c r="A1318" s="123">
        <v>10</v>
      </c>
      <c r="B1318" s="675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7" t="s">
        <v>5207</v>
      </c>
      <c r="J1318" s="149"/>
      <c r="K1318" s="149" t="s">
        <v>731</v>
      </c>
      <c r="L1318" s="148" t="s">
        <v>309</v>
      </c>
      <c r="M1318" s="512">
        <v>300000</v>
      </c>
      <c r="N1318" s="148" t="s">
        <v>5208</v>
      </c>
    </row>
    <row r="1319" spans="1:14">
      <c r="A1319" s="123">
        <v>10</v>
      </c>
      <c r="B1319" s="675"/>
      <c r="C1319" s="527" t="s">
        <v>5343</v>
      </c>
      <c r="D1319" s="529" t="s">
        <v>311</v>
      </c>
      <c r="E1319" s="529" t="s">
        <v>320</v>
      </c>
      <c r="F1319" s="528" t="s">
        <v>337</v>
      </c>
      <c r="G1319" s="527" t="s">
        <v>3058</v>
      </c>
      <c r="H1319" s="527" t="s">
        <v>3061</v>
      </c>
      <c r="I1319" s="527" t="s">
        <v>5344</v>
      </c>
      <c r="J1319" s="527" t="s">
        <v>638</v>
      </c>
      <c r="K1319" s="527" t="s">
        <v>692</v>
      </c>
      <c r="L1319" s="529" t="s">
        <v>309</v>
      </c>
      <c r="M1319" s="530">
        <v>500000</v>
      </c>
      <c r="N1319" s="148" t="s">
        <v>5208</v>
      </c>
    </row>
    <row r="1320" spans="1:14" ht="25.5">
      <c r="A1320" s="123">
        <v>10</v>
      </c>
      <c r="B1320" s="675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12">
        <v>300000</v>
      </c>
      <c r="N1320" s="148" t="s">
        <v>5208</v>
      </c>
    </row>
    <row r="1321" spans="1:14">
      <c r="A1321" s="123">
        <v>10</v>
      </c>
      <c r="B1321" s="675"/>
      <c r="C1321" s="821" t="s">
        <v>5211</v>
      </c>
      <c r="D1321" s="819" t="s">
        <v>311</v>
      </c>
      <c r="E1321" s="819" t="s">
        <v>320</v>
      </c>
      <c r="F1321" s="821" t="s">
        <v>337</v>
      </c>
      <c r="G1321" s="821" t="s">
        <v>3172</v>
      </c>
      <c r="H1321" s="821" t="s">
        <v>3061</v>
      </c>
      <c r="I1321" s="497" t="s">
        <v>5186</v>
      </c>
      <c r="J1321" s="821" t="s">
        <v>638</v>
      </c>
      <c r="K1321" s="821" t="s">
        <v>705</v>
      </c>
      <c r="L1321" s="819" t="s">
        <v>309</v>
      </c>
      <c r="M1321" s="820">
        <v>500000</v>
      </c>
      <c r="N1321" s="819" t="s">
        <v>1206</v>
      </c>
    </row>
    <row r="1322" spans="1:14">
      <c r="A1322" s="123">
        <v>10</v>
      </c>
      <c r="B1322" s="675"/>
      <c r="C1322" s="821"/>
      <c r="D1322" s="819"/>
      <c r="E1322" s="819"/>
      <c r="F1322" s="821"/>
      <c r="G1322" s="821"/>
      <c r="H1322" s="821"/>
      <c r="I1322" s="497" t="s">
        <v>5187</v>
      </c>
      <c r="J1322" s="821"/>
      <c r="K1322" s="821"/>
      <c r="L1322" s="819"/>
      <c r="M1322" s="820"/>
      <c r="N1322" s="819"/>
    </row>
    <row r="1323" spans="1:14">
      <c r="A1323" s="123">
        <v>10</v>
      </c>
      <c r="B1323" s="675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12">
        <v>250000</v>
      </c>
      <c r="N1323" s="148" t="s">
        <v>5042</v>
      </c>
    </row>
    <row r="1324" spans="1:14">
      <c r="A1324" s="123">
        <v>10</v>
      </c>
      <c r="B1324" s="675"/>
      <c r="C1324" s="527" t="s">
        <v>5212</v>
      </c>
      <c r="D1324" s="529" t="s">
        <v>311</v>
      </c>
      <c r="E1324" s="529" t="s">
        <v>675</v>
      </c>
      <c r="F1324" s="527" t="s">
        <v>720</v>
      </c>
      <c r="G1324" s="527" t="s">
        <v>1760</v>
      </c>
      <c r="H1324" s="527" t="s">
        <v>347</v>
      </c>
      <c r="I1324" s="527" t="s">
        <v>5346</v>
      </c>
      <c r="J1324" s="527" t="s">
        <v>638</v>
      </c>
      <c r="K1324" s="527" t="s">
        <v>713</v>
      </c>
      <c r="L1324" s="529" t="s">
        <v>309</v>
      </c>
      <c r="M1324" s="530">
        <v>250000</v>
      </c>
      <c r="N1324" s="148" t="s">
        <v>5042</v>
      </c>
    </row>
    <row r="1325" spans="1:14">
      <c r="A1325" s="123">
        <v>10</v>
      </c>
      <c r="B1325" s="675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12">
        <v>250000</v>
      </c>
      <c r="N1325" s="148" t="s">
        <v>5042</v>
      </c>
    </row>
    <row r="1326" spans="1:14">
      <c r="A1326" s="123">
        <v>10</v>
      </c>
      <c r="B1326" s="675"/>
      <c r="C1326" s="821" t="s">
        <v>5212</v>
      </c>
      <c r="D1326" s="819" t="s">
        <v>311</v>
      </c>
      <c r="E1326" s="819" t="s">
        <v>320</v>
      </c>
      <c r="F1326" s="821" t="s">
        <v>337</v>
      </c>
      <c r="G1326" s="821" t="s">
        <v>3172</v>
      </c>
      <c r="H1326" s="821" t="s">
        <v>3061</v>
      </c>
      <c r="I1326" s="497" t="s">
        <v>5186</v>
      </c>
      <c r="J1326" s="821"/>
      <c r="K1326" s="821" t="s">
        <v>705</v>
      </c>
      <c r="L1326" s="819" t="s">
        <v>309</v>
      </c>
      <c r="M1326" s="820">
        <v>500000</v>
      </c>
      <c r="N1326" s="819" t="s">
        <v>1206</v>
      </c>
    </row>
    <row r="1327" spans="1:14">
      <c r="A1327" s="123">
        <v>10</v>
      </c>
      <c r="B1327" s="675"/>
      <c r="C1327" s="821"/>
      <c r="D1327" s="819"/>
      <c r="E1327" s="819"/>
      <c r="F1327" s="821"/>
      <c r="G1327" s="821"/>
      <c r="H1327" s="821"/>
      <c r="I1327" s="497" t="s">
        <v>5187</v>
      </c>
      <c r="J1327" s="821"/>
      <c r="K1327" s="821"/>
      <c r="L1327" s="819"/>
      <c r="M1327" s="820"/>
      <c r="N1327" s="819"/>
    </row>
    <row r="1328" spans="1:14" ht="25.5">
      <c r="A1328" s="123">
        <v>10</v>
      </c>
      <c r="B1328" s="675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12">
        <v>600000</v>
      </c>
      <c r="N1328" s="148" t="s">
        <v>5042</v>
      </c>
    </row>
    <row r="1329" spans="1:14">
      <c r="A1329" s="123">
        <v>10</v>
      </c>
      <c r="B1329" s="675"/>
      <c r="C1329" s="822" t="s">
        <v>5219</v>
      </c>
      <c r="D1329" s="823" t="s">
        <v>311</v>
      </c>
      <c r="E1329" s="823" t="s">
        <v>675</v>
      </c>
      <c r="F1329" s="527" t="s">
        <v>5220</v>
      </c>
      <c r="G1329" s="822" t="s">
        <v>5222</v>
      </c>
      <c r="H1329" s="822" t="s">
        <v>662</v>
      </c>
      <c r="I1329" s="822" t="s">
        <v>5347</v>
      </c>
      <c r="J1329" s="822" t="s">
        <v>638</v>
      </c>
      <c r="K1329" s="822" t="s">
        <v>713</v>
      </c>
      <c r="L1329" s="823" t="s">
        <v>309</v>
      </c>
      <c r="M1329" s="824">
        <v>250000</v>
      </c>
      <c r="N1329" s="819" t="s">
        <v>5042</v>
      </c>
    </row>
    <row r="1330" spans="1:14">
      <c r="A1330" s="123">
        <v>10</v>
      </c>
      <c r="B1330" s="675"/>
      <c r="C1330" s="821"/>
      <c r="D1330" s="819"/>
      <c r="E1330" s="819"/>
      <c r="F1330" s="149" t="s">
        <v>5221</v>
      </c>
      <c r="G1330" s="821"/>
      <c r="H1330" s="821"/>
      <c r="I1330" s="821"/>
      <c r="J1330" s="821"/>
      <c r="K1330" s="821"/>
      <c r="L1330" s="819"/>
      <c r="M1330" s="820"/>
      <c r="N1330" s="819"/>
    </row>
    <row r="1331" spans="1:14">
      <c r="A1331" s="123">
        <v>10</v>
      </c>
      <c r="B1331" s="675"/>
      <c r="C1331" s="822" t="s">
        <v>5223</v>
      </c>
      <c r="D1331" s="823" t="s">
        <v>311</v>
      </c>
      <c r="E1331" s="823" t="s">
        <v>675</v>
      </c>
      <c r="F1331" s="822" t="s">
        <v>5224</v>
      </c>
      <c r="G1331" s="528" t="s">
        <v>5136</v>
      </c>
      <c r="H1331" s="833" t="s">
        <v>347</v>
      </c>
      <c r="I1331" s="527" t="s">
        <v>5348</v>
      </c>
      <c r="J1331" s="822"/>
      <c r="K1331" s="822" t="s">
        <v>692</v>
      </c>
      <c r="L1331" s="823" t="s">
        <v>309</v>
      </c>
      <c r="M1331" s="824">
        <v>500000</v>
      </c>
      <c r="N1331" s="819" t="s">
        <v>5042</v>
      </c>
    </row>
    <row r="1332" spans="1:14">
      <c r="A1332" s="123">
        <v>10</v>
      </c>
      <c r="B1332" s="675"/>
      <c r="C1332" s="821"/>
      <c r="D1332" s="819"/>
      <c r="E1332" s="819"/>
      <c r="F1332" s="821"/>
      <c r="G1332" s="496" t="s">
        <v>5225</v>
      </c>
      <c r="H1332" s="834"/>
      <c r="I1332" s="149" t="s">
        <v>5227</v>
      </c>
      <c r="J1332" s="821"/>
      <c r="K1332" s="821"/>
      <c r="L1332" s="819"/>
      <c r="M1332" s="820"/>
      <c r="N1332" s="819"/>
    </row>
    <row r="1333" spans="1:14">
      <c r="A1333" s="123">
        <v>11</v>
      </c>
      <c r="B1333" s="675" t="s">
        <v>5243</v>
      </c>
      <c r="C1333" s="497" t="s">
        <v>5228</v>
      </c>
      <c r="D1333" s="499" t="s">
        <v>306</v>
      </c>
      <c r="E1333" s="499" t="s">
        <v>322</v>
      </c>
      <c r="F1333" s="499" t="s">
        <v>307</v>
      </c>
      <c r="G1333" s="497">
        <v>7062</v>
      </c>
      <c r="H1333" s="497" t="s">
        <v>1818</v>
      </c>
      <c r="I1333" s="497" t="s">
        <v>5229</v>
      </c>
      <c r="J1333" s="499" t="s">
        <v>664</v>
      </c>
      <c r="K1333" s="499" t="s">
        <v>5131</v>
      </c>
      <c r="L1333" s="499"/>
      <c r="M1333" s="502">
        <v>300000</v>
      </c>
      <c r="N1333" s="499" t="s">
        <v>5230</v>
      </c>
    </row>
    <row r="1334" spans="1:14">
      <c r="A1334" s="123">
        <v>11</v>
      </c>
      <c r="B1334" s="675"/>
      <c r="C1334" s="517" t="s">
        <v>5231</v>
      </c>
      <c r="D1334" s="518" t="s">
        <v>306</v>
      </c>
      <c r="E1334" s="518" t="s">
        <v>322</v>
      </c>
      <c r="F1334" s="518" t="s">
        <v>307</v>
      </c>
      <c r="G1334" s="517" t="s">
        <v>4948</v>
      </c>
      <c r="H1334" s="517" t="s">
        <v>3179</v>
      </c>
      <c r="I1334" s="517" t="s">
        <v>1096</v>
      </c>
      <c r="J1334" s="518" t="s">
        <v>664</v>
      </c>
      <c r="K1334" s="518" t="s">
        <v>5121</v>
      </c>
      <c r="L1334" s="518"/>
      <c r="M1334" s="519">
        <v>1250000</v>
      </c>
      <c r="N1334" s="499"/>
    </row>
    <row r="1335" spans="1:14">
      <c r="A1335" s="123">
        <v>11</v>
      </c>
      <c r="B1335" s="675"/>
      <c r="C1335" s="553" t="s">
        <v>5231</v>
      </c>
      <c r="D1335" s="546" t="s">
        <v>306</v>
      </c>
      <c r="E1335" s="546" t="s">
        <v>322</v>
      </c>
      <c r="F1335" s="546" t="s">
        <v>307</v>
      </c>
      <c r="G1335" s="553" t="s">
        <v>4948</v>
      </c>
      <c r="H1335" s="553" t="s">
        <v>3179</v>
      </c>
      <c r="I1335" s="553" t="s">
        <v>5353</v>
      </c>
      <c r="J1335" s="546" t="s">
        <v>664</v>
      </c>
      <c r="K1335" s="546" t="s">
        <v>5232</v>
      </c>
      <c r="L1335" s="546"/>
      <c r="M1335" s="547">
        <v>750000</v>
      </c>
      <c r="N1335" s="499"/>
    </row>
    <row r="1336" spans="1:14">
      <c r="A1336" s="123">
        <v>11</v>
      </c>
      <c r="B1336" s="675"/>
      <c r="C1336" s="553" t="s">
        <v>5231</v>
      </c>
      <c r="D1336" s="546" t="s">
        <v>306</v>
      </c>
      <c r="E1336" s="546" t="s">
        <v>322</v>
      </c>
      <c r="F1336" s="546" t="s">
        <v>307</v>
      </c>
      <c r="G1336" s="553" t="s">
        <v>4948</v>
      </c>
      <c r="H1336" s="553" t="s">
        <v>3179</v>
      </c>
      <c r="I1336" s="553" t="s">
        <v>5204</v>
      </c>
      <c r="J1336" s="546" t="s">
        <v>664</v>
      </c>
      <c r="K1336" s="546" t="s">
        <v>5233</v>
      </c>
      <c r="L1336" s="546"/>
      <c r="M1336" s="547">
        <v>500000</v>
      </c>
      <c r="N1336" s="499"/>
    </row>
    <row r="1337" spans="1:14">
      <c r="A1337" s="123">
        <v>11</v>
      </c>
      <c r="B1337" s="675"/>
      <c r="C1337" s="553" t="s">
        <v>5231</v>
      </c>
      <c r="D1337" s="546" t="s">
        <v>306</v>
      </c>
      <c r="E1337" s="546" t="s">
        <v>322</v>
      </c>
      <c r="F1337" s="546" t="s">
        <v>307</v>
      </c>
      <c r="G1337" s="553" t="s">
        <v>5234</v>
      </c>
      <c r="H1337" s="553" t="s">
        <v>3117</v>
      </c>
      <c r="I1337" s="553" t="s">
        <v>4925</v>
      </c>
      <c r="J1337" s="546" t="s">
        <v>664</v>
      </c>
      <c r="K1337" s="546" t="s">
        <v>3186</v>
      </c>
      <c r="L1337" s="546"/>
      <c r="M1337" s="547">
        <v>1250000</v>
      </c>
      <c r="N1337" s="499"/>
    </row>
    <row r="1338" spans="1:14">
      <c r="A1338" s="123">
        <v>11</v>
      </c>
      <c r="B1338" s="675"/>
      <c r="C1338" s="534" t="s">
        <v>5231</v>
      </c>
      <c r="D1338" s="535" t="s">
        <v>306</v>
      </c>
      <c r="E1338" s="535" t="s">
        <v>322</v>
      </c>
      <c r="F1338" s="535" t="s">
        <v>307</v>
      </c>
      <c r="G1338" s="534">
        <v>7062</v>
      </c>
      <c r="H1338" s="534" t="s">
        <v>347</v>
      </c>
      <c r="I1338" s="534" t="s">
        <v>4925</v>
      </c>
      <c r="J1338" s="535" t="s">
        <v>664</v>
      </c>
      <c r="K1338" s="535" t="s">
        <v>692</v>
      </c>
      <c r="L1338" s="535"/>
      <c r="M1338" s="536">
        <v>500000</v>
      </c>
      <c r="N1338" s="499"/>
    </row>
    <row r="1339" spans="1:14">
      <c r="A1339" s="123">
        <v>11</v>
      </c>
      <c r="B1339" s="675" t="s">
        <v>5173</v>
      </c>
      <c r="C1339" s="833" t="s">
        <v>5228</v>
      </c>
      <c r="D1339" s="835" t="s">
        <v>311</v>
      </c>
      <c r="E1339" s="835" t="s">
        <v>675</v>
      </c>
      <c r="F1339" s="833" t="s">
        <v>5224</v>
      </c>
      <c r="G1339" s="531" t="s">
        <v>5136</v>
      </c>
      <c r="H1339" s="833" t="s">
        <v>347</v>
      </c>
      <c r="I1339" s="531" t="s">
        <v>5226</v>
      </c>
      <c r="J1339" s="833"/>
      <c r="K1339" s="833" t="s">
        <v>692</v>
      </c>
      <c r="L1339" s="835" t="s">
        <v>309</v>
      </c>
      <c r="M1339" s="836">
        <v>500000</v>
      </c>
      <c r="N1339" s="834" t="s">
        <v>5235</v>
      </c>
    </row>
    <row r="1340" spans="1:14">
      <c r="A1340" s="123">
        <v>11</v>
      </c>
      <c r="B1340" s="675"/>
      <c r="C1340" s="834"/>
      <c r="D1340" s="831"/>
      <c r="E1340" s="831"/>
      <c r="F1340" s="834"/>
      <c r="G1340" s="497" t="s">
        <v>5225</v>
      </c>
      <c r="H1340" s="834"/>
      <c r="I1340" s="497" t="s">
        <v>5227</v>
      </c>
      <c r="J1340" s="834"/>
      <c r="K1340" s="834"/>
      <c r="L1340" s="831"/>
      <c r="M1340" s="837"/>
      <c r="N1340" s="834"/>
    </row>
    <row r="1341" spans="1:14">
      <c r="A1341" s="123">
        <v>11</v>
      </c>
      <c r="B1341" s="675"/>
      <c r="C1341" s="553" t="s">
        <v>5349</v>
      </c>
      <c r="D1341" s="546" t="s">
        <v>311</v>
      </c>
      <c r="E1341" s="546" t="s">
        <v>320</v>
      </c>
      <c r="F1341" s="553" t="s">
        <v>2605</v>
      </c>
      <c r="G1341" s="553" t="s">
        <v>4934</v>
      </c>
      <c r="H1341" s="553" t="s">
        <v>3117</v>
      </c>
      <c r="I1341" s="553" t="s">
        <v>5350</v>
      </c>
      <c r="J1341" s="534" t="s">
        <v>1111</v>
      </c>
      <c r="K1341" s="534" t="s">
        <v>5236</v>
      </c>
      <c r="L1341" s="535" t="s">
        <v>309</v>
      </c>
      <c r="M1341" s="537">
        <v>500000</v>
      </c>
      <c r="N1341" s="497" t="s">
        <v>5237</v>
      </c>
    </row>
    <row r="1342" spans="1:14">
      <c r="A1342" s="123">
        <v>11</v>
      </c>
      <c r="B1342" s="675"/>
      <c r="C1342" s="500" t="s">
        <v>5238</v>
      </c>
      <c r="D1342" s="501" t="s">
        <v>311</v>
      </c>
      <c r="E1342" s="501" t="s">
        <v>320</v>
      </c>
      <c r="F1342" s="500" t="s">
        <v>337</v>
      </c>
      <c r="G1342" s="500" t="s">
        <v>3172</v>
      </c>
      <c r="H1342" s="500" t="s">
        <v>3061</v>
      </c>
      <c r="I1342" s="500" t="s">
        <v>5239</v>
      </c>
      <c r="J1342" s="500" t="s">
        <v>702</v>
      </c>
      <c r="K1342" s="500" t="s">
        <v>5240</v>
      </c>
      <c r="L1342" s="501" t="s">
        <v>309</v>
      </c>
      <c r="M1342" s="513">
        <v>800000</v>
      </c>
      <c r="N1342" s="497" t="s">
        <v>5241</v>
      </c>
    </row>
    <row r="1343" spans="1:14" ht="36">
      <c r="A1343" s="123">
        <v>11</v>
      </c>
      <c r="B1343" s="675"/>
      <c r="C1343" s="531" t="s">
        <v>5238</v>
      </c>
      <c r="D1343" s="532" t="s">
        <v>311</v>
      </c>
      <c r="E1343" s="532" t="s">
        <v>320</v>
      </c>
      <c r="F1343" s="531" t="s">
        <v>709</v>
      </c>
      <c r="G1343" s="531" t="s">
        <v>3102</v>
      </c>
      <c r="H1343" s="531" t="s">
        <v>3103</v>
      </c>
      <c r="I1343" s="531" t="s">
        <v>5351</v>
      </c>
      <c r="J1343" s="531" t="s">
        <v>638</v>
      </c>
      <c r="K1343" s="531" t="s">
        <v>713</v>
      </c>
      <c r="L1343" s="532" t="s">
        <v>309</v>
      </c>
      <c r="M1343" s="533">
        <v>250000</v>
      </c>
      <c r="N1343" s="497" t="s">
        <v>5242</v>
      </c>
    </row>
    <row r="1344" spans="1:14">
      <c r="A1344" s="123">
        <v>12</v>
      </c>
      <c r="B1344" s="675" t="s">
        <v>5180</v>
      </c>
      <c r="C1344" s="554">
        <v>46102</v>
      </c>
      <c r="D1344" s="548" t="s">
        <v>19</v>
      </c>
      <c r="E1344" s="548" t="s">
        <v>25</v>
      </c>
      <c r="F1344" s="548" t="s">
        <v>307</v>
      </c>
      <c r="G1344" s="555">
        <v>7062</v>
      </c>
      <c r="H1344" s="556" t="s">
        <v>4924</v>
      </c>
      <c r="I1344" s="557" t="s">
        <v>4926</v>
      </c>
      <c r="J1344" s="548" t="s">
        <v>4928</v>
      </c>
      <c r="K1344" s="548" t="s">
        <v>4929</v>
      </c>
      <c r="L1344" s="548"/>
      <c r="M1344" s="549">
        <v>250000</v>
      </c>
      <c r="N1344" s="26"/>
    </row>
    <row r="1345" spans="1:14">
      <c r="A1345" s="123">
        <v>12</v>
      </c>
      <c r="B1345" s="675"/>
      <c r="C1345" s="538">
        <v>46104</v>
      </c>
      <c r="D1345" s="539" t="s">
        <v>19</v>
      </c>
      <c r="E1345" s="539" t="s">
        <v>25</v>
      </c>
      <c r="F1345" s="539" t="s">
        <v>307</v>
      </c>
      <c r="G1345" s="540" t="s">
        <v>4935</v>
      </c>
      <c r="H1345" s="541" t="s">
        <v>4936</v>
      </c>
      <c r="I1345" s="542" t="s">
        <v>5352</v>
      </c>
      <c r="J1345" s="539" t="s">
        <v>4928</v>
      </c>
      <c r="K1345" s="539" t="s">
        <v>4947</v>
      </c>
      <c r="L1345" s="539"/>
      <c r="M1345" s="543">
        <f>250000*2</f>
        <v>500000</v>
      </c>
      <c r="N1345" s="26"/>
    </row>
    <row r="1346" spans="1:14">
      <c r="A1346" s="123">
        <v>12</v>
      </c>
      <c r="B1346" s="675"/>
      <c r="C1346" s="538" t="s">
        <v>4932</v>
      </c>
      <c r="D1346" s="539" t="s">
        <v>19</v>
      </c>
      <c r="E1346" s="539" t="s">
        <v>25</v>
      </c>
      <c r="F1346" s="539" t="s">
        <v>307</v>
      </c>
      <c r="G1346" s="540" t="s">
        <v>4930</v>
      </c>
      <c r="H1346" s="541" t="s">
        <v>4931</v>
      </c>
      <c r="I1346" s="542" t="s">
        <v>4926</v>
      </c>
      <c r="J1346" s="539" t="s">
        <v>4928</v>
      </c>
      <c r="K1346" s="539" t="s">
        <v>4933</v>
      </c>
      <c r="L1346" s="539"/>
      <c r="M1346" s="543">
        <f>250000*4</f>
        <v>1000000</v>
      </c>
      <c r="N1346" s="26"/>
    </row>
    <row r="1347" spans="1:14">
      <c r="A1347" s="123">
        <v>12</v>
      </c>
      <c r="B1347" s="675"/>
      <c r="C1347" s="554" t="s">
        <v>4923</v>
      </c>
      <c r="D1347" s="548" t="s">
        <v>19</v>
      </c>
      <c r="E1347" s="548" t="s">
        <v>25</v>
      </c>
      <c r="F1347" s="548" t="s">
        <v>307</v>
      </c>
      <c r="G1347" s="555" t="s">
        <v>4949</v>
      </c>
      <c r="H1347" s="556" t="s">
        <v>4950</v>
      </c>
      <c r="I1347" s="557" t="s">
        <v>4951</v>
      </c>
      <c r="J1347" s="548" t="s">
        <v>4927</v>
      </c>
      <c r="K1347" s="520" t="s">
        <v>5335</v>
      </c>
      <c r="L1347" s="251"/>
      <c r="M1347" s="526">
        <f>250000*10</f>
        <v>2500000</v>
      </c>
      <c r="N1347" s="26"/>
    </row>
    <row r="1348" spans="1:14">
      <c r="A1348" s="123">
        <v>12</v>
      </c>
      <c r="B1348" s="675"/>
      <c r="C1348" s="488" t="s">
        <v>4955</v>
      </c>
      <c r="D1348" s="251" t="s">
        <v>19</v>
      </c>
      <c r="E1348" s="251" t="s">
        <v>25</v>
      </c>
      <c r="F1348" s="251" t="s">
        <v>307</v>
      </c>
      <c r="G1348" s="482" t="s">
        <v>4949</v>
      </c>
      <c r="H1348" s="483" t="s">
        <v>4960</v>
      </c>
      <c r="I1348" s="252" t="s">
        <v>4959</v>
      </c>
      <c r="J1348" s="251" t="s">
        <v>4952</v>
      </c>
      <c r="K1348" s="550" t="s">
        <v>4956</v>
      </c>
      <c r="L1348" s="550"/>
      <c r="M1348" s="551">
        <f>250000*2</f>
        <v>500000</v>
      </c>
      <c r="N1348" s="26"/>
    </row>
    <row r="1349" spans="1:14">
      <c r="A1349" s="123">
        <v>12</v>
      </c>
      <c r="B1349" s="675"/>
      <c r="C1349" s="488" t="s">
        <v>4923</v>
      </c>
      <c r="D1349" s="251" t="s">
        <v>19</v>
      </c>
      <c r="E1349" s="251" t="s">
        <v>25</v>
      </c>
      <c r="F1349" s="251" t="s">
        <v>307</v>
      </c>
      <c r="G1349" s="482" t="s">
        <v>4957</v>
      </c>
      <c r="H1349" s="483" t="s">
        <v>4958</v>
      </c>
      <c r="I1349" s="252" t="s">
        <v>4959</v>
      </c>
      <c r="J1349" s="251" t="s">
        <v>4952</v>
      </c>
      <c r="K1349" s="550" t="s">
        <v>4954</v>
      </c>
      <c r="L1349" s="550"/>
      <c r="M1349" s="551">
        <f>250000*3</f>
        <v>750000</v>
      </c>
      <c r="N1349" s="26"/>
    </row>
    <row r="1350" spans="1:14">
      <c r="A1350" s="123">
        <v>12</v>
      </c>
      <c r="B1350" s="675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5">
        <v>500000</v>
      </c>
      <c r="N1350" s="486" t="s">
        <v>4962</v>
      </c>
    </row>
    <row r="1351" spans="1:14">
      <c r="A1351" s="123">
        <v>12</v>
      </c>
      <c r="B1351" s="675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87">
        <v>500000</v>
      </c>
      <c r="N1351" s="486" t="s">
        <v>4963</v>
      </c>
    </row>
    <row r="1352" spans="1:14" ht="27">
      <c r="A1352" s="123">
        <v>12</v>
      </c>
      <c r="B1352" s="675"/>
      <c r="C1352" s="127">
        <v>46105</v>
      </c>
      <c r="D1352" s="3" t="s">
        <v>21</v>
      </c>
      <c r="E1352" s="3" t="s">
        <v>14</v>
      </c>
      <c r="F1352" s="493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87">
        <v>600000</v>
      </c>
      <c r="N1352" s="486" t="s">
        <v>4964</v>
      </c>
    </row>
    <row r="1353" spans="1:14">
      <c r="A1353" s="123">
        <v>12</v>
      </c>
      <c r="B1353" s="675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5">
        <v>500000</v>
      </c>
      <c r="N1353" s="486" t="s">
        <v>4965</v>
      </c>
    </row>
    <row r="1354" spans="1:14">
      <c r="A1354" s="123">
        <v>13</v>
      </c>
      <c r="B1354" s="675" t="s">
        <v>5334</v>
      </c>
      <c r="C1354" s="406">
        <v>46106</v>
      </c>
      <c r="D1354" s="251" t="s">
        <v>124</v>
      </c>
      <c r="E1354" s="251" t="s">
        <v>151</v>
      </c>
      <c r="F1354" s="251" t="s">
        <v>5264</v>
      </c>
      <c r="G1354" s="482">
        <v>594</v>
      </c>
      <c r="H1354" s="483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4">
        <v>250000</v>
      </c>
    </row>
    <row r="1355" spans="1:14">
      <c r="A1355" s="123">
        <v>13</v>
      </c>
      <c r="B1355" s="675"/>
      <c r="C1355" s="406">
        <v>46107</v>
      </c>
      <c r="D1355" s="251" t="s">
        <v>124</v>
      </c>
      <c r="E1355" s="251" t="s">
        <v>151</v>
      </c>
      <c r="F1355" s="251" t="s">
        <v>5264</v>
      </c>
      <c r="G1355" s="482" t="s">
        <v>3593</v>
      </c>
      <c r="H1355" s="483" t="s">
        <v>34</v>
      </c>
      <c r="I1355" s="252" t="s">
        <v>5298</v>
      </c>
      <c r="J1355" s="251"/>
      <c r="K1355" s="251" t="s">
        <v>999</v>
      </c>
      <c r="L1355" s="251"/>
      <c r="M1355" s="484">
        <v>300000</v>
      </c>
      <c r="N1355" s="26"/>
    </row>
    <row r="1356" spans="1:14">
      <c r="A1356" s="123">
        <v>13</v>
      </c>
      <c r="B1356" s="675"/>
      <c r="C1356" s="406">
        <v>46107</v>
      </c>
      <c r="D1356" s="251" t="s">
        <v>49</v>
      </c>
      <c r="E1356" s="251" t="s">
        <v>151</v>
      </c>
      <c r="F1356" s="251" t="s">
        <v>5264</v>
      </c>
      <c r="G1356" s="482" t="s">
        <v>5299</v>
      </c>
      <c r="H1356" s="483" t="s">
        <v>102</v>
      </c>
      <c r="I1356" s="252" t="s">
        <v>4276</v>
      </c>
      <c r="J1356" s="251"/>
      <c r="K1356" s="251" t="s">
        <v>3079</v>
      </c>
      <c r="L1356" s="251"/>
      <c r="M1356" s="484">
        <v>300000</v>
      </c>
      <c r="N1356" s="26"/>
    </row>
    <row r="1357" spans="1:14">
      <c r="A1357" s="123">
        <v>13</v>
      </c>
      <c r="B1357" s="675"/>
      <c r="C1357" s="406">
        <v>46108</v>
      </c>
      <c r="D1357" s="251" t="s">
        <v>49</v>
      </c>
      <c r="E1357" s="251" t="s">
        <v>151</v>
      </c>
      <c r="F1357" s="251" t="s">
        <v>5264</v>
      </c>
      <c r="G1357" s="482" t="s">
        <v>3593</v>
      </c>
      <c r="H1357" s="483" t="s">
        <v>34</v>
      </c>
      <c r="I1357" s="252" t="s">
        <v>5298</v>
      </c>
      <c r="J1357" s="251"/>
      <c r="K1357" s="251" t="s">
        <v>999</v>
      </c>
      <c r="L1357" s="251"/>
      <c r="M1357" s="484">
        <v>300000</v>
      </c>
      <c r="N1357" s="26"/>
    </row>
    <row r="1358" spans="1:14" ht="27">
      <c r="A1358" s="123">
        <v>13</v>
      </c>
      <c r="B1358" s="675"/>
      <c r="C1358" s="524" t="s">
        <v>5322</v>
      </c>
      <c r="D1358" s="520" t="s">
        <v>49</v>
      </c>
      <c r="E1358" s="520" t="s">
        <v>151</v>
      </c>
      <c r="F1358" s="520" t="s">
        <v>5264</v>
      </c>
      <c r="G1358" s="521" t="s">
        <v>4949</v>
      </c>
      <c r="H1358" s="522" t="s">
        <v>482</v>
      </c>
      <c r="I1358" s="523" t="s">
        <v>5323</v>
      </c>
      <c r="J1358" s="520" t="s">
        <v>126</v>
      </c>
      <c r="K1358" s="520" t="s">
        <v>5336</v>
      </c>
      <c r="L1358" s="251"/>
      <c r="M1358" s="526">
        <f>250000*7</f>
        <v>1750000</v>
      </c>
      <c r="N1358" s="26"/>
    </row>
    <row r="1359" spans="1:14" ht="27">
      <c r="A1359" s="123">
        <v>13</v>
      </c>
      <c r="B1359" s="675"/>
      <c r="C1359" s="406" t="s">
        <v>5324</v>
      </c>
      <c r="D1359" s="251" t="s">
        <v>49</v>
      </c>
      <c r="E1359" s="251" t="s">
        <v>151</v>
      </c>
      <c r="F1359" s="251" t="s">
        <v>5264</v>
      </c>
      <c r="G1359" s="482" t="s">
        <v>4949</v>
      </c>
      <c r="H1359" s="483" t="s">
        <v>482</v>
      </c>
      <c r="I1359" s="252" t="s">
        <v>5325</v>
      </c>
      <c r="J1359" s="251" t="s">
        <v>1952</v>
      </c>
      <c r="K1359" s="251" t="s">
        <v>3255</v>
      </c>
      <c r="L1359" s="251"/>
      <c r="M1359" s="484">
        <f>250000*5</f>
        <v>1250000</v>
      </c>
      <c r="N1359" s="26"/>
    </row>
    <row r="1360" spans="1:14" ht="27">
      <c r="A1360" s="123">
        <v>13</v>
      </c>
      <c r="B1360" s="675"/>
      <c r="C1360" s="406" t="s">
        <v>5326</v>
      </c>
      <c r="D1360" s="251" t="s">
        <v>49</v>
      </c>
      <c r="E1360" s="251" t="s">
        <v>151</v>
      </c>
      <c r="F1360" s="251" t="s">
        <v>5264</v>
      </c>
      <c r="G1360" s="482" t="s">
        <v>3390</v>
      </c>
      <c r="H1360" s="483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4">
        <f>250000*2</f>
        <v>500000</v>
      </c>
      <c r="N1360" s="26"/>
    </row>
    <row r="1361" spans="1:14" ht="27">
      <c r="A1361" s="123">
        <v>13</v>
      </c>
      <c r="B1361" s="675"/>
      <c r="C1361" s="406" t="s">
        <v>5327</v>
      </c>
      <c r="D1361" s="251" t="s">
        <v>49</v>
      </c>
      <c r="E1361" s="251" t="s">
        <v>151</v>
      </c>
      <c r="F1361" s="251" t="s">
        <v>5264</v>
      </c>
      <c r="G1361" s="482" t="s">
        <v>4957</v>
      </c>
      <c r="H1361" s="483" t="s">
        <v>102</v>
      </c>
      <c r="I1361" s="252" t="s">
        <v>2501</v>
      </c>
      <c r="J1361" s="251" t="s">
        <v>1259</v>
      </c>
      <c r="K1361" s="251" t="s">
        <v>5330</v>
      </c>
      <c r="L1361" s="251"/>
      <c r="M1361" s="484">
        <f>250000*4</f>
        <v>1000000</v>
      </c>
      <c r="N1361" s="26"/>
    </row>
    <row r="1362" spans="1:14" ht="27">
      <c r="A1362" s="123">
        <v>13</v>
      </c>
      <c r="B1362" s="675"/>
      <c r="C1362" s="525" t="s">
        <v>5328</v>
      </c>
      <c r="D1362" s="520" t="s">
        <v>49</v>
      </c>
      <c r="E1362" s="520" t="s">
        <v>151</v>
      </c>
      <c r="F1362" s="520" t="s">
        <v>5264</v>
      </c>
      <c r="G1362" s="521">
        <v>1614</v>
      </c>
      <c r="H1362" s="522" t="s">
        <v>482</v>
      </c>
      <c r="I1362" s="523" t="s">
        <v>378</v>
      </c>
      <c r="J1362" s="520" t="s">
        <v>126</v>
      </c>
      <c r="K1362" s="520" t="s">
        <v>5337</v>
      </c>
      <c r="L1362" s="251"/>
      <c r="M1362" s="526">
        <f>250000*3</f>
        <v>750000</v>
      </c>
      <c r="N1362" s="26"/>
    </row>
    <row r="1363" spans="1:14">
      <c r="A1363" s="123">
        <v>13</v>
      </c>
      <c r="B1363" s="675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5">
        <v>250000</v>
      </c>
      <c r="N1363" s="26"/>
    </row>
    <row r="1364" spans="1:14" ht="27">
      <c r="A1364" s="123">
        <v>13</v>
      </c>
      <c r="B1364" s="675"/>
      <c r="C1364" s="406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5313</v>
      </c>
      <c r="J1364" s="473" t="s">
        <v>90</v>
      </c>
      <c r="K1364" s="473" t="s">
        <v>41</v>
      </c>
      <c r="L1364" s="125" t="s">
        <v>15</v>
      </c>
      <c r="M1364" s="487">
        <v>250000</v>
      </c>
      <c r="N1364" s="26"/>
    </row>
    <row r="1365" spans="1:14" ht="27">
      <c r="A1365" s="123">
        <v>13</v>
      </c>
      <c r="B1365" s="675"/>
      <c r="C1365" s="406">
        <v>46113</v>
      </c>
      <c r="D1365" s="3" t="s">
        <v>21</v>
      </c>
      <c r="E1365" s="3" t="s">
        <v>14</v>
      </c>
      <c r="F1365" s="474" t="s">
        <v>1792</v>
      </c>
      <c r="G1365" s="493" t="s">
        <v>3336</v>
      </c>
      <c r="H1365" s="479" t="s">
        <v>23</v>
      </c>
      <c r="I1365" s="473" t="s">
        <v>5244</v>
      </c>
      <c r="J1365" s="474"/>
      <c r="K1365" s="592" t="s">
        <v>487</v>
      </c>
      <c r="L1365" s="136" t="s">
        <v>15</v>
      </c>
      <c r="M1365" s="487">
        <v>500000</v>
      </c>
      <c r="N1365" s="26"/>
    </row>
    <row r="1366" spans="1:14" ht="27">
      <c r="A1366" s="123">
        <v>13</v>
      </c>
      <c r="B1366" s="675"/>
      <c r="C1366" s="406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3" t="s">
        <v>487</v>
      </c>
      <c r="L1366" s="125" t="s">
        <v>15</v>
      </c>
      <c r="M1366" s="487">
        <v>500000</v>
      </c>
      <c r="N1366" s="26"/>
    </row>
    <row r="1367" spans="1:14">
      <c r="A1367" s="123">
        <v>13</v>
      </c>
      <c r="B1367" s="675"/>
      <c r="C1367" s="406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3" t="s">
        <v>5311</v>
      </c>
      <c r="J1367" s="474" t="s">
        <v>90</v>
      </c>
      <c r="K1367" s="594" t="s">
        <v>5297</v>
      </c>
      <c r="L1367" s="136" t="s">
        <v>15</v>
      </c>
      <c r="M1367" s="487">
        <f>450000+250000</f>
        <v>700000</v>
      </c>
      <c r="N1367" s="26"/>
    </row>
    <row r="1368" spans="1:14">
      <c r="A1368" s="123">
        <v>13</v>
      </c>
      <c r="B1368" s="675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592" t="s">
        <v>487</v>
      </c>
      <c r="L1368" s="125" t="s">
        <v>15</v>
      </c>
      <c r="M1368" s="487">
        <f>250000*2</f>
        <v>500000</v>
      </c>
      <c r="N1368" s="26"/>
    </row>
    <row r="1369" spans="1:14">
      <c r="A1369" s="123">
        <v>14</v>
      </c>
      <c r="B1369" s="829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587" t="s">
        <v>5428</v>
      </c>
      <c r="J1369" s="588" t="s">
        <v>1111</v>
      </c>
      <c r="K1369" s="595" t="s">
        <v>3109</v>
      </c>
      <c r="L1369" s="499"/>
      <c r="M1369" s="502">
        <v>250000</v>
      </c>
      <c r="N1369" s="831" t="s">
        <v>5470</v>
      </c>
    </row>
    <row r="1370" spans="1:14">
      <c r="A1370" s="123">
        <v>14</v>
      </c>
      <c r="B1370" s="830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589" t="s">
        <v>4974</v>
      </c>
      <c r="H1370" s="589" t="s">
        <v>347</v>
      </c>
      <c r="I1370" s="589" t="s">
        <v>4925</v>
      </c>
      <c r="J1370" s="588" t="s">
        <v>1534</v>
      </c>
      <c r="K1370" s="595" t="s">
        <v>713</v>
      </c>
      <c r="L1370" s="499"/>
      <c r="M1370" s="502">
        <v>250000</v>
      </c>
      <c r="N1370" s="831"/>
    </row>
    <row r="1371" spans="1:14">
      <c r="A1371" s="123">
        <v>14</v>
      </c>
      <c r="B1371" s="830"/>
      <c r="C1371" s="590" t="s">
        <v>5471</v>
      </c>
      <c r="D1371" s="129" t="s">
        <v>306</v>
      </c>
      <c r="E1371" s="129" t="s">
        <v>322</v>
      </c>
      <c r="F1371" s="130" t="s">
        <v>5427</v>
      </c>
      <c r="G1371" s="589" t="s">
        <v>4948</v>
      </c>
      <c r="H1371" s="589" t="s">
        <v>1915</v>
      </c>
      <c r="I1371" s="589" t="s">
        <v>5429</v>
      </c>
      <c r="J1371" s="588" t="s">
        <v>1111</v>
      </c>
      <c r="K1371" s="595" t="s">
        <v>5472</v>
      </c>
      <c r="L1371" s="499"/>
      <c r="M1371" s="502">
        <v>2500000</v>
      </c>
      <c r="N1371" s="597"/>
    </row>
    <row r="1372" spans="1:14">
      <c r="A1372" s="123">
        <v>14</v>
      </c>
      <c r="B1372" s="830"/>
      <c r="C1372" s="130" t="s">
        <v>5473</v>
      </c>
      <c r="D1372" s="588" t="s">
        <v>306</v>
      </c>
      <c r="E1372" s="588" t="s">
        <v>322</v>
      </c>
      <c r="F1372" s="588" t="s">
        <v>5427</v>
      </c>
      <c r="G1372" s="589" t="s">
        <v>4948</v>
      </c>
      <c r="H1372" s="589" t="s">
        <v>1915</v>
      </c>
      <c r="I1372" s="589" t="s">
        <v>5474</v>
      </c>
      <c r="J1372" s="588" t="s">
        <v>5475</v>
      </c>
      <c r="K1372" s="595" t="s">
        <v>4953</v>
      </c>
      <c r="L1372" s="499"/>
      <c r="M1372" s="502">
        <v>750000</v>
      </c>
      <c r="N1372" s="597"/>
    </row>
    <row r="1373" spans="1:14">
      <c r="A1373" s="123">
        <v>14</v>
      </c>
      <c r="B1373" s="830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589" t="s">
        <v>5477</v>
      </c>
      <c r="H1373" s="589" t="s">
        <v>662</v>
      </c>
      <c r="I1373" s="589" t="s">
        <v>5478</v>
      </c>
      <c r="J1373" s="588" t="s">
        <v>1534</v>
      </c>
      <c r="K1373" s="595" t="s">
        <v>713</v>
      </c>
      <c r="L1373" s="499"/>
      <c r="M1373" s="502">
        <v>250000</v>
      </c>
      <c r="N1373" s="597"/>
    </row>
    <row r="1374" spans="1:14">
      <c r="A1374" s="123">
        <v>14</v>
      </c>
      <c r="B1374" s="830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589" t="s">
        <v>5102</v>
      </c>
      <c r="H1374" s="589" t="s">
        <v>347</v>
      </c>
      <c r="I1374" s="589" t="s">
        <v>5480</v>
      </c>
      <c r="J1374" s="588" t="s">
        <v>1534</v>
      </c>
      <c r="K1374" s="595" t="s">
        <v>1054</v>
      </c>
      <c r="L1374" s="499"/>
      <c r="M1374" s="502">
        <v>1000000</v>
      </c>
      <c r="N1374" s="597"/>
    </row>
    <row r="1375" spans="1:14">
      <c r="A1375" s="123">
        <v>14</v>
      </c>
      <c r="B1375" s="830"/>
      <c r="C1375" s="130" t="s">
        <v>5481</v>
      </c>
      <c r="D1375" s="588" t="s">
        <v>306</v>
      </c>
      <c r="E1375" s="588" t="s">
        <v>322</v>
      </c>
      <c r="F1375" s="588" t="s">
        <v>5427</v>
      </c>
      <c r="G1375" s="589" t="s">
        <v>5482</v>
      </c>
      <c r="H1375" s="589" t="s">
        <v>3117</v>
      </c>
      <c r="I1375" s="589" t="s">
        <v>5483</v>
      </c>
      <c r="J1375" s="588" t="s">
        <v>5475</v>
      </c>
      <c r="K1375" s="595" t="s">
        <v>3105</v>
      </c>
      <c r="L1375" s="499"/>
      <c r="M1375" s="502">
        <v>500000</v>
      </c>
      <c r="N1375" s="499"/>
    </row>
    <row r="1376" spans="1:14">
      <c r="A1376" s="123">
        <v>14</v>
      </c>
      <c r="B1376" s="830"/>
      <c r="C1376" s="149" t="s">
        <v>5484</v>
      </c>
      <c r="D1376" s="129" t="s">
        <v>5485</v>
      </c>
      <c r="E1376" s="129" t="s">
        <v>322</v>
      </c>
      <c r="F1376" s="130" t="s">
        <v>5427</v>
      </c>
      <c r="G1376" s="589" t="s">
        <v>4948</v>
      </c>
      <c r="H1376" s="589" t="s">
        <v>3117</v>
      </c>
      <c r="I1376" s="589" t="s">
        <v>5486</v>
      </c>
      <c r="J1376" s="588" t="s">
        <v>702</v>
      </c>
      <c r="K1376" s="595" t="s">
        <v>705</v>
      </c>
      <c r="L1376" s="499"/>
      <c r="M1376" s="502">
        <v>500000</v>
      </c>
      <c r="N1376" s="26"/>
    </row>
    <row r="1377" spans="1:14">
      <c r="A1377" s="123">
        <v>14</v>
      </c>
      <c r="B1377" s="832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7" t="s">
        <v>5488</v>
      </c>
      <c r="J1377" s="588" t="s">
        <v>638</v>
      </c>
      <c r="K1377" s="595" t="s">
        <v>713</v>
      </c>
      <c r="L1377" s="499" t="s">
        <v>309</v>
      </c>
      <c r="M1377" s="502">
        <v>250000</v>
      </c>
      <c r="N1377" s="497" t="s">
        <v>5489</v>
      </c>
    </row>
    <row r="1378" spans="1:14" ht="36">
      <c r="A1378" s="123">
        <v>14</v>
      </c>
      <c r="B1378" s="832"/>
      <c r="C1378" s="590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9" t="s">
        <v>5491</v>
      </c>
      <c r="J1378" s="130" t="s">
        <v>638</v>
      </c>
      <c r="K1378" s="596" t="s">
        <v>713</v>
      </c>
      <c r="L1378" s="148" t="s">
        <v>309</v>
      </c>
      <c r="M1378" s="513">
        <v>250000</v>
      </c>
      <c r="N1378" s="497" t="s">
        <v>5492</v>
      </c>
    </row>
    <row r="1379" spans="1:14">
      <c r="A1379" s="123">
        <v>14</v>
      </c>
      <c r="B1379" s="832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596" t="s">
        <v>692</v>
      </c>
      <c r="L1379" s="148" t="s">
        <v>309</v>
      </c>
      <c r="M1379" s="513">
        <v>500000</v>
      </c>
      <c r="N1379" s="497" t="s">
        <v>5494</v>
      </c>
    </row>
    <row r="1380" spans="1:14">
      <c r="A1380" s="123">
        <v>14</v>
      </c>
      <c r="B1380" s="832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596" t="s">
        <v>692</v>
      </c>
      <c r="L1380" s="148" t="s">
        <v>309</v>
      </c>
      <c r="M1380" s="513">
        <v>500000</v>
      </c>
      <c r="N1380" s="497" t="s">
        <v>5494</v>
      </c>
    </row>
    <row r="1381" spans="1:14" ht="22.5">
      <c r="A1381" s="123">
        <v>14</v>
      </c>
      <c r="B1381" s="832"/>
      <c r="C1381" s="130" t="s">
        <v>5496</v>
      </c>
      <c r="D1381" s="129" t="s">
        <v>311</v>
      </c>
      <c r="E1381" s="129" t="s">
        <v>320</v>
      </c>
      <c r="F1381" s="591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596" t="s">
        <v>692</v>
      </c>
      <c r="L1381" s="148" t="s">
        <v>309</v>
      </c>
      <c r="M1381" s="513">
        <v>500000</v>
      </c>
      <c r="N1381" s="497" t="s">
        <v>5494</v>
      </c>
    </row>
    <row r="1382" spans="1:14" ht="22.5">
      <c r="A1382" s="123">
        <v>14</v>
      </c>
      <c r="B1382" s="832"/>
      <c r="C1382" s="130" t="s">
        <v>5498</v>
      </c>
      <c r="D1382" s="129" t="s">
        <v>311</v>
      </c>
      <c r="E1382" s="129" t="s">
        <v>320</v>
      </c>
      <c r="F1382" s="591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596" t="s">
        <v>692</v>
      </c>
      <c r="L1382" s="148" t="s">
        <v>309</v>
      </c>
      <c r="M1382" s="513">
        <v>500000</v>
      </c>
      <c r="N1382" s="497" t="s">
        <v>5494</v>
      </c>
    </row>
    <row r="1383" spans="1:14">
      <c r="A1383" s="123">
        <v>15</v>
      </c>
      <c r="B1383" s="674" t="s">
        <v>20</v>
      </c>
      <c r="C1383" s="600" t="s">
        <v>5518</v>
      </c>
      <c r="D1383" s="94" t="s">
        <v>306</v>
      </c>
      <c r="E1383" s="94" t="s">
        <v>322</v>
      </c>
      <c r="F1383" s="601" t="s">
        <v>5427</v>
      </c>
      <c r="G1383" s="601" t="s">
        <v>5517</v>
      </c>
      <c r="H1383" s="601" t="s">
        <v>23</v>
      </c>
      <c r="I1383" s="602" t="s">
        <v>5538</v>
      </c>
      <c r="J1383" s="94" t="s">
        <v>1111</v>
      </c>
      <c r="K1383" s="610" t="s">
        <v>3978</v>
      </c>
      <c r="L1383" s="45"/>
      <c r="M1383" s="399">
        <v>600000</v>
      </c>
      <c r="N1383" s="611" t="s">
        <v>5516</v>
      </c>
    </row>
    <row r="1384" spans="1:14">
      <c r="A1384" s="123">
        <v>15</v>
      </c>
      <c r="B1384" s="674"/>
      <c r="C1384" s="600">
        <v>46123</v>
      </c>
      <c r="D1384" s="94" t="s">
        <v>306</v>
      </c>
      <c r="E1384" s="94" t="s">
        <v>322</v>
      </c>
      <c r="F1384" s="601" t="s">
        <v>5427</v>
      </c>
      <c r="G1384" s="601" t="s">
        <v>4948</v>
      </c>
      <c r="H1384" s="601" t="s">
        <v>1915</v>
      </c>
      <c r="I1384" s="602" t="s">
        <v>5428</v>
      </c>
      <c r="J1384" s="94" t="s">
        <v>1111</v>
      </c>
      <c r="K1384" s="610" t="s">
        <v>3109</v>
      </c>
      <c r="L1384" s="45"/>
      <c r="M1384" s="399">
        <v>250000</v>
      </c>
      <c r="N1384" s="611" t="s">
        <v>5468</v>
      </c>
    </row>
    <row r="1385" spans="1:14">
      <c r="A1385" s="123">
        <v>15</v>
      </c>
      <c r="B1385" s="674"/>
      <c r="C1385" s="600">
        <v>46125</v>
      </c>
      <c r="D1385" s="94" t="s">
        <v>5553</v>
      </c>
      <c r="E1385" s="94" t="s">
        <v>322</v>
      </c>
      <c r="F1385" s="601" t="s">
        <v>5427</v>
      </c>
      <c r="G1385" s="601" t="s">
        <v>5554</v>
      </c>
      <c r="H1385" s="601" t="s">
        <v>5555</v>
      </c>
      <c r="I1385" s="602" t="s">
        <v>5556</v>
      </c>
      <c r="J1385" s="94" t="s">
        <v>5558</v>
      </c>
      <c r="K1385" s="610" t="s">
        <v>5557</v>
      </c>
      <c r="L1385" s="45"/>
      <c r="M1385" s="399">
        <v>250000</v>
      </c>
      <c r="N1385" s="611"/>
    </row>
    <row r="1386" spans="1:14" ht="27">
      <c r="A1386" s="123">
        <v>15</v>
      </c>
      <c r="B1386" s="674"/>
      <c r="C1386" s="603" t="s">
        <v>5534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601" t="s">
        <v>1915</v>
      </c>
      <c r="I1386" s="262" t="s">
        <v>3406</v>
      </c>
      <c r="J1386" s="45" t="s">
        <v>1259</v>
      </c>
      <c r="K1386" s="45" t="s">
        <v>5552</v>
      </c>
      <c r="L1386" s="45"/>
      <c r="M1386" s="96">
        <f>250000*5</f>
        <v>1250000</v>
      </c>
      <c r="N1386" s="613"/>
    </row>
    <row r="1387" spans="1:14" ht="27">
      <c r="A1387" s="123">
        <v>15</v>
      </c>
      <c r="B1387" s="674"/>
      <c r="C1387" s="603" t="s">
        <v>5536</v>
      </c>
      <c r="D1387" s="45" t="s">
        <v>124</v>
      </c>
      <c r="E1387" s="45" t="s">
        <v>151</v>
      </c>
      <c r="F1387" s="375" t="s">
        <v>5264</v>
      </c>
      <c r="G1387" s="38" t="s">
        <v>5535</v>
      </c>
      <c r="H1387" s="605" t="s">
        <v>18</v>
      </c>
      <c r="I1387" s="262" t="s">
        <v>378</v>
      </c>
      <c r="J1387" s="45" t="s">
        <v>168</v>
      </c>
      <c r="K1387" s="45" t="s">
        <v>5559</v>
      </c>
      <c r="L1387" s="45"/>
      <c r="M1387" s="96">
        <f>250000*5</f>
        <v>1250000</v>
      </c>
      <c r="N1387" s="613"/>
    </row>
    <row r="1388" spans="1:14" ht="27">
      <c r="A1388" s="123">
        <v>15</v>
      </c>
      <c r="B1388" s="674"/>
      <c r="C1388" s="603" t="s">
        <v>5534</v>
      </c>
      <c r="D1388" s="45" t="s">
        <v>124</v>
      </c>
      <c r="E1388" s="45" t="s">
        <v>151</v>
      </c>
      <c r="F1388" s="375" t="s">
        <v>5264</v>
      </c>
      <c r="G1388" s="38" t="s">
        <v>5535</v>
      </c>
      <c r="H1388" s="605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3"/>
    </row>
    <row r="1389" spans="1:14">
      <c r="A1389" s="123">
        <v>15</v>
      </c>
      <c r="B1389" s="674" t="s">
        <v>5560</v>
      </c>
      <c r="C1389" s="600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4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11" t="s">
        <v>5516</v>
      </c>
    </row>
    <row r="1390" spans="1:14">
      <c r="A1390" s="123">
        <v>15</v>
      </c>
      <c r="B1390" s="674"/>
      <c r="C1390" s="603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5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11" t="s">
        <v>5468</v>
      </c>
    </row>
    <row r="1391" spans="1:14">
      <c r="A1391" s="123">
        <v>15</v>
      </c>
      <c r="B1391" s="674"/>
      <c r="C1391" s="600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5" t="s">
        <v>1382</v>
      </c>
      <c r="I1391" s="38" t="s">
        <v>5386</v>
      </c>
      <c r="J1391" s="375" t="s">
        <v>202</v>
      </c>
      <c r="K1391" s="375" t="s">
        <v>686</v>
      </c>
      <c r="L1391" s="45" t="s">
        <v>15</v>
      </c>
      <c r="M1391" s="614">
        <v>250000</v>
      </c>
      <c r="N1391" s="611" t="s">
        <v>3908</v>
      </c>
    </row>
    <row r="1392" spans="1:14">
      <c r="A1392" s="123">
        <v>15</v>
      </c>
      <c r="B1392" s="674"/>
      <c r="C1392" s="603">
        <v>46125</v>
      </c>
      <c r="D1392" s="45" t="s">
        <v>24</v>
      </c>
      <c r="E1392" s="45" t="s">
        <v>139</v>
      </c>
      <c r="F1392" s="606" t="s">
        <v>1791</v>
      </c>
      <c r="G1392" s="375" t="s">
        <v>2139</v>
      </c>
      <c r="H1392" s="604" t="s">
        <v>67</v>
      </c>
      <c r="I1392" s="38" t="s">
        <v>5508</v>
      </c>
      <c r="J1392" s="375" t="s">
        <v>90</v>
      </c>
      <c r="K1392" s="38" t="s">
        <v>686</v>
      </c>
      <c r="L1392" s="45" t="s">
        <v>15</v>
      </c>
      <c r="M1392" s="614">
        <v>250000</v>
      </c>
      <c r="N1392" s="611" t="s">
        <v>3908</v>
      </c>
    </row>
    <row r="1393" spans="1:14" ht="27">
      <c r="A1393" s="123">
        <v>15</v>
      </c>
      <c r="B1393" s="674"/>
      <c r="C1393" s="600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5" t="s">
        <v>171</v>
      </c>
      <c r="I1393" s="38" t="s">
        <v>5511</v>
      </c>
      <c r="J1393" s="38" t="s">
        <v>5512</v>
      </c>
      <c r="K1393" s="38" t="s">
        <v>686</v>
      </c>
      <c r="L1393" s="45" t="s">
        <v>15</v>
      </c>
      <c r="M1393" s="614">
        <v>250000</v>
      </c>
      <c r="N1393" s="611" t="s">
        <v>127</v>
      </c>
    </row>
    <row r="1394" spans="1:14" ht="16.5" customHeight="1">
      <c r="A1394" s="123">
        <v>15</v>
      </c>
      <c r="B1394" s="674"/>
      <c r="C1394" s="600">
        <v>46128</v>
      </c>
      <c r="D1394" s="44" t="s">
        <v>21</v>
      </c>
      <c r="E1394" s="44" t="s">
        <v>14</v>
      </c>
      <c r="F1394" s="606" t="s">
        <v>107</v>
      </c>
      <c r="G1394" s="606" t="s">
        <v>1972</v>
      </c>
      <c r="H1394" s="604" t="s">
        <v>376</v>
      </c>
      <c r="I1394" s="607" t="s">
        <v>4852</v>
      </c>
      <c r="J1394" s="606" t="s">
        <v>90</v>
      </c>
      <c r="K1394" s="606" t="s">
        <v>641</v>
      </c>
      <c r="L1394" s="44" t="s">
        <v>15</v>
      </c>
      <c r="M1394" s="614">
        <f>250000*2</f>
        <v>500000</v>
      </c>
      <c r="N1394" s="611" t="s">
        <v>393</v>
      </c>
    </row>
    <row r="1395" spans="1:14">
      <c r="A1395" s="123">
        <v>15</v>
      </c>
      <c r="B1395" s="674"/>
      <c r="C1395" s="603">
        <v>46128</v>
      </c>
      <c r="D1395" s="45" t="s">
        <v>24</v>
      </c>
      <c r="E1395" s="45" t="s">
        <v>139</v>
      </c>
      <c r="F1395" s="606" t="s">
        <v>1791</v>
      </c>
      <c r="G1395" s="375" t="s">
        <v>2821</v>
      </c>
      <c r="H1395" s="604" t="s">
        <v>23</v>
      </c>
      <c r="I1395" s="38" t="s">
        <v>5461</v>
      </c>
      <c r="J1395" s="606"/>
      <c r="K1395" s="607" t="s">
        <v>641</v>
      </c>
      <c r="L1395" s="45"/>
      <c r="M1395" s="614">
        <f>250000*2</f>
        <v>500000</v>
      </c>
      <c r="N1395" s="611" t="s">
        <v>5537</v>
      </c>
    </row>
    <row r="1396" spans="1:14" ht="27">
      <c r="A1396" s="123">
        <v>15</v>
      </c>
      <c r="B1396" s="674"/>
      <c r="C1396" s="603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5" t="s">
        <v>36</v>
      </c>
      <c r="I1396" s="38" t="s">
        <v>5520</v>
      </c>
      <c r="J1396" s="375" t="s">
        <v>5501</v>
      </c>
      <c r="K1396" s="38" t="s">
        <v>410</v>
      </c>
      <c r="L1396" s="45" t="s">
        <v>15</v>
      </c>
      <c r="M1396" s="614">
        <v>300000</v>
      </c>
      <c r="N1396" s="611" t="s">
        <v>127</v>
      </c>
    </row>
    <row r="1397" spans="1:14">
      <c r="A1397" s="123">
        <v>15</v>
      </c>
      <c r="B1397" s="674"/>
      <c r="C1397" s="603">
        <v>46129</v>
      </c>
      <c r="D1397" s="44" t="s">
        <v>21</v>
      </c>
      <c r="E1397" s="44" t="s">
        <v>31</v>
      </c>
      <c r="F1397" s="38" t="s">
        <v>78</v>
      </c>
      <c r="G1397" s="606" t="s">
        <v>2333</v>
      </c>
      <c r="H1397" s="604" t="s">
        <v>23</v>
      </c>
      <c r="I1397" s="607" t="s">
        <v>5466</v>
      </c>
      <c r="J1397" s="375" t="s">
        <v>1277</v>
      </c>
      <c r="K1397" s="38" t="s">
        <v>686</v>
      </c>
      <c r="L1397" s="45" t="s">
        <v>15</v>
      </c>
      <c r="M1397" s="614">
        <v>250000</v>
      </c>
      <c r="N1397" s="611" t="s">
        <v>3908</v>
      </c>
    </row>
    <row r="1398" spans="1:14">
      <c r="A1398" s="123">
        <v>16</v>
      </c>
      <c r="B1398" s="674" t="s">
        <v>20</v>
      </c>
      <c r="C1398" s="603">
        <v>46132</v>
      </c>
      <c r="D1398" s="148" t="s">
        <v>306</v>
      </c>
      <c r="E1398" s="148" t="s">
        <v>322</v>
      </c>
      <c r="F1398" s="149" t="s">
        <v>5427</v>
      </c>
      <c r="G1398" s="497" t="s">
        <v>5102</v>
      </c>
      <c r="H1398" s="497" t="s">
        <v>347</v>
      </c>
      <c r="I1398" s="497" t="s">
        <v>5480</v>
      </c>
      <c r="J1398" s="499" t="s">
        <v>1534</v>
      </c>
      <c r="K1398" s="45" t="s">
        <v>2832</v>
      </c>
      <c r="L1398" s="45"/>
      <c r="M1398" s="399">
        <f>250000*2</f>
        <v>500000</v>
      </c>
      <c r="N1398" s="611"/>
    </row>
    <row r="1399" spans="1:14" ht="27">
      <c r="A1399" s="123">
        <v>16</v>
      </c>
      <c r="B1399" s="674"/>
      <c r="C1399" s="603" t="s">
        <v>5615</v>
      </c>
      <c r="D1399" s="148" t="s">
        <v>306</v>
      </c>
      <c r="E1399" s="148" t="s">
        <v>322</v>
      </c>
      <c r="F1399" s="149" t="s">
        <v>5427</v>
      </c>
      <c r="G1399" s="497">
        <v>7063</v>
      </c>
      <c r="H1399" s="497" t="s">
        <v>1391</v>
      </c>
      <c r="I1399" s="229" t="s">
        <v>3024</v>
      </c>
      <c r="J1399" s="228" t="s">
        <v>168</v>
      </c>
      <c r="K1399" s="45" t="s">
        <v>5614</v>
      </c>
      <c r="L1399" s="45"/>
      <c r="M1399" s="399">
        <f>250000*3</f>
        <v>750000</v>
      </c>
      <c r="N1399" s="611"/>
    </row>
    <row r="1400" spans="1:14" ht="27">
      <c r="A1400" s="123">
        <v>16</v>
      </c>
      <c r="B1400" s="674"/>
      <c r="C1400" s="603" t="s">
        <v>5611</v>
      </c>
      <c r="D1400" s="148" t="s">
        <v>306</v>
      </c>
      <c r="E1400" s="148" t="s">
        <v>322</v>
      </c>
      <c r="F1400" s="149" t="s">
        <v>5427</v>
      </c>
      <c r="G1400" s="262" t="s">
        <v>5612</v>
      </c>
      <c r="H1400" s="262" t="s">
        <v>102</v>
      </c>
      <c r="I1400" s="397" t="s">
        <v>1105</v>
      </c>
      <c r="J1400" s="499" t="s">
        <v>1534</v>
      </c>
      <c r="K1400" s="45" t="s">
        <v>3720</v>
      </c>
      <c r="L1400" s="45"/>
      <c r="M1400" s="399">
        <f>250000*4</f>
        <v>1000000</v>
      </c>
      <c r="N1400" s="611"/>
    </row>
    <row r="1401" spans="1:14" ht="27">
      <c r="A1401" s="123">
        <v>16</v>
      </c>
      <c r="B1401" s="674"/>
      <c r="C1401" s="603" t="s">
        <v>5611</v>
      </c>
      <c r="D1401" s="148" t="s">
        <v>306</v>
      </c>
      <c r="E1401" s="148" t="s">
        <v>322</v>
      </c>
      <c r="F1401" s="149" t="s">
        <v>5427</v>
      </c>
      <c r="G1401" s="38">
        <v>8263</v>
      </c>
      <c r="H1401" s="262" t="s">
        <v>482</v>
      </c>
      <c r="I1401" s="397" t="s">
        <v>1105</v>
      </c>
      <c r="J1401" s="499" t="s">
        <v>1534</v>
      </c>
      <c r="K1401" s="45" t="s">
        <v>5616</v>
      </c>
      <c r="L1401" s="45"/>
      <c r="M1401" s="399">
        <f>250000*5</f>
        <v>1250000</v>
      </c>
      <c r="N1401" s="611"/>
    </row>
    <row r="1402" spans="1:14">
      <c r="A1402" s="123">
        <v>16</v>
      </c>
      <c r="B1402" s="674" t="s">
        <v>21</v>
      </c>
      <c r="C1402" s="603">
        <v>46124</v>
      </c>
      <c r="D1402" s="45" t="s">
        <v>21</v>
      </c>
      <c r="E1402" s="45" t="s">
        <v>17</v>
      </c>
      <c r="F1402" s="38" t="s">
        <v>5300</v>
      </c>
      <c r="G1402" s="375" t="s">
        <v>2333</v>
      </c>
      <c r="H1402" s="604" t="s">
        <v>23</v>
      </c>
      <c r="I1402" s="38" t="s">
        <v>5561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11" t="s">
        <v>5562</v>
      </c>
    </row>
    <row r="1403" spans="1:14">
      <c r="A1403" s="123">
        <v>16</v>
      </c>
      <c r="B1403" s="674"/>
      <c r="C1403" s="127">
        <v>46132</v>
      </c>
      <c r="D1403" s="3" t="s">
        <v>21</v>
      </c>
      <c r="E1403" s="3" t="s">
        <v>14</v>
      </c>
      <c r="F1403" s="493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11" t="s">
        <v>128</v>
      </c>
    </row>
    <row r="1404" spans="1:14">
      <c r="A1404" s="123">
        <v>16</v>
      </c>
      <c r="B1404" s="674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14">
        <v>250000</v>
      </c>
      <c r="N1404" s="611" t="s">
        <v>583</v>
      </c>
    </row>
  </sheetData>
  <autoFilter ref="A1:N1368" xr:uid="{00000000-0009-0000-0000-000001000000}"/>
  <mergeCells count="101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9"/>
  <sheetViews>
    <sheetView topLeftCell="A4" workbookViewId="0">
      <selection activeCell="A16" sqref="A16:D19"/>
    </sheetView>
  </sheetViews>
  <sheetFormatPr defaultRowHeight="16.5"/>
  <cols>
    <col min="1" max="1" width="12" style="636" customWidth="1"/>
    <col min="2" max="2" width="14.375" style="636" customWidth="1"/>
    <col min="3" max="3" width="12.5" style="636" customWidth="1"/>
    <col min="4" max="4" width="13.125" style="636" customWidth="1"/>
    <col min="5" max="7" width="9" style="636"/>
    <col min="8" max="8" width="39.875" style="636" customWidth="1"/>
    <col min="9" max="9" width="14.125" style="636" customWidth="1"/>
    <col min="10" max="10" width="13.5" style="636" customWidth="1"/>
    <col min="11" max="11" width="9" style="636"/>
    <col min="12" max="12" width="10.5" style="636" bestFit="1" customWidth="1"/>
    <col min="13" max="13" width="20.375" style="636" customWidth="1"/>
    <col min="14" max="16384" width="9" style="636"/>
  </cols>
  <sheetData>
    <row r="3" spans="1:4" ht="20.25">
      <c r="A3" s="635" t="s">
        <v>4873</v>
      </c>
    </row>
    <row r="4" spans="1:4">
      <c r="A4" s="636" t="s">
        <v>4887</v>
      </c>
    </row>
    <row r="7" spans="1:4" ht="20.25">
      <c r="A7" s="635" t="s">
        <v>4874</v>
      </c>
    </row>
    <row r="8" spans="1:4">
      <c r="A8" s="636" t="s">
        <v>4875</v>
      </c>
      <c r="B8" s="637">
        <f>C13</f>
        <v>3050000</v>
      </c>
    </row>
    <row r="10" spans="1:4">
      <c r="A10" s="638" t="s">
        <v>4864</v>
      </c>
      <c r="B10" s="638" t="s">
        <v>4865</v>
      </c>
      <c r="C10" s="839" t="s">
        <v>4866</v>
      </c>
      <c r="D10" s="839"/>
    </row>
    <row r="11" spans="1:4">
      <c r="A11" s="638" t="s">
        <v>4867</v>
      </c>
      <c r="B11" s="638">
        <v>4</v>
      </c>
      <c r="C11" s="840">
        <f>'사전품의양식 (12)'!L8</f>
        <v>1750000</v>
      </c>
      <c r="D11" s="840"/>
    </row>
    <row r="12" spans="1:4">
      <c r="A12" s="638" t="s">
        <v>4868</v>
      </c>
      <c r="B12" s="638">
        <v>5</v>
      </c>
      <c r="C12" s="840">
        <f>'사전품의양식 (12)'!L14</f>
        <v>1300000</v>
      </c>
      <c r="D12" s="840"/>
    </row>
    <row r="13" spans="1:4">
      <c r="A13" s="640" t="s">
        <v>53</v>
      </c>
      <c r="B13" s="640">
        <f>SUM(B11:B12)</f>
        <v>9</v>
      </c>
      <c r="C13" s="841">
        <f>SUM(C11:C12)</f>
        <v>3050000</v>
      </c>
      <c r="D13" s="841"/>
    </row>
    <row r="15" spans="1:4">
      <c r="A15" s="636" t="s">
        <v>4869</v>
      </c>
    </row>
    <row r="16" spans="1:4">
      <c r="A16" s="638" t="s">
        <v>4889</v>
      </c>
      <c r="B16" s="638" t="s">
        <v>4871</v>
      </c>
      <c r="C16" s="638" t="s">
        <v>4872</v>
      </c>
      <c r="D16" s="638" t="s">
        <v>53</v>
      </c>
    </row>
    <row r="17" spans="1:5">
      <c r="A17" s="638" t="s">
        <v>5539</v>
      </c>
      <c r="B17" s="639">
        <v>0</v>
      </c>
      <c r="C17" s="639">
        <v>550000</v>
      </c>
      <c r="D17" s="642">
        <f>SUM(B17:C17)</f>
        <v>550000</v>
      </c>
    </row>
    <row r="18" spans="1:5">
      <c r="A18" s="638" t="s">
        <v>5540</v>
      </c>
      <c r="B18" s="639">
        <f>C11-B17</f>
        <v>1750000</v>
      </c>
      <c r="C18" s="639">
        <f>C12-C17</f>
        <v>750000</v>
      </c>
      <c r="D18" s="639">
        <f>SUM(B18:C18)</f>
        <v>2500000</v>
      </c>
    </row>
    <row r="19" spans="1:5">
      <c r="A19" s="640" t="s">
        <v>4870</v>
      </c>
      <c r="B19" s="641">
        <f t="shared" ref="B19:C19" si="0">SUM(B17:B18)</f>
        <v>1750000</v>
      </c>
      <c r="C19" s="641">
        <f t="shared" si="0"/>
        <v>1300000</v>
      </c>
      <c r="D19" s="641">
        <f>SUM(D17:D18)</f>
        <v>3050000</v>
      </c>
    </row>
    <row r="22" spans="1:5" ht="20.25">
      <c r="A22" s="635" t="s">
        <v>4880</v>
      </c>
    </row>
    <row r="24" spans="1:5">
      <c r="A24" s="638" t="s">
        <v>4864</v>
      </c>
      <c r="B24" s="638" t="s">
        <v>4878</v>
      </c>
      <c r="C24" s="839" t="s">
        <v>4881</v>
      </c>
      <c r="D24" s="839"/>
      <c r="E24" s="839"/>
    </row>
    <row r="25" spans="1:5">
      <c r="A25" s="638" t="s">
        <v>4882</v>
      </c>
      <c r="B25" s="638" t="s">
        <v>4883</v>
      </c>
      <c r="C25" s="838" t="s">
        <v>4884</v>
      </c>
      <c r="D25" s="839"/>
      <c r="E25" s="839"/>
    </row>
    <row r="26" spans="1:5">
      <c r="A26" s="638"/>
      <c r="B26" s="638"/>
      <c r="C26" s="838"/>
      <c r="D26" s="839"/>
      <c r="E26" s="839"/>
    </row>
    <row r="27" spans="1:5">
      <c r="A27" s="638"/>
      <c r="B27" s="638"/>
      <c r="C27" s="838"/>
      <c r="D27" s="839"/>
      <c r="E27" s="839"/>
    </row>
    <row r="29" spans="1:5" ht="20.25">
      <c r="A29" s="635" t="s">
        <v>4876</v>
      </c>
    </row>
    <row r="31" spans="1:5">
      <c r="A31" s="636" t="s">
        <v>4885</v>
      </c>
    </row>
    <row r="33" spans="1:1">
      <c r="A33" s="636" t="s">
        <v>4886</v>
      </c>
    </row>
    <row r="35" spans="1:1">
      <c r="A35" s="636" t="s">
        <v>4879</v>
      </c>
    </row>
    <row r="39" spans="1:1" ht="20.25">
      <c r="A39" s="635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P38"/>
  <sheetViews>
    <sheetView topLeftCell="A2" zoomScale="85" zoomScaleNormal="85" zoomScaleSheetLayoutView="55" workbookViewId="0">
      <selection activeCell="I39" sqref="I39"/>
    </sheetView>
  </sheetViews>
  <sheetFormatPr defaultRowHeight="13.5"/>
  <cols>
    <col min="1" max="1" width="9" style="608"/>
    <col min="2" max="2" width="11.375" style="608" customWidth="1"/>
    <col min="3" max="3" width="9.875" style="608" bestFit="1" customWidth="1"/>
    <col min="4" max="5" width="9" style="608"/>
    <col min="6" max="6" width="11.625" style="608" customWidth="1"/>
    <col min="7" max="7" width="9" style="608"/>
    <col min="8" max="8" width="38.25" style="608" customWidth="1"/>
    <col min="9" max="9" width="12.375" style="608" customWidth="1"/>
    <col min="10" max="10" width="12.625" style="608" bestFit="1" customWidth="1"/>
    <col min="11" max="11" width="9" style="608"/>
    <col min="12" max="12" width="11.75" style="608" bestFit="1" customWidth="1"/>
    <col min="13" max="13" width="14.5" style="608" customWidth="1"/>
    <col min="14" max="14" width="39.75" style="608" bestFit="1" customWidth="1"/>
    <col min="15" max="15" width="9" style="608"/>
    <col min="16" max="16" width="10.875" style="608" bestFit="1" customWidth="1"/>
    <col min="17" max="16384" width="9" style="608"/>
  </cols>
  <sheetData>
    <row r="1" spans="1:13" hidden="1">
      <c r="A1" s="643"/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3">
      <c r="A2" s="849" t="s">
        <v>5649</v>
      </c>
      <c r="B2" s="851" t="s">
        <v>1</v>
      </c>
      <c r="C2" s="851" t="s">
        <v>2</v>
      </c>
      <c r="D2" s="851" t="s">
        <v>3</v>
      </c>
      <c r="E2" s="644" t="s">
        <v>2627</v>
      </c>
      <c r="F2" s="851" t="s">
        <v>5</v>
      </c>
      <c r="G2" s="851" t="s">
        <v>6</v>
      </c>
      <c r="H2" s="851" t="s">
        <v>2628</v>
      </c>
      <c r="I2" s="851" t="s">
        <v>55</v>
      </c>
      <c r="J2" s="851" t="s">
        <v>9</v>
      </c>
      <c r="K2" s="853" t="s">
        <v>56</v>
      </c>
      <c r="L2" s="851" t="s">
        <v>57</v>
      </c>
      <c r="M2" s="847" t="s">
        <v>58</v>
      </c>
    </row>
    <row r="3" spans="1:13">
      <c r="A3" s="850"/>
      <c r="B3" s="852"/>
      <c r="C3" s="852"/>
      <c r="D3" s="852"/>
      <c r="E3" s="609" t="s">
        <v>1728</v>
      </c>
      <c r="F3" s="852"/>
      <c r="G3" s="852"/>
      <c r="H3" s="852"/>
      <c r="I3" s="852"/>
      <c r="J3" s="852"/>
      <c r="K3" s="854"/>
      <c r="L3" s="852"/>
      <c r="M3" s="848"/>
    </row>
    <row r="4" spans="1:13" s="612" customFormat="1" ht="16.5" customHeight="1">
      <c r="A4" s="844" t="s">
        <v>20</v>
      </c>
      <c r="B4" s="600">
        <v>46139</v>
      </c>
      <c r="C4" s="94" t="s">
        <v>306</v>
      </c>
      <c r="D4" s="94" t="s">
        <v>322</v>
      </c>
      <c r="E4" s="601" t="s">
        <v>5427</v>
      </c>
      <c r="F4" s="601" t="s">
        <v>3248</v>
      </c>
      <c r="G4" s="601" t="s">
        <v>5652</v>
      </c>
      <c r="H4" s="602" t="s">
        <v>5653</v>
      </c>
      <c r="I4" s="633" t="s">
        <v>168</v>
      </c>
      <c r="J4" s="610" t="s">
        <v>5655</v>
      </c>
      <c r="K4" s="45"/>
      <c r="L4" s="399">
        <f>250000*1</f>
        <v>250000</v>
      </c>
      <c r="M4" s="645"/>
    </row>
    <row r="5" spans="1:13" s="612" customFormat="1">
      <c r="A5" s="845"/>
      <c r="B5" s="600">
        <v>46139</v>
      </c>
      <c r="C5" s="94" t="s">
        <v>306</v>
      </c>
      <c r="D5" s="94" t="s">
        <v>322</v>
      </c>
      <c r="E5" s="601" t="s">
        <v>5427</v>
      </c>
      <c r="F5" s="601">
        <v>1571</v>
      </c>
      <c r="G5" s="601" t="s">
        <v>5657</v>
      </c>
      <c r="H5" s="602" t="s">
        <v>5658</v>
      </c>
      <c r="I5" s="633" t="s">
        <v>126</v>
      </c>
      <c r="J5" s="610" t="s">
        <v>2832</v>
      </c>
      <c r="K5" s="45"/>
      <c r="L5" s="399">
        <v>250000</v>
      </c>
      <c r="M5" s="645"/>
    </row>
    <row r="6" spans="1:13" s="612" customFormat="1">
      <c r="A6" s="845"/>
      <c r="B6" s="600" t="s">
        <v>5654</v>
      </c>
      <c r="C6" s="94" t="s">
        <v>306</v>
      </c>
      <c r="D6" s="94" t="s">
        <v>322</v>
      </c>
      <c r="E6" s="601" t="s">
        <v>5427</v>
      </c>
      <c r="F6" s="601" t="s">
        <v>5612</v>
      </c>
      <c r="G6" s="601" t="s">
        <v>102</v>
      </c>
      <c r="H6" s="602" t="s">
        <v>1105</v>
      </c>
      <c r="I6" s="633" t="s">
        <v>1534</v>
      </c>
      <c r="J6" s="610" t="s">
        <v>3720</v>
      </c>
      <c r="K6" s="45"/>
      <c r="L6" s="399">
        <f>250000*4</f>
        <v>1000000</v>
      </c>
      <c r="M6" s="646"/>
    </row>
    <row r="7" spans="1:13" ht="16.5" customHeight="1">
      <c r="A7" s="845"/>
      <c r="B7" s="600" t="s">
        <v>5656</v>
      </c>
      <c r="C7" s="94" t="s">
        <v>306</v>
      </c>
      <c r="D7" s="94" t="s">
        <v>322</v>
      </c>
      <c r="E7" s="601" t="s">
        <v>5427</v>
      </c>
      <c r="F7" s="634">
        <v>7063</v>
      </c>
      <c r="G7" s="634" t="s">
        <v>5613</v>
      </c>
      <c r="H7" s="634" t="s">
        <v>5650</v>
      </c>
      <c r="I7" s="633" t="s">
        <v>5651</v>
      </c>
      <c r="J7" s="610" t="s">
        <v>5614</v>
      </c>
      <c r="K7" s="45"/>
      <c r="L7" s="399">
        <f>250000*3</f>
        <v>750000</v>
      </c>
      <c r="M7" s="646"/>
    </row>
    <row r="8" spans="1:13">
      <c r="A8" s="846"/>
      <c r="B8" s="674" t="s">
        <v>1136</v>
      </c>
      <c r="C8" s="674"/>
      <c r="D8" s="674"/>
      <c r="E8" s="674"/>
      <c r="F8" s="674"/>
      <c r="G8" s="674"/>
      <c r="H8" s="674"/>
      <c r="I8" s="674"/>
      <c r="J8" s="674"/>
      <c r="K8" s="674"/>
      <c r="L8" s="96">
        <f>SUM(L6:L7)</f>
        <v>1750000</v>
      </c>
      <c r="M8" s="647"/>
    </row>
    <row r="9" spans="1:13" ht="16.5" customHeight="1">
      <c r="A9" s="844" t="s">
        <v>21</v>
      </c>
      <c r="B9" s="127">
        <v>46136</v>
      </c>
      <c r="C9" s="3" t="s">
        <v>21</v>
      </c>
      <c r="D9" s="3" t="s">
        <v>14</v>
      </c>
      <c r="E9" s="474" t="s">
        <v>107</v>
      </c>
      <c r="F9" s="474" t="s">
        <v>1972</v>
      </c>
      <c r="G9" s="479" t="s">
        <v>376</v>
      </c>
      <c r="H9" s="473" t="s">
        <v>5424</v>
      </c>
      <c r="I9" s="474" t="s">
        <v>90</v>
      </c>
      <c r="J9" s="474" t="s">
        <v>5635</v>
      </c>
      <c r="K9" s="136" t="s">
        <v>15</v>
      </c>
      <c r="L9" s="96">
        <v>250000</v>
      </c>
      <c r="M9" s="647" t="s">
        <v>5661</v>
      </c>
    </row>
    <row r="10" spans="1:13" ht="16.5" customHeight="1">
      <c r="A10" s="845"/>
      <c r="B10" s="127">
        <v>46136</v>
      </c>
      <c r="C10" s="3" t="s">
        <v>21</v>
      </c>
      <c r="D10" s="3" t="s">
        <v>14</v>
      </c>
      <c r="E10" s="474" t="s">
        <v>107</v>
      </c>
      <c r="F10" s="474" t="s">
        <v>1972</v>
      </c>
      <c r="G10" s="479" t="s">
        <v>5670</v>
      </c>
      <c r="H10" s="473" t="s">
        <v>5671</v>
      </c>
      <c r="I10" s="474" t="s">
        <v>90</v>
      </c>
      <c r="J10" s="474" t="s">
        <v>5672</v>
      </c>
      <c r="K10" s="136" t="s">
        <v>15</v>
      </c>
      <c r="L10" s="96">
        <v>300000</v>
      </c>
      <c r="M10" s="647" t="s">
        <v>5661</v>
      </c>
    </row>
    <row r="11" spans="1:13">
      <c r="A11" s="845"/>
      <c r="B11" s="600">
        <v>46140</v>
      </c>
      <c r="C11" s="45" t="s">
        <v>5624</v>
      </c>
      <c r="D11" s="45" t="s">
        <v>14</v>
      </c>
      <c r="E11" s="375" t="s">
        <v>5625</v>
      </c>
      <c r="F11" s="38" t="s">
        <v>5626</v>
      </c>
      <c r="G11" s="605" t="s">
        <v>23</v>
      </c>
      <c r="H11" s="38" t="s">
        <v>5627</v>
      </c>
      <c r="I11" s="375" t="s">
        <v>5641</v>
      </c>
      <c r="J11" s="606" t="s">
        <v>2832</v>
      </c>
      <c r="K11" s="45" t="s">
        <v>15</v>
      </c>
      <c r="L11" s="96">
        <v>250000</v>
      </c>
      <c r="M11" s="646" t="s">
        <v>5659</v>
      </c>
    </row>
    <row r="12" spans="1:13" ht="27">
      <c r="A12" s="845"/>
      <c r="B12" s="600">
        <v>46141</v>
      </c>
      <c r="C12" s="45" t="s">
        <v>5624</v>
      </c>
      <c r="D12" s="45" t="s">
        <v>14</v>
      </c>
      <c r="E12" s="375" t="s">
        <v>5625</v>
      </c>
      <c r="F12" s="38" t="s">
        <v>5628</v>
      </c>
      <c r="G12" s="605" t="s">
        <v>143</v>
      </c>
      <c r="H12" s="38" t="s">
        <v>5639</v>
      </c>
      <c r="I12" s="375" t="s">
        <v>5640</v>
      </c>
      <c r="J12" s="606" t="s">
        <v>2832</v>
      </c>
      <c r="K12" s="45" t="s">
        <v>15</v>
      </c>
      <c r="L12" s="96">
        <v>250000</v>
      </c>
      <c r="M12" s="646" t="s">
        <v>583</v>
      </c>
    </row>
    <row r="13" spans="1:13" ht="27">
      <c r="A13" s="845"/>
      <c r="B13" s="603">
        <v>46142</v>
      </c>
      <c r="C13" s="44" t="s">
        <v>21</v>
      </c>
      <c r="D13" s="44" t="s">
        <v>14</v>
      </c>
      <c r="E13" s="606" t="s">
        <v>107</v>
      </c>
      <c r="F13" s="606" t="s">
        <v>3390</v>
      </c>
      <c r="G13" s="605" t="s">
        <v>23</v>
      </c>
      <c r="H13" s="38" t="s">
        <v>5633</v>
      </c>
      <c r="I13" s="606" t="s">
        <v>90</v>
      </c>
      <c r="J13" s="606" t="s">
        <v>5648</v>
      </c>
      <c r="K13" s="44" t="s">
        <v>15</v>
      </c>
      <c r="L13" s="614">
        <v>250000</v>
      </c>
      <c r="M13" s="646" t="s">
        <v>5660</v>
      </c>
    </row>
    <row r="14" spans="1:13">
      <c r="A14" s="846"/>
      <c r="B14" s="674" t="s">
        <v>4888</v>
      </c>
      <c r="C14" s="674"/>
      <c r="D14" s="674"/>
      <c r="E14" s="674"/>
      <c r="F14" s="674"/>
      <c r="G14" s="674"/>
      <c r="H14" s="674"/>
      <c r="I14" s="674"/>
      <c r="J14" s="674"/>
      <c r="K14" s="674"/>
      <c r="L14" s="96">
        <f>SUM(L9:L13)</f>
        <v>1300000</v>
      </c>
      <c r="M14" s="647"/>
    </row>
    <row r="15" spans="1:13" ht="25.5" customHeight="1" thickBot="1">
      <c r="A15" s="842" t="s">
        <v>62</v>
      </c>
      <c r="B15" s="843"/>
      <c r="C15" s="843"/>
      <c r="D15" s="843"/>
      <c r="E15" s="843"/>
      <c r="F15" s="843"/>
      <c r="G15" s="843"/>
      <c r="H15" s="843"/>
      <c r="I15" s="843"/>
      <c r="J15" s="843"/>
      <c r="K15" s="843"/>
      <c r="L15" s="648">
        <f>L8+L14</f>
        <v>3050000</v>
      </c>
      <c r="M15" s="649"/>
    </row>
    <row r="16" spans="1:13" ht="26.25" customHeight="1"/>
    <row r="17" spans="1:16" ht="26.25" customHeight="1"/>
    <row r="18" spans="1:16" ht="26.25" customHeight="1">
      <c r="A18" s="409"/>
      <c r="B18" s="409"/>
      <c r="C18" s="409"/>
      <c r="D18" s="409"/>
      <c r="E18" s="409"/>
      <c r="F18" s="409"/>
      <c r="G18" s="409"/>
      <c r="H18" s="409"/>
      <c r="I18" s="409"/>
      <c r="J18" s="409"/>
      <c r="K18" s="409"/>
      <c r="L18" s="389"/>
      <c r="M18" s="390"/>
    </row>
    <row r="19" spans="1:16" ht="26.25" hidden="1" customHeight="1"/>
    <row r="20" spans="1:16" ht="25.5" hidden="1" customHeight="1">
      <c r="B20" s="615" t="s">
        <v>1144</v>
      </c>
      <c r="C20" s="616"/>
      <c r="D20" s="616"/>
      <c r="E20" s="616"/>
      <c r="F20" s="616"/>
      <c r="G20" s="616"/>
      <c r="H20" s="616"/>
      <c r="I20" s="616"/>
    </row>
    <row r="21" spans="1:16" ht="25.5" hidden="1" customHeight="1">
      <c r="B21" s="617" t="s">
        <v>1140</v>
      </c>
      <c r="C21" s="615">
        <v>45282</v>
      </c>
      <c r="D21" s="616" t="s">
        <v>1151</v>
      </c>
      <c r="E21" s="616"/>
      <c r="F21" s="616"/>
      <c r="G21" s="616"/>
      <c r="I21" s="616"/>
    </row>
    <row r="22" spans="1:16" ht="25.5" hidden="1" customHeight="1">
      <c r="B22" s="617" t="s">
        <v>1141</v>
      </c>
      <c r="C22" s="615">
        <v>45282</v>
      </c>
      <c r="D22" s="616" t="s">
        <v>1143</v>
      </c>
      <c r="E22" s="616"/>
      <c r="F22" s="616"/>
      <c r="G22" s="616"/>
      <c r="H22" s="616"/>
      <c r="I22" s="616"/>
    </row>
    <row r="23" spans="1:16" ht="25.5" hidden="1" customHeight="1">
      <c r="B23" s="617" t="s">
        <v>1145</v>
      </c>
      <c r="C23" s="618" t="s">
        <v>1142</v>
      </c>
      <c r="D23" s="616" t="s">
        <v>1152</v>
      </c>
      <c r="E23" s="616"/>
      <c r="F23" s="616"/>
      <c r="G23" s="616"/>
      <c r="H23" s="616"/>
      <c r="I23" s="616"/>
    </row>
    <row r="24" spans="1:16" ht="20.100000000000001" hidden="1" customHeight="1">
      <c r="B24" s="616"/>
      <c r="C24" s="616" t="s">
        <v>1146</v>
      </c>
      <c r="D24" s="616"/>
      <c r="E24" s="616"/>
      <c r="F24" s="616"/>
      <c r="G24" s="616"/>
      <c r="H24" s="616"/>
      <c r="I24" s="616"/>
    </row>
    <row r="25" spans="1:16" ht="16.5" hidden="1" customHeight="1"/>
    <row r="26" spans="1:16" ht="20.100000000000001" hidden="1" customHeight="1">
      <c r="J26" s="616"/>
    </row>
    <row r="28" spans="1:16" ht="14.25" thickBot="1"/>
    <row r="29" spans="1:16" ht="28.5" customHeight="1" thickBot="1">
      <c r="A29" s="650" t="s">
        <v>0</v>
      </c>
      <c r="B29" s="651" t="s">
        <v>1</v>
      </c>
      <c r="C29" s="652" t="s">
        <v>2</v>
      </c>
      <c r="D29" s="652" t="s">
        <v>3</v>
      </c>
      <c r="E29" s="652" t="s">
        <v>4</v>
      </c>
      <c r="F29" s="652" t="s">
        <v>5</v>
      </c>
      <c r="G29" s="652" t="s">
        <v>6</v>
      </c>
      <c r="H29" s="653" t="s">
        <v>7</v>
      </c>
      <c r="I29" s="652" t="s">
        <v>8</v>
      </c>
      <c r="J29" s="652" t="s">
        <v>9</v>
      </c>
      <c r="K29" s="654" t="s">
        <v>10</v>
      </c>
      <c r="L29" s="652" t="s">
        <v>12</v>
      </c>
      <c r="M29" s="655" t="s">
        <v>63</v>
      </c>
    </row>
    <row r="30" spans="1:16" s="17" customFormat="1" ht="27">
      <c r="A30" s="656" t="s">
        <v>4503</v>
      </c>
      <c r="B30" s="657">
        <v>46139</v>
      </c>
      <c r="C30" s="658" t="s">
        <v>21</v>
      </c>
      <c r="D30" s="658" t="s">
        <v>14</v>
      </c>
      <c r="E30" s="659" t="s">
        <v>1897</v>
      </c>
      <c r="F30" s="659" t="s">
        <v>4949</v>
      </c>
      <c r="G30" s="660" t="s">
        <v>5505</v>
      </c>
      <c r="H30" s="661" t="s">
        <v>5321</v>
      </c>
      <c r="I30" s="661"/>
      <c r="J30" s="661" t="s">
        <v>506</v>
      </c>
      <c r="K30" s="662" t="s">
        <v>15</v>
      </c>
      <c r="L30" s="663">
        <v>3</v>
      </c>
      <c r="M30" s="663">
        <v>3</v>
      </c>
      <c r="N30" s="621" t="s">
        <v>5647</v>
      </c>
      <c r="O30" s="451"/>
      <c r="P30" s="583"/>
    </row>
    <row r="31" spans="1:16" s="17" customFormat="1">
      <c r="A31" s="625"/>
      <c r="B31" s="372">
        <v>46140</v>
      </c>
      <c r="C31" s="4" t="s">
        <v>5624</v>
      </c>
      <c r="D31" s="4" t="s">
        <v>14</v>
      </c>
      <c r="E31" s="31" t="s">
        <v>5625</v>
      </c>
      <c r="F31" s="193" t="s">
        <v>5626</v>
      </c>
      <c r="G31" s="16" t="s">
        <v>23</v>
      </c>
      <c r="H31" s="193" t="s">
        <v>5627</v>
      </c>
      <c r="I31" s="31" t="s">
        <v>5641</v>
      </c>
      <c r="J31" s="474" t="s">
        <v>2832</v>
      </c>
      <c r="K31" s="125" t="s">
        <v>15</v>
      </c>
      <c r="L31" s="624">
        <v>2</v>
      </c>
      <c r="M31" s="624">
        <v>2</v>
      </c>
      <c r="N31" s="622"/>
      <c r="O31" s="454"/>
      <c r="P31" s="583"/>
    </row>
    <row r="32" spans="1:16" s="17" customFormat="1">
      <c r="A32" s="625"/>
      <c r="B32" s="372">
        <v>46140</v>
      </c>
      <c r="C32" s="3" t="s">
        <v>21</v>
      </c>
      <c r="D32" s="3" t="s">
        <v>14</v>
      </c>
      <c r="E32" s="474" t="s">
        <v>1897</v>
      </c>
      <c r="F32" s="474" t="s">
        <v>4949</v>
      </c>
      <c r="G32" s="479" t="s">
        <v>5505</v>
      </c>
      <c r="H32" s="473" t="s">
        <v>5321</v>
      </c>
      <c r="I32" s="473"/>
      <c r="J32" s="473" t="s">
        <v>506</v>
      </c>
      <c r="K32" s="136" t="s">
        <v>15</v>
      </c>
      <c r="L32" s="664">
        <v>3</v>
      </c>
      <c r="M32" s="664">
        <v>3</v>
      </c>
      <c r="N32" s="623"/>
      <c r="O32" s="454"/>
      <c r="P32" s="583"/>
    </row>
    <row r="33" spans="1:16" s="17" customFormat="1" ht="27">
      <c r="A33" s="625"/>
      <c r="B33" s="372">
        <v>46141</v>
      </c>
      <c r="C33" s="4" t="s">
        <v>5624</v>
      </c>
      <c r="D33" s="4" t="s">
        <v>14</v>
      </c>
      <c r="E33" s="31" t="s">
        <v>5625</v>
      </c>
      <c r="F33" s="193" t="s">
        <v>5628</v>
      </c>
      <c r="G33" s="16" t="s">
        <v>143</v>
      </c>
      <c r="H33" s="193" t="s">
        <v>5639</v>
      </c>
      <c r="I33" s="31" t="s">
        <v>5640</v>
      </c>
      <c r="J33" s="474" t="s">
        <v>2832</v>
      </c>
      <c r="K33" s="125" t="s">
        <v>15</v>
      </c>
      <c r="L33" s="624">
        <v>2</v>
      </c>
      <c r="M33" s="624">
        <v>2</v>
      </c>
      <c r="N33" s="622"/>
      <c r="O33" s="454" t="s">
        <v>5570</v>
      </c>
      <c r="P33" s="583"/>
    </row>
    <row r="34" spans="1:16" s="17" customFormat="1">
      <c r="A34" s="625"/>
      <c r="B34" s="372">
        <v>46141</v>
      </c>
      <c r="C34" s="3" t="s">
        <v>21</v>
      </c>
      <c r="D34" s="3" t="s">
        <v>14</v>
      </c>
      <c r="E34" s="474" t="s">
        <v>1897</v>
      </c>
      <c r="F34" s="474" t="s">
        <v>4949</v>
      </c>
      <c r="G34" s="479" t="s">
        <v>5505</v>
      </c>
      <c r="H34" s="473" t="s">
        <v>5321</v>
      </c>
      <c r="I34" s="473"/>
      <c r="J34" s="473" t="s">
        <v>506</v>
      </c>
      <c r="K34" s="136" t="s">
        <v>15</v>
      </c>
      <c r="L34" s="664">
        <v>3</v>
      </c>
      <c r="M34" s="664">
        <v>3</v>
      </c>
      <c r="N34" s="622"/>
      <c r="O34" s="620" t="s">
        <v>5515</v>
      </c>
      <c r="P34" s="583"/>
    </row>
    <row r="35" spans="1:16" s="17" customFormat="1" ht="27">
      <c r="A35" s="625"/>
      <c r="B35" s="406">
        <v>46142</v>
      </c>
      <c r="C35" s="4" t="s">
        <v>21</v>
      </c>
      <c r="D35" s="4" t="s">
        <v>14</v>
      </c>
      <c r="E35" s="31" t="s">
        <v>1897</v>
      </c>
      <c r="F35" s="193" t="s">
        <v>5567</v>
      </c>
      <c r="G35" s="16" t="s">
        <v>34</v>
      </c>
      <c r="H35" s="193" t="s">
        <v>5569</v>
      </c>
      <c r="I35" s="31"/>
      <c r="J35" s="193" t="s">
        <v>68</v>
      </c>
      <c r="K35" s="125" t="s">
        <v>15</v>
      </c>
      <c r="L35" s="624">
        <v>1</v>
      </c>
      <c r="M35" s="624">
        <v>1</v>
      </c>
      <c r="N35" s="623"/>
      <c r="O35" s="454"/>
      <c r="P35" s="583"/>
    </row>
    <row r="36" spans="1:16" s="17" customFormat="1" ht="27">
      <c r="A36" s="625"/>
      <c r="B36" s="372">
        <v>46142</v>
      </c>
      <c r="C36" s="3" t="s">
        <v>21</v>
      </c>
      <c r="D36" s="3" t="s">
        <v>14</v>
      </c>
      <c r="E36" s="474" t="s">
        <v>107</v>
      </c>
      <c r="F36" s="474" t="s">
        <v>3390</v>
      </c>
      <c r="G36" s="16" t="s">
        <v>23</v>
      </c>
      <c r="H36" s="193" t="s">
        <v>5633</v>
      </c>
      <c r="I36" s="474" t="s">
        <v>90</v>
      </c>
      <c r="J36" s="474" t="s">
        <v>5648</v>
      </c>
      <c r="K36" s="136" t="s">
        <v>15</v>
      </c>
      <c r="L36" s="624">
        <v>2</v>
      </c>
      <c r="M36" s="624">
        <v>2</v>
      </c>
      <c r="N36" s="623"/>
      <c r="O36" s="620"/>
      <c r="P36" s="583"/>
    </row>
    <row r="37" spans="1:16">
      <c r="A37" s="625"/>
      <c r="B37" s="372">
        <v>46142</v>
      </c>
      <c r="C37" s="3" t="s">
        <v>21</v>
      </c>
      <c r="D37" s="3" t="s">
        <v>14</v>
      </c>
      <c r="E37" s="474" t="s">
        <v>1897</v>
      </c>
      <c r="F37" s="474" t="s">
        <v>4949</v>
      </c>
      <c r="G37" s="479" t="s">
        <v>5505</v>
      </c>
      <c r="H37" s="473" t="s">
        <v>5321</v>
      </c>
      <c r="I37" s="473"/>
      <c r="J37" s="473" t="s">
        <v>506</v>
      </c>
      <c r="K37" s="136" t="s">
        <v>15</v>
      </c>
      <c r="L37" s="664">
        <v>3</v>
      </c>
      <c r="M37" s="664">
        <v>3</v>
      </c>
    </row>
    <row r="38" spans="1:16" ht="14.25" thickBot="1">
      <c r="A38" s="626"/>
      <c r="B38" s="627">
        <v>46143</v>
      </c>
      <c r="C38" s="628"/>
      <c r="D38" s="628"/>
      <c r="E38" s="629"/>
      <c r="F38" s="629"/>
      <c r="G38" s="630"/>
      <c r="H38" s="665" t="s">
        <v>5295</v>
      </c>
      <c r="I38" s="629"/>
      <c r="J38" s="629"/>
      <c r="K38" s="631"/>
      <c r="L38" s="632"/>
      <c r="M38" s="63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5:K15"/>
    <mergeCell ref="B14:K14"/>
    <mergeCell ref="A9:A14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8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6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6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6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6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6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6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6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6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6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6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6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6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6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6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6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6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75" t="s">
        <v>53</v>
      </c>
      <c r="B21" s="675"/>
      <c r="C21" s="675"/>
      <c r="D21" s="675"/>
      <c r="E21" s="675"/>
      <c r="F21" s="675"/>
      <c r="G21" s="675"/>
      <c r="H21" s="675"/>
      <c r="I21" s="67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9" t="s">
        <v>53</v>
      </c>
      <c r="B26" s="870"/>
      <c r="C26" s="870"/>
      <c r="D26" s="870"/>
      <c r="E26" s="870"/>
      <c r="F26" s="870"/>
      <c r="G26" s="870"/>
      <c r="H26" s="870"/>
      <c r="I26" s="87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6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6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6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6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6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9" t="s">
        <v>53</v>
      </c>
      <c r="B35" s="870"/>
      <c r="C35" s="870"/>
      <c r="D35" s="870"/>
      <c r="E35" s="870"/>
      <c r="F35" s="870"/>
      <c r="G35" s="870"/>
      <c r="H35" s="870"/>
      <c r="I35" s="87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6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6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6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9" t="s">
        <v>53</v>
      </c>
      <c r="B42" s="870"/>
      <c r="C42" s="870"/>
      <c r="D42" s="870"/>
      <c r="E42" s="870"/>
      <c r="F42" s="870"/>
      <c r="G42" s="870"/>
      <c r="H42" s="870"/>
      <c r="I42" s="87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9" t="s">
        <v>53</v>
      </c>
      <c r="B48" s="870"/>
      <c r="C48" s="870"/>
      <c r="D48" s="870"/>
      <c r="E48" s="870"/>
      <c r="F48" s="870"/>
      <c r="G48" s="870"/>
      <c r="H48" s="870"/>
      <c r="I48" s="87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6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6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9" t="s">
        <v>53</v>
      </c>
      <c r="B54" s="870"/>
      <c r="C54" s="870"/>
      <c r="D54" s="870"/>
      <c r="E54" s="870"/>
      <c r="F54" s="870"/>
      <c r="G54" s="870"/>
      <c r="H54" s="870"/>
      <c r="I54" s="87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6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6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6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67"/>
      <c r="B61" s="90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67"/>
      <c r="B62" s="90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67"/>
      <c r="B63" s="90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9" t="s">
        <v>53</v>
      </c>
      <c r="B64" s="870"/>
      <c r="C64" s="870"/>
      <c r="D64" s="870"/>
      <c r="E64" s="870"/>
      <c r="F64" s="870"/>
      <c r="G64" s="870"/>
      <c r="H64" s="870"/>
      <c r="I64" s="87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9" t="s">
        <v>53</v>
      </c>
      <c r="B70" s="870"/>
      <c r="C70" s="870"/>
      <c r="D70" s="870"/>
      <c r="E70" s="870"/>
      <c r="F70" s="870"/>
      <c r="G70" s="870"/>
      <c r="H70" s="870"/>
      <c r="I70" s="87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6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6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75" t="s">
        <v>53</v>
      </c>
      <c r="B78" s="675"/>
      <c r="C78" s="675"/>
      <c r="D78" s="675"/>
      <c r="E78" s="675"/>
      <c r="F78" s="675"/>
      <c r="G78" s="675"/>
      <c r="H78" s="675"/>
      <c r="I78" s="67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6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6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6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6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9" t="s">
        <v>53</v>
      </c>
      <c r="B86" s="870"/>
      <c r="C86" s="870"/>
      <c r="D86" s="870"/>
      <c r="E86" s="870"/>
      <c r="F86" s="870"/>
      <c r="G86" s="870"/>
      <c r="H86" s="870"/>
      <c r="I86" s="87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9" t="s">
        <v>53</v>
      </c>
      <c r="B92" s="870"/>
      <c r="C92" s="870"/>
      <c r="D92" s="870"/>
      <c r="E92" s="870"/>
      <c r="F92" s="870"/>
      <c r="G92" s="870"/>
      <c r="H92" s="870"/>
      <c r="I92" s="87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6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6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6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6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9" t="s">
        <v>53</v>
      </c>
      <c r="B101" s="870"/>
      <c r="C101" s="870"/>
      <c r="D101" s="870"/>
      <c r="E101" s="870"/>
      <c r="F101" s="870"/>
      <c r="G101" s="870"/>
      <c r="H101" s="870"/>
      <c r="I101" s="87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6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67"/>
      <c r="B107" s="89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67"/>
      <c r="B108" s="89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6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6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6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75" t="s">
        <v>53</v>
      </c>
      <c r="B112" s="675"/>
      <c r="C112" s="675"/>
      <c r="D112" s="675"/>
      <c r="E112" s="675"/>
      <c r="F112" s="675"/>
      <c r="G112" s="675"/>
      <c r="H112" s="675"/>
      <c r="I112" s="67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8" t="s">
        <v>954</v>
      </c>
      <c r="B119" s="70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9"/>
      <c r="B120" s="70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75" t="s">
        <v>53</v>
      </c>
      <c r="B121" s="675"/>
      <c r="C121" s="675"/>
      <c r="D121" s="675"/>
      <c r="E121" s="675"/>
      <c r="F121" s="675"/>
      <c r="G121" s="675"/>
      <c r="H121" s="675"/>
      <c r="I121" s="67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9"/>
      <c r="B129" s="90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99" t="s">
        <v>90</v>
      </c>
      <c r="J129" s="887">
        <v>2</v>
      </c>
      <c r="K129" s="25" t="s">
        <v>52</v>
      </c>
      <c r="L129" s="25" t="s">
        <v>51</v>
      </c>
    </row>
    <row r="130" spans="1:12">
      <c r="A130" s="689"/>
      <c r="B130" s="90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99"/>
      <c r="J130" s="888"/>
      <c r="K130" s="25" t="s">
        <v>52</v>
      </c>
      <c r="L130" s="25" t="s">
        <v>51</v>
      </c>
    </row>
    <row r="131" spans="1:12">
      <c r="A131" s="6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9"/>
      <c r="B133" s="76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0" t="s">
        <v>1277</v>
      </c>
      <c r="J133" s="887">
        <v>1</v>
      </c>
      <c r="K133" s="25" t="s">
        <v>52</v>
      </c>
      <c r="L133" s="25" t="s">
        <v>51</v>
      </c>
    </row>
    <row r="134" spans="1:12">
      <c r="A134" s="689"/>
      <c r="B134" s="77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77"/>
      <c r="J134" s="888"/>
      <c r="K134" s="25" t="s">
        <v>52</v>
      </c>
      <c r="L134" s="25" t="s">
        <v>51</v>
      </c>
    </row>
    <row r="135" spans="1:12">
      <c r="A135" s="6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75" t="s">
        <v>53</v>
      </c>
      <c r="B137" s="675"/>
      <c r="C137" s="675"/>
      <c r="D137" s="675"/>
      <c r="E137" s="675"/>
      <c r="F137" s="675"/>
      <c r="G137" s="675"/>
      <c r="H137" s="675"/>
      <c r="I137" s="67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9" t="s">
        <v>1007</v>
      </c>
      <c r="B142" s="76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9"/>
      <c r="B143" s="7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75" t="s">
        <v>53</v>
      </c>
      <c r="B145" s="675"/>
      <c r="C145" s="675"/>
      <c r="D145" s="675"/>
      <c r="E145" s="675"/>
      <c r="F145" s="675"/>
      <c r="G145" s="675"/>
      <c r="H145" s="675"/>
      <c r="I145" s="67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0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04"/>
      <c r="B150" s="70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04"/>
      <c r="B151" s="70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0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0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75" t="s">
        <v>53</v>
      </c>
      <c r="B163" s="675"/>
      <c r="C163" s="675"/>
      <c r="D163" s="675"/>
      <c r="E163" s="675"/>
      <c r="F163" s="675"/>
      <c r="G163" s="675"/>
      <c r="H163" s="675"/>
      <c r="I163" s="67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75" t="s">
        <v>53</v>
      </c>
      <c r="B183" s="675"/>
      <c r="C183" s="675"/>
      <c r="D183" s="675"/>
      <c r="E183" s="675"/>
      <c r="F183" s="675"/>
      <c r="G183" s="675"/>
      <c r="H183" s="675"/>
      <c r="I183" s="67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23" t="s">
        <v>1061</v>
      </c>
      <c r="B189" s="70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24"/>
      <c r="B190" s="70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24"/>
      <c r="B191" s="70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24"/>
      <c r="B192" s="70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75" t="s">
        <v>53</v>
      </c>
      <c r="B193" s="675"/>
      <c r="C193" s="675"/>
      <c r="D193" s="675"/>
      <c r="E193" s="675"/>
      <c r="F193" s="675"/>
      <c r="G193" s="675"/>
      <c r="H193" s="675"/>
      <c r="I193" s="67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6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6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6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6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9" t="s">
        <v>53</v>
      </c>
      <c r="B244" s="870"/>
      <c r="C244" s="870"/>
      <c r="D244" s="870"/>
      <c r="E244" s="870"/>
      <c r="F244" s="870"/>
      <c r="G244" s="870"/>
      <c r="H244" s="870"/>
      <c r="I244" s="87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6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6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6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9" t="s">
        <v>53</v>
      </c>
      <c r="B250" s="870"/>
      <c r="C250" s="870"/>
      <c r="D250" s="870"/>
      <c r="E250" s="870"/>
      <c r="F250" s="870"/>
      <c r="G250" s="870"/>
      <c r="H250" s="870"/>
      <c r="I250" s="87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6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6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6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6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9" t="s">
        <v>53</v>
      </c>
      <c r="B257" s="870"/>
      <c r="C257" s="870"/>
      <c r="D257" s="870"/>
      <c r="E257" s="870"/>
      <c r="F257" s="870"/>
      <c r="G257" s="870"/>
      <c r="H257" s="870"/>
      <c r="I257" s="87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9" t="s">
        <v>53</v>
      </c>
      <c r="B262" s="870"/>
      <c r="C262" s="870"/>
      <c r="D262" s="870"/>
      <c r="E262" s="870"/>
      <c r="F262" s="870"/>
      <c r="G262" s="870"/>
      <c r="H262" s="870"/>
      <c r="I262" s="87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6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6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6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6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6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6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9" t="s">
        <v>53</v>
      </c>
      <c r="B271" s="870"/>
      <c r="C271" s="870"/>
      <c r="D271" s="870"/>
      <c r="E271" s="870"/>
      <c r="F271" s="870"/>
      <c r="G271" s="870"/>
      <c r="H271" s="870"/>
      <c r="I271" s="87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9" t="s">
        <v>53</v>
      </c>
      <c r="B275" s="870"/>
      <c r="C275" s="870"/>
      <c r="D275" s="870"/>
      <c r="E275" s="870"/>
      <c r="F275" s="870"/>
      <c r="G275" s="870"/>
      <c r="H275" s="870"/>
      <c r="I275" s="871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9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9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9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9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9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0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0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0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0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0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0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0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0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9" t="s">
        <v>1650</v>
      </c>
      <c r="B296" s="870"/>
      <c r="C296" s="870"/>
      <c r="D296" s="870"/>
      <c r="E296" s="870"/>
      <c r="F296" s="870"/>
      <c r="G296" s="870"/>
      <c r="H296" s="870"/>
      <c r="I296" s="870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1" t="s">
        <v>1663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1" t="s">
        <v>1663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1" t="s">
        <v>1663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1" t="s">
        <v>1663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9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9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9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9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9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1" t="s">
        <v>1663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09" t="s">
        <v>1521</v>
      </c>
      <c r="B343" s="128" t="s">
        <v>1531</v>
      </c>
      <c r="C343" s="805" t="s">
        <v>306</v>
      </c>
      <c r="D343" s="805" t="s">
        <v>322</v>
      </c>
      <c r="E343" s="676" t="s">
        <v>307</v>
      </c>
      <c r="F343" s="912">
        <v>4266</v>
      </c>
      <c r="G343" s="805" t="s">
        <v>640</v>
      </c>
      <c r="H343" s="912" t="s">
        <v>1533</v>
      </c>
      <c r="I343" s="805" t="s">
        <v>1534</v>
      </c>
      <c r="J343" s="676">
        <v>2</v>
      </c>
      <c r="K343" s="866" t="s">
        <v>50</v>
      </c>
      <c r="L343" s="866" t="s">
        <v>51</v>
      </c>
    </row>
    <row r="344" spans="1:14">
      <c r="A344" s="910"/>
      <c r="B344" s="129" t="s">
        <v>1532</v>
      </c>
      <c r="C344" s="677"/>
      <c r="D344" s="677"/>
      <c r="E344" s="677"/>
      <c r="F344" s="679"/>
      <c r="G344" s="677"/>
      <c r="H344" s="679"/>
      <c r="I344" s="677"/>
      <c r="J344" s="677"/>
      <c r="K344" s="868"/>
      <c r="L344" s="868"/>
    </row>
    <row r="345" spans="1:14">
      <c r="A345" s="910"/>
      <c r="B345" s="128" t="s">
        <v>1536</v>
      </c>
      <c r="C345" s="676" t="s">
        <v>306</v>
      </c>
      <c r="D345" s="676" t="s">
        <v>322</v>
      </c>
      <c r="E345" s="676" t="s">
        <v>307</v>
      </c>
      <c r="F345" s="678">
        <v>3306</v>
      </c>
      <c r="G345" s="676" t="s">
        <v>1153</v>
      </c>
      <c r="H345" s="678" t="s">
        <v>1538</v>
      </c>
      <c r="I345" s="676" t="s">
        <v>1534</v>
      </c>
      <c r="J345" s="676">
        <v>2</v>
      </c>
      <c r="K345" s="866" t="s">
        <v>50</v>
      </c>
      <c r="L345" s="866" t="s">
        <v>51</v>
      </c>
    </row>
    <row r="346" spans="1:14">
      <c r="A346" s="911"/>
      <c r="B346" s="129" t="s">
        <v>1537</v>
      </c>
      <c r="C346" s="677"/>
      <c r="D346" s="677"/>
      <c r="E346" s="677"/>
      <c r="F346" s="679"/>
      <c r="G346" s="677"/>
      <c r="H346" s="679"/>
      <c r="I346" s="677"/>
      <c r="J346" s="677"/>
      <c r="K346" s="868"/>
      <c r="L346" s="868"/>
    </row>
    <row r="347" spans="1:14">
      <c r="A347" s="869" t="s">
        <v>53</v>
      </c>
      <c r="B347" s="870"/>
      <c r="C347" s="870"/>
      <c r="D347" s="870"/>
      <c r="E347" s="870"/>
      <c r="F347" s="870"/>
      <c r="G347" s="870"/>
      <c r="H347" s="870"/>
      <c r="I347" s="87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75" t="s">
        <v>53</v>
      </c>
      <c r="B357" s="675"/>
      <c r="C357" s="675"/>
      <c r="D357" s="675"/>
      <c r="E357" s="675"/>
      <c r="F357" s="675"/>
      <c r="G357" s="675"/>
      <c r="H357" s="675"/>
      <c r="I357" s="67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0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1" t="s">
        <v>1663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9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9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9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9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9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75" t="s">
        <v>1650</v>
      </c>
      <c r="B378" s="675"/>
      <c r="C378" s="675"/>
      <c r="D378" s="675"/>
      <c r="E378" s="675"/>
      <c r="F378" s="675"/>
      <c r="G378" s="675"/>
      <c r="H378" s="675"/>
      <c r="I378" s="675"/>
      <c r="J378" s="675"/>
      <c r="K378" s="4">
        <v>25</v>
      </c>
      <c r="L378" s="55"/>
    </row>
    <row r="381" spans="1:13">
      <c r="B381" s="892" t="s">
        <v>1</v>
      </c>
      <c r="C381" s="892" t="s">
        <v>2</v>
      </c>
      <c r="D381" s="892" t="s">
        <v>3</v>
      </c>
      <c r="E381" s="36" t="s">
        <v>54</v>
      </c>
      <c r="F381" s="892" t="s">
        <v>5</v>
      </c>
      <c r="G381" s="892" t="s">
        <v>6</v>
      </c>
      <c r="H381" s="892" t="s">
        <v>7</v>
      </c>
      <c r="I381" s="892" t="s">
        <v>55</v>
      </c>
      <c r="J381" s="892" t="s">
        <v>9</v>
      </c>
      <c r="K381" s="894" t="s">
        <v>56</v>
      </c>
      <c r="L381" s="892" t="s">
        <v>57</v>
      </c>
    </row>
    <row r="382" spans="1:13">
      <c r="B382" s="893"/>
      <c r="C382" s="893"/>
      <c r="D382" s="893"/>
      <c r="E382" s="37" t="s">
        <v>59</v>
      </c>
      <c r="F382" s="893"/>
      <c r="G382" s="893"/>
      <c r="H382" s="893"/>
      <c r="I382" s="893"/>
      <c r="J382" s="893"/>
      <c r="K382" s="895"/>
      <c r="L382" s="89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9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9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9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9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4" t="s">
        <v>229</v>
      </c>
      <c r="B405" s="877" t="s">
        <v>1809</v>
      </c>
      <c r="C405" s="877" t="s">
        <v>700</v>
      </c>
      <c r="D405" s="873" t="s">
        <v>675</v>
      </c>
      <c r="E405" s="877" t="s">
        <v>1810</v>
      </c>
      <c r="F405" s="877" t="s">
        <v>1811</v>
      </c>
      <c r="G405" s="877" t="s">
        <v>662</v>
      </c>
      <c r="H405" s="878" t="s">
        <v>1812</v>
      </c>
      <c r="I405" s="873"/>
      <c r="J405" s="878">
        <v>1</v>
      </c>
      <c r="K405" s="866" t="s">
        <v>631</v>
      </c>
      <c r="L405" s="683" t="s">
        <v>51</v>
      </c>
      <c r="M405">
        <v>19</v>
      </c>
    </row>
    <row r="406" spans="1:13" ht="13.5" customHeight="1">
      <c r="A406" s="884"/>
      <c r="B406" s="877"/>
      <c r="C406" s="877"/>
      <c r="D406" s="873"/>
      <c r="E406" s="877"/>
      <c r="F406" s="877"/>
      <c r="G406" s="877"/>
      <c r="H406" s="878"/>
      <c r="I406" s="873"/>
      <c r="J406" s="878"/>
      <c r="K406" s="868"/>
      <c r="L406" s="685"/>
      <c r="M406">
        <v>18</v>
      </c>
    </row>
    <row r="407" spans="1:13" ht="27" customHeight="1">
      <c r="A407" s="884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4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4" t="s">
        <v>1650</v>
      </c>
      <c r="B409" s="884"/>
      <c r="C409" s="884"/>
      <c r="D409" s="884"/>
      <c r="E409" s="884"/>
      <c r="F409" s="884"/>
      <c r="G409" s="884"/>
      <c r="H409" s="884"/>
      <c r="I409" s="88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4" t="s">
        <v>2012</v>
      </c>
      <c r="B412" s="889" t="s">
        <v>2013</v>
      </c>
      <c r="C412" s="866" t="s">
        <v>21</v>
      </c>
      <c r="D412" s="762" t="s">
        <v>14</v>
      </c>
      <c r="E412" s="866" t="s">
        <v>78</v>
      </c>
      <c r="F412" s="877" t="s">
        <v>2014</v>
      </c>
      <c r="G412" s="877" t="s">
        <v>40</v>
      </c>
      <c r="H412" s="878" t="s">
        <v>614</v>
      </c>
      <c r="I412" s="873"/>
      <c r="J412" s="878">
        <v>1</v>
      </c>
      <c r="K412" s="866" t="s">
        <v>2015</v>
      </c>
      <c r="L412" s="683" t="s">
        <v>2001</v>
      </c>
      <c r="M412">
        <v>19</v>
      </c>
    </row>
    <row r="413" spans="1:13" ht="20.100000000000001" customHeight="1">
      <c r="A413" s="884"/>
      <c r="B413" s="877"/>
      <c r="C413" s="868"/>
      <c r="D413" s="764"/>
      <c r="E413" s="868"/>
      <c r="F413" s="877"/>
      <c r="G413" s="877"/>
      <c r="H413" s="878"/>
      <c r="I413" s="873"/>
      <c r="J413" s="878"/>
      <c r="K413" s="868"/>
      <c r="L413" s="685"/>
      <c r="M413">
        <v>18</v>
      </c>
    </row>
    <row r="414" spans="1:13" ht="20.100000000000001" customHeight="1">
      <c r="A414" s="884" t="s">
        <v>1650</v>
      </c>
      <c r="B414" s="884"/>
      <c r="C414" s="884"/>
      <c r="D414" s="884"/>
      <c r="E414" s="884"/>
      <c r="F414" s="884"/>
      <c r="G414" s="884"/>
      <c r="H414" s="884"/>
      <c r="I414" s="88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8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684"/>
      <c r="B418" s="78" t="s">
        <v>1752</v>
      </c>
      <c r="C418" s="873" t="s">
        <v>306</v>
      </c>
      <c r="D418" s="873" t="s">
        <v>322</v>
      </c>
      <c r="E418" s="873" t="s">
        <v>307</v>
      </c>
      <c r="F418" s="878">
        <v>3306</v>
      </c>
      <c r="G418" s="873" t="s">
        <v>1153</v>
      </c>
      <c r="H418" s="878" t="s">
        <v>1753</v>
      </c>
      <c r="I418" s="873" t="s">
        <v>664</v>
      </c>
      <c r="J418" s="873">
        <v>4</v>
      </c>
      <c r="K418" s="866" t="s">
        <v>631</v>
      </c>
      <c r="L418" s="683" t="s">
        <v>51</v>
      </c>
      <c r="M418">
        <v>18</v>
      </c>
    </row>
    <row r="419" spans="1:13" ht="13.5" customHeight="1">
      <c r="A419" s="684"/>
      <c r="B419" s="79" t="s">
        <v>1755</v>
      </c>
      <c r="C419" s="873"/>
      <c r="D419" s="873"/>
      <c r="E419" s="873"/>
      <c r="F419" s="878"/>
      <c r="G419" s="873"/>
      <c r="H419" s="878"/>
      <c r="I419" s="873"/>
      <c r="J419" s="873"/>
      <c r="K419" s="868"/>
      <c r="L419" s="685"/>
    </row>
    <row r="420" spans="1:13" ht="13.5" customHeight="1">
      <c r="A420" s="684"/>
      <c r="B420" s="78" t="s">
        <v>1804</v>
      </c>
      <c r="C420" s="873" t="s">
        <v>306</v>
      </c>
      <c r="D420" s="873" t="s">
        <v>322</v>
      </c>
      <c r="E420" s="873" t="s">
        <v>307</v>
      </c>
      <c r="F420" s="878" t="s">
        <v>1805</v>
      </c>
      <c r="G420" s="873" t="s">
        <v>1806</v>
      </c>
      <c r="H420" s="878" t="s">
        <v>1807</v>
      </c>
      <c r="I420" s="873" t="s">
        <v>664</v>
      </c>
      <c r="J420" s="873">
        <v>5</v>
      </c>
      <c r="K420" s="866" t="s">
        <v>631</v>
      </c>
      <c r="L420" s="683" t="s">
        <v>51</v>
      </c>
      <c r="M420">
        <v>19</v>
      </c>
    </row>
    <row r="421" spans="1:13" ht="13.5" customHeight="1">
      <c r="A421" s="684"/>
      <c r="B421" s="79" t="s">
        <v>1799</v>
      </c>
      <c r="C421" s="873"/>
      <c r="D421" s="873"/>
      <c r="E421" s="873"/>
      <c r="F421" s="878"/>
      <c r="G421" s="873"/>
      <c r="H421" s="878"/>
      <c r="I421" s="873"/>
      <c r="J421" s="873"/>
      <c r="K421" s="868"/>
      <c r="L421" s="685"/>
    </row>
    <row r="422" spans="1:13" ht="27" customHeight="1">
      <c r="A422" s="685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4" t="s">
        <v>1650</v>
      </c>
      <c r="B423" s="884"/>
      <c r="C423" s="884"/>
      <c r="D423" s="884"/>
      <c r="E423" s="884"/>
      <c r="F423" s="884"/>
      <c r="G423" s="884"/>
      <c r="H423" s="884"/>
      <c r="I423" s="88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7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8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8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8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1" t="s">
        <v>1650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8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8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1" t="s">
        <v>1650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01" t="s">
        <v>2031</v>
      </c>
      <c r="B438" s="254" t="s">
        <v>1764</v>
      </c>
      <c r="C438" s="767" t="s">
        <v>306</v>
      </c>
      <c r="D438" s="767" t="s">
        <v>322</v>
      </c>
      <c r="E438" s="767" t="s">
        <v>307</v>
      </c>
      <c r="F438" s="885" t="s">
        <v>1765</v>
      </c>
      <c r="G438" s="767" t="s">
        <v>329</v>
      </c>
      <c r="H438" s="887" t="s">
        <v>1766</v>
      </c>
      <c r="I438" s="750" t="s">
        <v>664</v>
      </c>
      <c r="J438" s="882">
        <v>2</v>
      </c>
      <c r="K438" s="866" t="s">
        <v>2000</v>
      </c>
      <c r="L438" s="866" t="s">
        <v>51</v>
      </c>
      <c r="M438">
        <v>18</v>
      </c>
    </row>
    <row r="439" spans="1:13" ht="13.5" customHeight="1">
      <c r="A439" s="702"/>
      <c r="B439" s="255" t="s">
        <v>2032</v>
      </c>
      <c r="C439" s="768"/>
      <c r="D439" s="768"/>
      <c r="E439" s="768"/>
      <c r="F439" s="886"/>
      <c r="G439" s="768"/>
      <c r="H439" s="888"/>
      <c r="I439" s="751"/>
      <c r="J439" s="883"/>
      <c r="K439" s="868"/>
      <c r="L439" s="868"/>
    </row>
    <row r="440" spans="1:13" ht="13.5" customHeight="1">
      <c r="A440" s="702"/>
      <c r="B440" s="256" t="s">
        <v>1798</v>
      </c>
      <c r="C440" s="819" t="s">
        <v>306</v>
      </c>
      <c r="D440" s="819" t="s">
        <v>322</v>
      </c>
      <c r="E440" s="819" t="s">
        <v>307</v>
      </c>
      <c r="F440" s="821" t="s">
        <v>1800</v>
      </c>
      <c r="G440" s="819" t="s">
        <v>1801</v>
      </c>
      <c r="H440" s="821" t="s">
        <v>1796</v>
      </c>
      <c r="I440" s="819" t="s">
        <v>664</v>
      </c>
      <c r="J440" s="676">
        <v>4</v>
      </c>
      <c r="K440" s="866" t="s">
        <v>631</v>
      </c>
      <c r="L440" s="866" t="s">
        <v>2001</v>
      </c>
      <c r="M440">
        <v>19</v>
      </c>
    </row>
    <row r="441" spans="1:13" ht="13.5" customHeight="1">
      <c r="A441" s="702"/>
      <c r="B441" s="257" t="s">
        <v>1799</v>
      </c>
      <c r="C441" s="819"/>
      <c r="D441" s="819"/>
      <c r="E441" s="819"/>
      <c r="F441" s="821"/>
      <c r="G441" s="819"/>
      <c r="H441" s="821"/>
      <c r="I441" s="819"/>
      <c r="J441" s="677"/>
      <c r="K441" s="868"/>
      <c r="L441" s="868"/>
    </row>
    <row r="442" spans="1:13" ht="20.100000000000001" customHeight="1">
      <c r="A442" s="70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0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0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0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0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0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0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0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9" t="s">
        <v>1650</v>
      </c>
      <c r="B450" s="870"/>
      <c r="C450" s="870"/>
      <c r="D450" s="870"/>
      <c r="E450" s="870"/>
      <c r="F450" s="870"/>
      <c r="G450" s="870"/>
      <c r="H450" s="870"/>
      <c r="I450" s="870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75" t="s">
        <v>2063</v>
      </c>
      <c r="B459" s="675"/>
      <c r="C459" s="675"/>
      <c r="D459" s="675"/>
      <c r="E459" s="675"/>
      <c r="F459" s="675"/>
      <c r="G459" s="675"/>
      <c r="H459" s="675"/>
      <c r="I459" s="67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80"/>
      <c r="B463" s="874" t="s">
        <v>1771</v>
      </c>
      <c r="C463" s="875" t="s">
        <v>311</v>
      </c>
      <c r="D463" s="875" t="s">
        <v>320</v>
      </c>
      <c r="E463" s="875" t="s">
        <v>709</v>
      </c>
      <c r="F463" s="875" t="s">
        <v>1772</v>
      </c>
      <c r="G463" s="874" t="s">
        <v>1773</v>
      </c>
      <c r="H463" s="260" t="s">
        <v>1774</v>
      </c>
      <c r="I463" s="875"/>
      <c r="J463" s="875">
        <v>1</v>
      </c>
      <c r="K463" s="762" t="s">
        <v>631</v>
      </c>
      <c r="L463" s="794" t="s">
        <v>51</v>
      </c>
      <c r="M463">
        <v>18</v>
      </c>
    </row>
    <row r="464" spans="1:13" ht="13.5" customHeight="1">
      <c r="A464" s="880"/>
      <c r="B464" s="874"/>
      <c r="C464" s="875"/>
      <c r="D464" s="875"/>
      <c r="E464" s="875"/>
      <c r="F464" s="875"/>
      <c r="G464" s="874"/>
      <c r="H464" s="261" t="s">
        <v>1777</v>
      </c>
      <c r="I464" s="875"/>
      <c r="J464" s="875"/>
      <c r="K464" s="764"/>
      <c r="L464" s="795"/>
    </row>
    <row r="465" spans="1:13" ht="13.5" customHeight="1">
      <c r="A465" s="880"/>
      <c r="B465" s="876" t="s">
        <v>1817</v>
      </c>
      <c r="C465" s="877" t="s">
        <v>700</v>
      </c>
      <c r="D465" s="873" t="s">
        <v>320</v>
      </c>
      <c r="E465" s="873" t="s">
        <v>337</v>
      </c>
      <c r="F465" s="877" t="s">
        <v>353</v>
      </c>
      <c r="G465" s="877" t="s">
        <v>1818</v>
      </c>
      <c r="H465" s="878" t="s">
        <v>1819</v>
      </c>
      <c r="I465" s="873" t="s">
        <v>638</v>
      </c>
      <c r="J465" s="878">
        <v>2</v>
      </c>
      <c r="K465" s="866" t="s">
        <v>631</v>
      </c>
      <c r="L465" s="866" t="s">
        <v>51</v>
      </c>
      <c r="M465">
        <v>19</v>
      </c>
    </row>
    <row r="466" spans="1:13" ht="13.5" customHeight="1">
      <c r="A466" s="880"/>
      <c r="B466" s="876"/>
      <c r="C466" s="877"/>
      <c r="D466" s="873"/>
      <c r="E466" s="873"/>
      <c r="F466" s="877"/>
      <c r="G466" s="877"/>
      <c r="H466" s="878"/>
      <c r="I466" s="873"/>
      <c r="J466" s="878"/>
      <c r="K466" s="868"/>
      <c r="L466" s="868"/>
    </row>
    <row r="467" spans="1:13" ht="27" customHeight="1">
      <c r="A467" s="88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80"/>
      <c r="B468" s="877" t="s">
        <v>1824</v>
      </c>
      <c r="C468" s="877" t="s">
        <v>700</v>
      </c>
      <c r="D468" s="873" t="s">
        <v>320</v>
      </c>
      <c r="E468" s="873" t="s">
        <v>709</v>
      </c>
      <c r="F468" s="873" t="s">
        <v>1772</v>
      </c>
      <c r="G468" s="877" t="s">
        <v>1825</v>
      </c>
      <c r="H468" s="263" t="s">
        <v>1826</v>
      </c>
      <c r="I468" s="873" t="s">
        <v>638</v>
      </c>
      <c r="J468" s="873">
        <v>2</v>
      </c>
      <c r="K468" s="866" t="s">
        <v>631</v>
      </c>
      <c r="L468" s="866" t="s">
        <v>51</v>
      </c>
      <c r="M468">
        <v>19</v>
      </c>
    </row>
    <row r="469" spans="1:13" ht="13.5" customHeight="1">
      <c r="A469" s="880"/>
      <c r="B469" s="877"/>
      <c r="C469" s="877"/>
      <c r="D469" s="873"/>
      <c r="E469" s="873"/>
      <c r="F469" s="873"/>
      <c r="G469" s="877"/>
      <c r="H469" s="264" t="s">
        <v>1827</v>
      </c>
      <c r="I469" s="873"/>
      <c r="J469" s="873"/>
      <c r="K469" s="868"/>
      <c r="L469" s="868"/>
    </row>
    <row r="470" spans="1:13" ht="27" customHeight="1">
      <c r="A470" s="88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8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1" t="s">
        <v>228</v>
      </c>
      <c r="B476" s="874" t="s">
        <v>1771</v>
      </c>
      <c r="C476" s="875" t="s">
        <v>311</v>
      </c>
      <c r="D476" s="875" t="s">
        <v>320</v>
      </c>
      <c r="E476" s="875" t="s">
        <v>709</v>
      </c>
      <c r="F476" s="875" t="s">
        <v>1772</v>
      </c>
      <c r="G476" s="874" t="s">
        <v>1773</v>
      </c>
      <c r="H476" s="260" t="s">
        <v>1774</v>
      </c>
      <c r="I476" s="875"/>
      <c r="J476" s="875">
        <v>1</v>
      </c>
      <c r="K476" s="762" t="s">
        <v>631</v>
      </c>
      <c r="L476" s="794" t="s">
        <v>51</v>
      </c>
      <c r="M476">
        <v>18</v>
      </c>
    </row>
    <row r="477" spans="1:13" ht="13.5" customHeight="1">
      <c r="A477" s="861"/>
      <c r="B477" s="874"/>
      <c r="C477" s="875"/>
      <c r="D477" s="875"/>
      <c r="E477" s="875"/>
      <c r="F477" s="875"/>
      <c r="G477" s="874"/>
      <c r="H477" s="261" t="s">
        <v>1777</v>
      </c>
      <c r="I477" s="875"/>
      <c r="J477" s="875"/>
      <c r="K477" s="764"/>
      <c r="L477" s="795"/>
    </row>
    <row r="478" spans="1:13" ht="27" customHeight="1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1" t="s">
        <v>1650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6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6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6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6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6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9" t="s">
        <v>53</v>
      </c>
      <c r="B487" s="870"/>
      <c r="C487" s="870"/>
      <c r="D487" s="870"/>
      <c r="E487" s="870"/>
      <c r="F487" s="870"/>
      <c r="G487" s="870"/>
      <c r="H487" s="870"/>
      <c r="I487" s="87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63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64"/>
      <c r="B494" s="865" t="s">
        <v>2186</v>
      </c>
      <c r="C494" s="865" t="s">
        <v>306</v>
      </c>
      <c r="D494" s="865" t="s">
        <v>322</v>
      </c>
      <c r="E494" s="865" t="s">
        <v>307</v>
      </c>
      <c r="F494" s="872" t="s">
        <v>1923</v>
      </c>
      <c r="G494" s="865" t="s">
        <v>662</v>
      </c>
      <c r="H494" s="872" t="s">
        <v>1924</v>
      </c>
      <c r="I494" s="865" t="s">
        <v>349</v>
      </c>
      <c r="J494" s="865">
        <v>2</v>
      </c>
      <c r="K494" s="877" t="s">
        <v>50</v>
      </c>
      <c r="L494" s="224">
        <v>23</v>
      </c>
    </row>
    <row r="495" spans="1:13" ht="12.6" customHeight="1">
      <c r="A495" s="864"/>
      <c r="B495" s="865"/>
      <c r="C495" s="865"/>
      <c r="D495" s="865"/>
      <c r="E495" s="865"/>
      <c r="F495" s="872"/>
      <c r="G495" s="865"/>
      <c r="H495" s="872"/>
      <c r="I495" s="865"/>
      <c r="J495" s="865"/>
      <c r="K495" s="877"/>
    </row>
    <row r="496" spans="1:13" ht="24.95" customHeight="1">
      <c r="A496" s="86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6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6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6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75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75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7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75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75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1" t="s">
        <v>2221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75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75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75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75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75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75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75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75" t="s">
        <v>2237</v>
      </c>
      <c r="B522" s="675"/>
      <c r="C522" s="675"/>
      <c r="D522" s="675"/>
      <c r="E522" s="675"/>
      <c r="F522" s="675"/>
      <c r="G522" s="675"/>
      <c r="H522" s="675"/>
      <c r="I522" s="675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1" t="s">
        <v>2242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75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75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75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1" t="s">
        <v>2237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9" t="s">
        <v>2242</v>
      </c>
      <c r="B540" s="870"/>
      <c r="C540" s="870"/>
      <c r="D540" s="870"/>
      <c r="E540" s="870"/>
      <c r="F540" s="870"/>
      <c r="G540" s="870"/>
      <c r="H540" s="870"/>
      <c r="I540" s="87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4" t="s">
        <v>2237</v>
      </c>
      <c r="B546" s="884"/>
      <c r="C546" s="884"/>
      <c r="D546" s="884"/>
      <c r="E546" s="884"/>
      <c r="F546" s="884"/>
      <c r="G546" s="884"/>
      <c r="H546" s="884"/>
      <c r="I546" s="88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1" t="s">
        <v>2237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1" t="s">
        <v>2237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0" t="s">
        <v>306</v>
      </c>
      <c r="D569" s="710" t="s">
        <v>322</v>
      </c>
      <c r="E569" s="710" t="s">
        <v>307</v>
      </c>
      <c r="F569" s="710">
        <v>3306</v>
      </c>
      <c r="G569" s="710" t="s">
        <v>1153</v>
      </c>
      <c r="H569" s="710" t="s">
        <v>1911</v>
      </c>
      <c r="I569" s="710" t="s">
        <v>1111</v>
      </c>
      <c r="J569" s="710" t="s">
        <v>692</v>
      </c>
      <c r="K569" s="913" t="s">
        <v>2295</v>
      </c>
    </row>
    <row r="570" spans="1:12">
      <c r="B570" s="245" t="s">
        <v>1913</v>
      </c>
      <c r="C570" s="711"/>
      <c r="D570" s="711"/>
      <c r="E570" s="711"/>
      <c r="F570" s="711"/>
      <c r="G570" s="711"/>
      <c r="H570" s="711"/>
      <c r="I570" s="711"/>
      <c r="J570" s="711"/>
      <c r="K570" s="91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6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6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6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64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64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6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6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75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75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1" t="s">
        <v>2397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75" t="s">
        <v>2410</v>
      </c>
      <c r="B592" s="675"/>
      <c r="C592" s="675"/>
      <c r="D592" s="675"/>
      <c r="E592" s="675"/>
      <c r="F592" s="675"/>
      <c r="G592" s="675"/>
      <c r="H592" s="675"/>
      <c r="I592" s="675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75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75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75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75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75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75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75" t="s">
        <v>2410</v>
      </c>
      <c r="B601" s="675"/>
      <c r="C601" s="675"/>
      <c r="D601" s="675"/>
      <c r="E601" s="675"/>
      <c r="F601" s="675"/>
      <c r="G601" s="675"/>
      <c r="H601" s="675"/>
      <c r="I601" s="675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1" t="s">
        <v>2441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75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75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75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1" t="s">
        <v>2410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1" t="s">
        <v>2410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>
      <c r="A632" s="558" t="s">
        <v>43</v>
      </c>
      <c r="B632" s="558" t="s">
        <v>1622</v>
      </c>
      <c r="C632" s="559" t="s">
        <v>2</v>
      </c>
      <c r="D632" s="559" t="s">
        <v>3</v>
      </c>
      <c r="E632" s="559" t="s">
        <v>4</v>
      </c>
      <c r="F632" s="559" t="s">
        <v>5</v>
      </c>
      <c r="G632" s="559" t="s">
        <v>6</v>
      </c>
      <c r="H632" s="560" t="s">
        <v>45</v>
      </c>
      <c r="I632" s="559" t="s">
        <v>8</v>
      </c>
      <c r="J632" s="561" t="s">
        <v>46</v>
      </c>
      <c r="K632" s="562" t="s">
        <v>47</v>
      </c>
    </row>
    <row r="633" spans="1:12">
      <c r="A633" s="856" t="s">
        <v>5354</v>
      </c>
      <c r="B633" s="563" t="s">
        <v>5156</v>
      </c>
      <c r="C633" s="564" t="s">
        <v>306</v>
      </c>
      <c r="D633" s="564" t="s">
        <v>322</v>
      </c>
      <c r="E633" s="564" t="s">
        <v>307</v>
      </c>
      <c r="F633" s="563" t="s">
        <v>5070</v>
      </c>
      <c r="G633" s="563" t="s">
        <v>354</v>
      </c>
      <c r="H633" s="563" t="s">
        <v>4925</v>
      </c>
      <c r="I633" s="564" t="s">
        <v>664</v>
      </c>
      <c r="J633" s="564" t="s">
        <v>3186</v>
      </c>
      <c r="K633" s="564" t="s">
        <v>5357</v>
      </c>
      <c r="L633" s="545">
        <v>1250000</v>
      </c>
    </row>
    <row r="634" spans="1:12">
      <c r="A634" s="856"/>
      <c r="B634" s="563" t="s">
        <v>5158</v>
      </c>
      <c r="C634" s="564" t="s">
        <v>306</v>
      </c>
      <c r="D634" s="564" t="s">
        <v>322</v>
      </c>
      <c r="E634" s="564" t="s">
        <v>307</v>
      </c>
      <c r="F634" s="563" t="s">
        <v>3058</v>
      </c>
      <c r="G634" s="563" t="s">
        <v>354</v>
      </c>
      <c r="H634" s="563" t="s">
        <v>310</v>
      </c>
      <c r="I634" s="564" t="s">
        <v>664</v>
      </c>
      <c r="J634" s="564" t="s">
        <v>4953</v>
      </c>
      <c r="K634" s="564" t="s">
        <v>5358</v>
      </c>
      <c r="L634" s="545">
        <v>750000</v>
      </c>
    </row>
    <row r="635" spans="1:12">
      <c r="A635" s="856"/>
      <c r="B635" s="563" t="s">
        <v>5159</v>
      </c>
      <c r="C635" s="564" t="s">
        <v>306</v>
      </c>
      <c r="D635" s="564" t="s">
        <v>322</v>
      </c>
      <c r="E635" s="564" t="s">
        <v>307</v>
      </c>
      <c r="F635" s="563" t="s">
        <v>4812</v>
      </c>
      <c r="G635" s="563" t="s">
        <v>662</v>
      </c>
      <c r="H635" s="563" t="s">
        <v>5366</v>
      </c>
      <c r="I635" s="564" t="s">
        <v>664</v>
      </c>
      <c r="J635" s="564" t="s">
        <v>3105</v>
      </c>
      <c r="K635" s="564" t="s">
        <v>5359</v>
      </c>
      <c r="L635" s="545">
        <v>500000</v>
      </c>
    </row>
    <row r="636" spans="1:12">
      <c r="A636" s="856"/>
      <c r="B636" s="563" t="s">
        <v>5179</v>
      </c>
      <c r="C636" s="564" t="s">
        <v>306</v>
      </c>
      <c r="D636" s="564" t="s">
        <v>322</v>
      </c>
      <c r="E636" s="564" t="s">
        <v>307</v>
      </c>
      <c r="F636" s="563">
        <v>8263</v>
      </c>
      <c r="G636" s="563" t="s">
        <v>3179</v>
      </c>
      <c r="H636" s="563" t="s">
        <v>5365</v>
      </c>
      <c r="I636" s="564" t="s">
        <v>664</v>
      </c>
      <c r="J636" s="564" t="s">
        <v>5356</v>
      </c>
      <c r="K636" s="564" t="s">
        <v>5359</v>
      </c>
      <c r="L636" s="545">
        <v>1000000</v>
      </c>
    </row>
    <row r="637" spans="1:12">
      <c r="A637" s="856"/>
      <c r="B637" s="563" t="s">
        <v>5176</v>
      </c>
      <c r="C637" s="564" t="s">
        <v>306</v>
      </c>
      <c r="D637" s="564" t="s">
        <v>322</v>
      </c>
      <c r="E637" s="564" t="s">
        <v>307</v>
      </c>
      <c r="F637" s="563">
        <v>594</v>
      </c>
      <c r="G637" s="563" t="s">
        <v>1047</v>
      </c>
      <c r="H637" s="563" t="s">
        <v>4925</v>
      </c>
      <c r="I637" s="564" t="s">
        <v>664</v>
      </c>
      <c r="J637" s="564" t="s">
        <v>3105</v>
      </c>
      <c r="K637" s="564" t="s">
        <v>5359</v>
      </c>
      <c r="L637" s="545">
        <v>500000</v>
      </c>
    </row>
    <row r="638" spans="1:12" ht="22.5">
      <c r="A638" s="856"/>
      <c r="B638" s="563" t="s">
        <v>5178</v>
      </c>
      <c r="C638" s="564" t="s">
        <v>306</v>
      </c>
      <c r="D638" s="564" t="s">
        <v>322</v>
      </c>
      <c r="E638" s="564" t="s">
        <v>307</v>
      </c>
      <c r="F638" s="563" t="s">
        <v>4948</v>
      </c>
      <c r="G638" s="563" t="s">
        <v>1915</v>
      </c>
      <c r="H638" s="563" t="s">
        <v>5368</v>
      </c>
      <c r="I638" s="564" t="s">
        <v>664</v>
      </c>
      <c r="J638" s="564" t="s">
        <v>3105</v>
      </c>
      <c r="K638" s="564" t="s">
        <v>5359</v>
      </c>
      <c r="L638" s="545">
        <v>500000</v>
      </c>
    </row>
    <row r="639" spans="1:12">
      <c r="A639" s="856"/>
      <c r="B639" s="563" t="s">
        <v>5205</v>
      </c>
      <c r="C639" s="564" t="s">
        <v>306</v>
      </c>
      <c r="D639" s="564" t="s">
        <v>322</v>
      </c>
      <c r="E639" s="564" t="s">
        <v>307</v>
      </c>
      <c r="F639" s="563" t="s">
        <v>4974</v>
      </c>
      <c r="G639" s="563" t="s">
        <v>347</v>
      </c>
      <c r="H639" s="563" t="s">
        <v>4925</v>
      </c>
      <c r="I639" s="564" t="s">
        <v>664</v>
      </c>
      <c r="J639" s="564" t="s">
        <v>3186</v>
      </c>
      <c r="K639" s="564" t="s">
        <v>52</v>
      </c>
      <c r="L639" s="545">
        <v>1250000</v>
      </c>
    </row>
    <row r="640" spans="1:12">
      <c r="A640" s="856"/>
      <c r="B640" s="563" t="s">
        <v>5205</v>
      </c>
      <c r="C640" s="564" t="s">
        <v>306</v>
      </c>
      <c r="D640" s="564" t="s">
        <v>322</v>
      </c>
      <c r="E640" s="564" t="s">
        <v>307</v>
      </c>
      <c r="F640" s="563" t="s">
        <v>4812</v>
      </c>
      <c r="G640" s="563" t="s">
        <v>662</v>
      </c>
      <c r="H640" s="563" t="s">
        <v>5367</v>
      </c>
      <c r="I640" s="564" t="s">
        <v>664</v>
      </c>
      <c r="J640" s="564" t="s">
        <v>3186</v>
      </c>
      <c r="K640" s="564" t="s">
        <v>5360</v>
      </c>
      <c r="L640" s="545">
        <v>1250000</v>
      </c>
    </row>
    <row r="641" spans="1:12">
      <c r="A641" s="856"/>
      <c r="B641" s="563" t="s">
        <v>5231</v>
      </c>
      <c r="C641" s="564" t="s">
        <v>306</v>
      </c>
      <c r="D641" s="564" t="s">
        <v>322</v>
      </c>
      <c r="E641" s="564" t="s">
        <v>307</v>
      </c>
      <c r="F641" s="563" t="s">
        <v>4948</v>
      </c>
      <c r="G641" s="563" t="s">
        <v>3179</v>
      </c>
      <c r="H641" s="563" t="s">
        <v>5361</v>
      </c>
      <c r="I641" s="564" t="s">
        <v>664</v>
      </c>
      <c r="J641" s="564" t="s">
        <v>3255</v>
      </c>
      <c r="K641" s="564" t="s">
        <v>52</v>
      </c>
      <c r="L641" s="547">
        <v>750000</v>
      </c>
    </row>
    <row r="642" spans="1:12">
      <c r="A642" s="856"/>
      <c r="B642" s="563" t="s">
        <v>5231</v>
      </c>
      <c r="C642" s="564" t="s">
        <v>306</v>
      </c>
      <c r="D642" s="564" t="s">
        <v>322</v>
      </c>
      <c r="E642" s="564" t="s">
        <v>307</v>
      </c>
      <c r="F642" s="563" t="s">
        <v>4948</v>
      </c>
      <c r="G642" s="563" t="s">
        <v>3179</v>
      </c>
      <c r="H642" s="563" t="s">
        <v>5369</v>
      </c>
      <c r="I642" s="564" t="s">
        <v>664</v>
      </c>
      <c r="J642" s="564" t="s">
        <v>2842</v>
      </c>
      <c r="K642" s="564" t="s">
        <v>5359</v>
      </c>
      <c r="L642" s="547">
        <v>500000</v>
      </c>
    </row>
    <row r="643" spans="1:12">
      <c r="A643" s="856"/>
      <c r="B643" s="563" t="s">
        <v>5231</v>
      </c>
      <c r="C643" s="564" t="s">
        <v>306</v>
      </c>
      <c r="D643" s="564" t="s">
        <v>322</v>
      </c>
      <c r="E643" s="564" t="s">
        <v>307</v>
      </c>
      <c r="F643" s="563" t="s">
        <v>5234</v>
      </c>
      <c r="G643" s="563" t="s">
        <v>3117</v>
      </c>
      <c r="H643" s="563" t="s">
        <v>4925</v>
      </c>
      <c r="I643" s="564" t="s">
        <v>664</v>
      </c>
      <c r="J643" s="564" t="s">
        <v>3186</v>
      </c>
      <c r="K643" s="564" t="s">
        <v>5358</v>
      </c>
      <c r="L643" s="547">
        <v>1250000</v>
      </c>
    </row>
    <row r="644" spans="1:12">
      <c r="A644" s="856"/>
      <c r="B644" s="563" t="s">
        <v>5362</v>
      </c>
      <c r="C644" s="564" t="s">
        <v>311</v>
      </c>
      <c r="D644" s="564" t="s">
        <v>320</v>
      </c>
      <c r="E644" s="563" t="s">
        <v>2605</v>
      </c>
      <c r="F644" s="563" t="s">
        <v>4934</v>
      </c>
      <c r="G644" s="563" t="s">
        <v>3117</v>
      </c>
      <c r="H644" s="563" t="s">
        <v>5364</v>
      </c>
      <c r="I644" s="563" t="s">
        <v>1111</v>
      </c>
      <c r="J644" s="563" t="s">
        <v>5363</v>
      </c>
      <c r="K644" s="564" t="s">
        <v>52</v>
      </c>
      <c r="L644" s="537">
        <v>500000</v>
      </c>
    </row>
    <row r="645" spans="1:12">
      <c r="A645" s="856"/>
      <c r="B645" s="565">
        <v>46102</v>
      </c>
      <c r="C645" s="564" t="s">
        <v>19</v>
      </c>
      <c r="D645" s="564" t="s">
        <v>25</v>
      </c>
      <c r="E645" s="564" t="s">
        <v>307</v>
      </c>
      <c r="F645" s="566">
        <v>7062</v>
      </c>
      <c r="G645" s="567" t="s">
        <v>1391</v>
      </c>
      <c r="H645" s="563" t="s">
        <v>1105</v>
      </c>
      <c r="I645" s="564" t="s">
        <v>1259</v>
      </c>
      <c r="J645" s="564" t="s">
        <v>4929</v>
      </c>
      <c r="K645" s="564" t="s">
        <v>5357</v>
      </c>
      <c r="L645" s="549">
        <v>250000</v>
      </c>
    </row>
    <row r="646" spans="1:12" ht="22.5">
      <c r="A646" s="856"/>
      <c r="B646" s="565" t="s">
        <v>4923</v>
      </c>
      <c r="C646" s="564" t="s">
        <v>19</v>
      </c>
      <c r="D646" s="564" t="s">
        <v>25</v>
      </c>
      <c r="E646" s="564" t="s">
        <v>307</v>
      </c>
      <c r="F646" s="566" t="s">
        <v>4949</v>
      </c>
      <c r="G646" s="567" t="s">
        <v>482</v>
      </c>
      <c r="H646" s="563" t="s">
        <v>5370</v>
      </c>
      <c r="I646" s="564" t="s">
        <v>168</v>
      </c>
      <c r="J646" s="564" t="s">
        <v>5355</v>
      </c>
      <c r="K646" s="564" t="s">
        <v>5359</v>
      </c>
      <c r="L646" s="526">
        <v>2500000</v>
      </c>
    </row>
    <row r="648" spans="1:12" ht="22.5">
      <c r="A648" s="558" t="s">
        <v>43</v>
      </c>
      <c r="B648" s="558" t="s">
        <v>44</v>
      </c>
      <c r="C648" s="559" t="s">
        <v>2</v>
      </c>
      <c r="D648" s="559" t="s">
        <v>3</v>
      </c>
      <c r="E648" s="559" t="s">
        <v>4</v>
      </c>
      <c r="F648" s="559" t="s">
        <v>5</v>
      </c>
      <c r="G648" s="559" t="s">
        <v>6</v>
      </c>
      <c r="H648" s="560" t="s">
        <v>45</v>
      </c>
      <c r="I648" s="559" t="s">
        <v>8</v>
      </c>
      <c r="J648" s="561" t="s">
        <v>46</v>
      </c>
      <c r="K648" s="562" t="s">
        <v>47</v>
      </c>
    </row>
    <row r="649" spans="1:12">
      <c r="A649" s="85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4" t="s">
        <v>5359</v>
      </c>
    </row>
    <row r="650" spans="1:12">
      <c r="A650" s="85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4" t="s">
        <v>5359</v>
      </c>
    </row>
    <row r="651" spans="1:12">
      <c r="A651" s="858"/>
      <c r="B651" s="568" t="s">
        <v>5238</v>
      </c>
      <c r="C651" s="230" t="s">
        <v>311</v>
      </c>
      <c r="D651" s="230" t="s">
        <v>320</v>
      </c>
      <c r="E651" s="568" t="s">
        <v>337</v>
      </c>
      <c r="F651" s="568" t="s">
        <v>3172</v>
      </c>
      <c r="G651" s="568" t="s">
        <v>3061</v>
      </c>
      <c r="H651" s="568" t="s">
        <v>5239</v>
      </c>
      <c r="I651" s="568" t="s">
        <v>702</v>
      </c>
      <c r="J651" s="568">
        <v>2</v>
      </c>
      <c r="K651" s="564" t="s">
        <v>5359</v>
      </c>
    </row>
    <row r="652" spans="1:12">
      <c r="A652" s="858"/>
      <c r="B652" s="565">
        <v>46104</v>
      </c>
      <c r="C652" s="564" t="s">
        <v>21</v>
      </c>
      <c r="D652" s="564" t="s">
        <v>14</v>
      </c>
      <c r="E652" s="569" t="s">
        <v>1791</v>
      </c>
      <c r="F652" s="569" t="s">
        <v>2821</v>
      </c>
      <c r="G652" s="567" t="s">
        <v>23</v>
      </c>
      <c r="H652" s="566" t="s">
        <v>1385</v>
      </c>
      <c r="I652" s="569"/>
      <c r="J652" s="566">
        <v>2</v>
      </c>
      <c r="K652" s="564" t="s">
        <v>5359</v>
      </c>
    </row>
    <row r="653" spans="1:12">
      <c r="A653" s="858"/>
      <c r="B653" s="565">
        <v>46105</v>
      </c>
      <c r="C653" s="564" t="s">
        <v>21</v>
      </c>
      <c r="D653" s="564" t="s">
        <v>14</v>
      </c>
      <c r="E653" s="569" t="s">
        <v>107</v>
      </c>
      <c r="F653" s="569" t="s">
        <v>2963</v>
      </c>
      <c r="G653" s="567" t="s">
        <v>376</v>
      </c>
      <c r="H653" s="566" t="s">
        <v>4941</v>
      </c>
      <c r="I653" s="569" t="s">
        <v>2704</v>
      </c>
      <c r="J653" s="569">
        <v>2</v>
      </c>
      <c r="K653" s="564" t="s">
        <v>5359</v>
      </c>
    </row>
    <row r="654" spans="1:12">
      <c r="A654" s="859"/>
      <c r="B654" s="565">
        <v>46106</v>
      </c>
      <c r="C654" s="564" t="s">
        <v>21</v>
      </c>
      <c r="D654" s="564" t="s">
        <v>14</v>
      </c>
      <c r="E654" s="569" t="s">
        <v>1791</v>
      </c>
      <c r="F654" s="569" t="s">
        <v>2821</v>
      </c>
      <c r="G654" s="567" t="s">
        <v>23</v>
      </c>
      <c r="H654" s="566" t="s">
        <v>4961</v>
      </c>
      <c r="I654" s="569"/>
      <c r="J654" s="566">
        <v>2</v>
      </c>
      <c r="K654" s="564" t="s">
        <v>5359</v>
      </c>
    </row>
    <row r="655" spans="1:12">
      <c r="A655" s="860" t="s">
        <v>1650</v>
      </c>
      <c r="B655" s="860"/>
      <c r="C655" s="860"/>
      <c r="D655" s="860"/>
      <c r="E655" s="860"/>
      <c r="F655" s="860"/>
      <c r="G655" s="860"/>
      <c r="H655" s="860"/>
      <c r="I655" s="860"/>
      <c r="J655" s="570">
        <f>SUM(J649:J654)</f>
        <v>12</v>
      </c>
      <c r="K655" s="571"/>
    </row>
    <row r="659" spans="1:11">
      <c r="A659" s="558" t="s">
        <v>43</v>
      </c>
      <c r="B659" s="558" t="s">
        <v>44</v>
      </c>
      <c r="C659" s="559" t="s">
        <v>2</v>
      </c>
      <c r="D659" s="559" t="s">
        <v>3</v>
      </c>
      <c r="E659" s="559" t="s">
        <v>1728</v>
      </c>
      <c r="F659" s="559" t="s">
        <v>5</v>
      </c>
      <c r="G659" s="559" t="s">
        <v>6</v>
      </c>
      <c r="H659" s="560" t="s">
        <v>45</v>
      </c>
      <c r="I659" s="559" t="s">
        <v>8</v>
      </c>
      <c r="J659" s="561" t="s">
        <v>46</v>
      </c>
      <c r="K659" s="562" t="s">
        <v>47</v>
      </c>
    </row>
    <row r="660" spans="1:11">
      <c r="A660" s="860" t="s">
        <v>739</v>
      </c>
      <c r="B660" s="563" t="s">
        <v>5168</v>
      </c>
      <c r="C660" s="564" t="s">
        <v>311</v>
      </c>
      <c r="D660" s="564" t="s">
        <v>675</v>
      </c>
      <c r="E660" s="563" t="s">
        <v>5133</v>
      </c>
      <c r="F660" s="563" t="s">
        <v>5135</v>
      </c>
      <c r="G660" s="563" t="s">
        <v>347</v>
      </c>
      <c r="H660" s="563" t="s">
        <v>5138</v>
      </c>
      <c r="I660" s="563"/>
      <c r="J660" s="563">
        <v>2</v>
      </c>
      <c r="K660" s="564" t="s">
        <v>5359</v>
      </c>
    </row>
    <row r="661" spans="1:11">
      <c r="A661" s="860"/>
      <c r="B661" s="563" t="s">
        <v>5169</v>
      </c>
      <c r="C661" s="564" t="s">
        <v>311</v>
      </c>
      <c r="D661" s="564" t="s">
        <v>320</v>
      </c>
      <c r="E661" s="563" t="s">
        <v>709</v>
      </c>
      <c r="F661" s="563" t="s">
        <v>3102</v>
      </c>
      <c r="G661" s="563" t="s">
        <v>3103</v>
      </c>
      <c r="H661" s="563" t="s">
        <v>5374</v>
      </c>
      <c r="I661" s="563" t="s">
        <v>638</v>
      </c>
      <c r="J661" s="563">
        <v>1</v>
      </c>
      <c r="K661" s="564" t="s">
        <v>5359</v>
      </c>
    </row>
    <row r="662" spans="1:11" ht="22.5">
      <c r="A662" s="860"/>
      <c r="B662" s="563" t="s">
        <v>5171</v>
      </c>
      <c r="C662" s="564" t="s">
        <v>311</v>
      </c>
      <c r="D662" s="564" t="s">
        <v>320</v>
      </c>
      <c r="E662" s="563" t="s">
        <v>337</v>
      </c>
      <c r="F662" s="563" t="s">
        <v>3172</v>
      </c>
      <c r="G662" s="563" t="s">
        <v>3061</v>
      </c>
      <c r="H662" s="563" t="s">
        <v>5371</v>
      </c>
      <c r="I662" s="563" t="s">
        <v>638</v>
      </c>
      <c r="J662" s="563">
        <v>2</v>
      </c>
      <c r="K662" s="564" t="s">
        <v>5359</v>
      </c>
    </row>
    <row r="663" spans="1:11">
      <c r="A663" s="860"/>
      <c r="B663" s="563" t="s">
        <v>2752</v>
      </c>
      <c r="C663" s="564" t="s">
        <v>311</v>
      </c>
      <c r="D663" s="564" t="s">
        <v>320</v>
      </c>
      <c r="E663" s="563" t="s">
        <v>337</v>
      </c>
      <c r="F663" s="563" t="s">
        <v>3172</v>
      </c>
      <c r="G663" s="563" t="s">
        <v>3061</v>
      </c>
      <c r="H663" s="563" t="s">
        <v>5372</v>
      </c>
      <c r="I663" s="563"/>
      <c r="J663" s="563">
        <v>2</v>
      </c>
      <c r="K663" s="564" t="s">
        <v>5359</v>
      </c>
    </row>
    <row r="664" spans="1:11">
      <c r="A664" s="860"/>
      <c r="B664" s="563" t="s">
        <v>5185</v>
      </c>
      <c r="C664" s="564" t="s">
        <v>311</v>
      </c>
      <c r="D664" s="564" t="s">
        <v>320</v>
      </c>
      <c r="E664" s="563" t="s">
        <v>337</v>
      </c>
      <c r="F664" s="563" t="s">
        <v>3172</v>
      </c>
      <c r="G664" s="563" t="s">
        <v>3061</v>
      </c>
      <c r="H664" s="563" t="s">
        <v>5186</v>
      </c>
      <c r="I664" s="563" t="s">
        <v>638</v>
      </c>
      <c r="J664" s="563">
        <v>1</v>
      </c>
      <c r="K664" s="564" t="s">
        <v>5359</v>
      </c>
    </row>
    <row r="665" spans="1:11">
      <c r="A665" s="860"/>
      <c r="B665" s="563" t="s">
        <v>5185</v>
      </c>
      <c r="C665" s="564" t="s">
        <v>311</v>
      </c>
      <c r="D665" s="564" t="s">
        <v>320</v>
      </c>
      <c r="E665" s="563" t="s">
        <v>5188</v>
      </c>
      <c r="F665" s="563" t="s">
        <v>689</v>
      </c>
      <c r="G665" s="563" t="s">
        <v>5190</v>
      </c>
      <c r="H665" s="563" t="s">
        <v>5375</v>
      </c>
      <c r="I665" s="563"/>
      <c r="J665" s="563">
        <v>1</v>
      </c>
      <c r="K665" s="564" t="s">
        <v>5359</v>
      </c>
    </row>
    <row r="666" spans="1:11">
      <c r="A666" s="860"/>
      <c r="B666" s="563" t="s">
        <v>5193</v>
      </c>
      <c r="C666" s="564" t="s">
        <v>311</v>
      </c>
      <c r="D666" s="564" t="s">
        <v>320</v>
      </c>
      <c r="E666" s="563" t="s">
        <v>337</v>
      </c>
      <c r="F666" s="563" t="s">
        <v>3405</v>
      </c>
      <c r="G666" s="563" t="s">
        <v>5039</v>
      </c>
      <c r="H666" s="563" t="s">
        <v>5376</v>
      </c>
      <c r="I666" s="563"/>
      <c r="J666" s="563">
        <v>2</v>
      </c>
      <c r="K666" s="564" t="s">
        <v>5359</v>
      </c>
    </row>
    <row r="667" spans="1:11" ht="33.75">
      <c r="A667" s="860"/>
      <c r="B667" s="563" t="s">
        <v>5197</v>
      </c>
      <c r="C667" s="564" t="s">
        <v>311</v>
      </c>
      <c r="D667" s="564" t="s">
        <v>675</v>
      </c>
      <c r="E667" s="563" t="s">
        <v>5198</v>
      </c>
      <c r="F667" s="563" t="s">
        <v>1923</v>
      </c>
      <c r="G667" s="563" t="s">
        <v>347</v>
      </c>
      <c r="H667" s="563" t="s">
        <v>5377</v>
      </c>
      <c r="I667" s="563"/>
      <c r="J667" s="563">
        <v>2</v>
      </c>
      <c r="K667" s="564" t="s">
        <v>5359</v>
      </c>
    </row>
    <row r="668" spans="1:11">
      <c r="A668" s="860"/>
      <c r="B668" s="563" t="s">
        <v>5378</v>
      </c>
      <c r="C668" s="564" t="s">
        <v>311</v>
      </c>
      <c r="D668" s="564" t="s">
        <v>320</v>
      </c>
      <c r="E668" s="563" t="s">
        <v>337</v>
      </c>
      <c r="F668" s="563" t="s">
        <v>3058</v>
      </c>
      <c r="G668" s="563" t="s">
        <v>3061</v>
      </c>
      <c r="H668" s="563" t="s">
        <v>5379</v>
      </c>
      <c r="I668" s="563" t="s">
        <v>638</v>
      </c>
      <c r="J668" s="563">
        <v>2</v>
      </c>
      <c r="K668" s="564" t="s">
        <v>5359</v>
      </c>
    </row>
    <row r="669" spans="1:11">
      <c r="A669" s="860"/>
      <c r="B669" s="563" t="s">
        <v>5212</v>
      </c>
      <c r="C669" s="564" t="s">
        <v>311</v>
      </c>
      <c r="D669" s="564" t="s">
        <v>675</v>
      </c>
      <c r="E669" s="563" t="s">
        <v>720</v>
      </c>
      <c r="F669" s="563" t="s">
        <v>1760</v>
      </c>
      <c r="G669" s="563" t="s">
        <v>347</v>
      </c>
      <c r="H669" s="563" t="s">
        <v>5373</v>
      </c>
      <c r="I669" s="563" t="s">
        <v>638</v>
      </c>
      <c r="J669" s="563">
        <v>1</v>
      </c>
      <c r="K669" s="564" t="s">
        <v>5359</v>
      </c>
    </row>
    <row r="670" spans="1:11">
      <c r="A670" s="860"/>
      <c r="B670" s="563" t="s">
        <v>5219</v>
      </c>
      <c r="C670" s="564" t="s">
        <v>311</v>
      </c>
      <c r="D670" s="564" t="s">
        <v>675</v>
      </c>
      <c r="E670" s="563" t="s">
        <v>5220</v>
      </c>
      <c r="F670" s="563" t="s">
        <v>5222</v>
      </c>
      <c r="G670" s="563" t="s">
        <v>662</v>
      </c>
      <c r="H670" s="563" t="s">
        <v>5380</v>
      </c>
      <c r="I670" s="563" t="s">
        <v>638</v>
      </c>
      <c r="J670" s="563">
        <v>1</v>
      </c>
      <c r="K670" s="564" t="s">
        <v>5359</v>
      </c>
    </row>
    <row r="671" spans="1:11">
      <c r="A671" s="860"/>
      <c r="B671" s="563" t="s">
        <v>5223</v>
      </c>
      <c r="C671" s="564" t="s">
        <v>311</v>
      </c>
      <c r="D671" s="564" t="s">
        <v>675</v>
      </c>
      <c r="E671" s="563" t="s">
        <v>5224</v>
      </c>
      <c r="F671" s="563" t="s">
        <v>5136</v>
      </c>
      <c r="G671" s="563" t="s">
        <v>347</v>
      </c>
      <c r="H671" s="563" t="s">
        <v>5381</v>
      </c>
      <c r="I671" s="563"/>
      <c r="J671" s="563">
        <v>2</v>
      </c>
      <c r="K671" s="564" t="s">
        <v>5359</v>
      </c>
    </row>
    <row r="672" spans="1:11">
      <c r="A672" s="860"/>
      <c r="B672" s="563" t="s">
        <v>5228</v>
      </c>
      <c r="C672" s="564" t="s">
        <v>311</v>
      </c>
      <c r="D672" s="564" t="s">
        <v>675</v>
      </c>
      <c r="E672" s="563" t="s">
        <v>5224</v>
      </c>
      <c r="F672" s="563" t="s">
        <v>5136</v>
      </c>
      <c r="G672" s="563" t="s">
        <v>347</v>
      </c>
      <c r="H672" s="563" t="s">
        <v>5226</v>
      </c>
      <c r="I672" s="563"/>
      <c r="J672" s="563">
        <v>2</v>
      </c>
      <c r="K672" s="564" t="s">
        <v>5359</v>
      </c>
    </row>
    <row r="673" spans="1:11" ht="56.25">
      <c r="A673" s="860"/>
      <c r="B673" s="563" t="s">
        <v>5238</v>
      </c>
      <c r="C673" s="564" t="s">
        <v>311</v>
      </c>
      <c r="D673" s="564" t="s">
        <v>320</v>
      </c>
      <c r="E673" s="563" t="s">
        <v>709</v>
      </c>
      <c r="F673" s="563" t="s">
        <v>3102</v>
      </c>
      <c r="G673" s="563" t="s">
        <v>3103</v>
      </c>
      <c r="H673" s="563" t="s">
        <v>5382</v>
      </c>
      <c r="I673" s="563" t="s">
        <v>638</v>
      </c>
      <c r="J673" s="563">
        <v>1</v>
      </c>
      <c r="K673" s="564" t="s">
        <v>5359</v>
      </c>
    </row>
    <row r="674" spans="1:11">
      <c r="A674" s="860" t="s">
        <v>1650</v>
      </c>
      <c r="B674" s="860"/>
      <c r="C674" s="860"/>
      <c r="D674" s="860"/>
      <c r="E674" s="860"/>
      <c r="F674" s="860"/>
      <c r="G674" s="860"/>
      <c r="H674" s="860"/>
      <c r="I674" s="860"/>
      <c r="J674" s="230">
        <f>SUM(J660:J673)</f>
        <v>22</v>
      </c>
      <c r="K674" s="230"/>
    </row>
    <row r="676" spans="1:11">
      <c r="A676" s="558" t="s">
        <v>43</v>
      </c>
      <c r="B676" s="558" t="s">
        <v>44</v>
      </c>
      <c r="C676" s="559" t="s">
        <v>2</v>
      </c>
      <c r="D676" s="559" t="s">
        <v>3</v>
      </c>
      <c r="E676" s="559" t="s">
        <v>1728</v>
      </c>
      <c r="F676" s="559" t="s">
        <v>5</v>
      </c>
      <c r="G676" s="559" t="s">
        <v>6</v>
      </c>
      <c r="H676" s="560" t="s">
        <v>45</v>
      </c>
      <c r="I676" s="559" t="s">
        <v>8</v>
      </c>
      <c r="J676" s="561" t="s">
        <v>46</v>
      </c>
      <c r="K676" s="562" t="s">
        <v>47</v>
      </c>
    </row>
    <row r="677" spans="1:11">
      <c r="A677" s="860" t="s">
        <v>739</v>
      </c>
      <c r="B677" s="563" t="s">
        <v>5231</v>
      </c>
      <c r="C677" s="564" t="s">
        <v>306</v>
      </c>
      <c r="D677" s="564" t="s">
        <v>322</v>
      </c>
      <c r="E677" s="564" t="s">
        <v>307</v>
      </c>
      <c r="F677" s="563">
        <v>7062</v>
      </c>
      <c r="G677" s="563" t="s">
        <v>347</v>
      </c>
      <c r="H677" s="563" t="s">
        <v>4925</v>
      </c>
      <c r="I677" s="564" t="s">
        <v>664</v>
      </c>
      <c r="J677" s="564">
        <v>2</v>
      </c>
      <c r="K677" s="564" t="s">
        <v>5359</v>
      </c>
    </row>
    <row r="678" spans="1:11">
      <c r="A678" s="860"/>
      <c r="B678" s="563" t="s">
        <v>5383</v>
      </c>
      <c r="C678" s="564" t="s">
        <v>311</v>
      </c>
      <c r="D678" s="564" t="s">
        <v>320</v>
      </c>
      <c r="E678" s="563" t="s">
        <v>2605</v>
      </c>
      <c r="F678" s="563" t="s">
        <v>4934</v>
      </c>
      <c r="G678" s="563" t="s">
        <v>3117</v>
      </c>
      <c r="H678" s="563" t="s">
        <v>5384</v>
      </c>
      <c r="I678" s="563" t="s">
        <v>1111</v>
      </c>
      <c r="J678" s="563">
        <v>1</v>
      </c>
      <c r="K678" s="564" t="s">
        <v>5359</v>
      </c>
    </row>
    <row r="679" spans="1:11">
      <c r="A679" s="860"/>
      <c r="B679" s="565">
        <v>46104</v>
      </c>
      <c r="C679" s="564" t="s">
        <v>19</v>
      </c>
      <c r="D679" s="564" t="s">
        <v>25</v>
      </c>
      <c r="E679" s="564" t="s">
        <v>307</v>
      </c>
      <c r="F679" s="566" t="s">
        <v>3593</v>
      </c>
      <c r="G679" s="567" t="s">
        <v>482</v>
      </c>
      <c r="H679" s="563" t="s">
        <v>5352</v>
      </c>
      <c r="I679" s="564" t="s">
        <v>1259</v>
      </c>
      <c r="J679" s="564">
        <v>2</v>
      </c>
      <c r="K679" s="564" t="s">
        <v>5359</v>
      </c>
    </row>
    <row r="680" spans="1:11">
      <c r="A680" s="860"/>
      <c r="B680" s="565" t="s">
        <v>4932</v>
      </c>
      <c r="C680" s="564" t="s">
        <v>19</v>
      </c>
      <c r="D680" s="564" t="s">
        <v>25</v>
      </c>
      <c r="E680" s="564" t="s">
        <v>307</v>
      </c>
      <c r="F680" s="566" t="s">
        <v>2963</v>
      </c>
      <c r="G680" s="567" t="s">
        <v>143</v>
      </c>
      <c r="H680" s="563" t="s">
        <v>1105</v>
      </c>
      <c r="I680" s="564" t="s">
        <v>1259</v>
      </c>
      <c r="J680" s="564">
        <v>3</v>
      </c>
      <c r="K680" s="564" t="s">
        <v>5359</v>
      </c>
    </row>
    <row r="681" spans="1:11">
      <c r="A681" s="860" t="s">
        <v>1650</v>
      </c>
      <c r="B681" s="860"/>
      <c r="C681" s="860"/>
      <c r="D681" s="860"/>
      <c r="E681" s="860"/>
      <c r="F681" s="860"/>
      <c r="G681" s="860"/>
      <c r="H681" s="860"/>
      <c r="I681" s="860"/>
      <c r="J681" s="230">
        <f>SUM(J677:J680)</f>
        <v>8</v>
      </c>
      <c r="K681" s="230"/>
    </row>
    <row r="685" spans="1:11">
      <c r="A685" s="575" t="s">
        <v>43</v>
      </c>
      <c r="B685" s="575" t="s">
        <v>44</v>
      </c>
      <c r="C685" s="559" t="s">
        <v>2</v>
      </c>
      <c r="D685" s="559" t="s">
        <v>3</v>
      </c>
      <c r="E685" s="559" t="s">
        <v>1728</v>
      </c>
      <c r="F685" s="559" t="s">
        <v>5</v>
      </c>
      <c r="G685" s="559" t="s">
        <v>6</v>
      </c>
      <c r="H685" s="559" t="s">
        <v>45</v>
      </c>
      <c r="I685" s="559" t="s">
        <v>8</v>
      </c>
      <c r="J685" s="562" t="s">
        <v>46</v>
      </c>
      <c r="K685" s="562" t="s">
        <v>47</v>
      </c>
    </row>
    <row r="686" spans="1:11">
      <c r="A686" s="855" t="s">
        <v>1115</v>
      </c>
      <c r="B686" s="574">
        <v>46107</v>
      </c>
      <c r="C686" s="228" t="s">
        <v>124</v>
      </c>
      <c r="D686" s="228" t="s">
        <v>151</v>
      </c>
      <c r="E686" s="228" t="s">
        <v>5264</v>
      </c>
      <c r="F686" s="572" t="s">
        <v>3593</v>
      </c>
      <c r="G686" s="573" t="s">
        <v>34</v>
      </c>
      <c r="H686" s="229" t="s">
        <v>5298</v>
      </c>
      <c r="I686" s="228"/>
      <c r="J686" s="228">
        <v>1</v>
      </c>
      <c r="K686" s="564" t="s">
        <v>5359</v>
      </c>
    </row>
    <row r="687" spans="1:11">
      <c r="A687" s="855"/>
      <c r="B687" s="574">
        <v>46108</v>
      </c>
      <c r="C687" s="228" t="s">
        <v>49</v>
      </c>
      <c r="D687" s="228" t="s">
        <v>151</v>
      </c>
      <c r="E687" s="228" t="s">
        <v>5264</v>
      </c>
      <c r="F687" s="572" t="s">
        <v>3593</v>
      </c>
      <c r="G687" s="573" t="s">
        <v>34</v>
      </c>
      <c r="H687" s="229" t="s">
        <v>5298</v>
      </c>
      <c r="I687" s="228"/>
      <c r="J687" s="228">
        <v>1</v>
      </c>
      <c r="K687" s="564" t="s">
        <v>5359</v>
      </c>
    </row>
    <row r="688" spans="1:11">
      <c r="A688" s="855" t="s">
        <v>1650</v>
      </c>
      <c r="B688" s="855"/>
      <c r="C688" s="855"/>
      <c r="D688" s="855"/>
      <c r="E688" s="855"/>
      <c r="F688" s="855"/>
      <c r="G688" s="855"/>
      <c r="H688" s="855"/>
      <c r="I688" s="855"/>
      <c r="J688" s="230">
        <f>SUM(J685:J687)</f>
        <v>2</v>
      </c>
      <c r="K688" s="230"/>
    </row>
    <row r="691" spans="1:12" s="578" customFormat="1" ht="13.5">
      <c r="A691" s="575" t="s">
        <v>43</v>
      </c>
      <c r="B691" s="575" t="s">
        <v>44</v>
      </c>
      <c r="C691" s="559" t="s">
        <v>2</v>
      </c>
      <c r="D691" s="559" t="s">
        <v>3</v>
      </c>
      <c r="E691" s="559" t="s">
        <v>1728</v>
      </c>
      <c r="F691" s="559" t="s">
        <v>5</v>
      </c>
      <c r="G691" s="559" t="s">
        <v>6</v>
      </c>
      <c r="H691" s="559" t="s">
        <v>45</v>
      </c>
      <c r="I691" s="559" t="s">
        <v>8</v>
      </c>
      <c r="J691" s="562" t="s">
        <v>46</v>
      </c>
      <c r="K691" s="562" t="s">
        <v>47</v>
      </c>
      <c r="L691" s="577"/>
    </row>
    <row r="692" spans="1:12">
      <c r="A692" s="856" t="s">
        <v>1115</v>
      </c>
      <c r="B692" s="563" t="s">
        <v>5176</v>
      </c>
      <c r="C692" s="564" t="s">
        <v>306</v>
      </c>
      <c r="D692" s="564" t="s">
        <v>322</v>
      </c>
      <c r="E692" s="564" t="s">
        <v>307</v>
      </c>
      <c r="F692" s="563" t="s">
        <v>5177</v>
      </c>
      <c r="G692" s="563" t="s">
        <v>662</v>
      </c>
      <c r="H692" s="563" t="s">
        <v>1096</v>
      </c>
      <c r="I692" s="564" t="s">
        <v>664</v>
      </c>
      <c r="J692" s="564">
        <v>2</v>
      </c>
      <c r="K692" s="564" t="s">
        <v>5359</v>
      </c>
    </row>
    <row r="693" spans="1:12">
      <c r="A693" s="856"/>
      <c r="B693" s="563" t="s">
        <v>5178</v>
      </c>
      <c r="C693" s="564" t="s">
        <v>306</v>
      </c>
      <c r="D693" s="564" t="s">
        <v>322</v>
      </c>
      <c r="E693" s="564" t="s">
        <v>307</v>
      </c>
      <c r="F693" s="563">
        <v>1570</v>
      </c>
      <c r="G693" s="563" t="s">
        <v>3179</v>
      </c>
      <c r="H693" s="563" t="s">
        <v>5028</v>
      </c>
      <c r="I693" s="564" t="s">
        <v>664</v>
      </c>
      <c r="J693" s="564">
        <v>2</v>
      </c>
      <c r="K693" s="564" t="s">
        <v>5359</v>
      </c>
    </row>
    <row r="694" spans="1:12">
      <c r="A694" s="856"/>
      <c r="B694" s="563" t="s">
        <v>5200</v>
      </c>
      <c r="C694" s="564" t="s">
        <v>306</v>
      </c>
      <c r="D694" s="564" t="s">
        <v>322</v>
      </c>
      <c r="E694" s="564" t="s">
        <v>307</v>
      </c>
      <c r="F694" s="563">
        <v>8263</v>
      </c>
      <c r="G694" s="563" t="s">
        <v>3179</v>
      </c>
      <c r="H694" s="563" t="s">
        <v>1096</v>
      </c>
      <c r="I694" s="564" t="s">
        <v>664</v>
      </c>
      <c r="J694" s="564">
        <v>3</v>
      </c>
      <c r="K694" s="564" t="s">
        <v>5359</v>
      </c>
    </row>
    <row r="695" spans="1:12">
      <c r="A695" s="856"/>
      <c r="B695" s="563" t="s">
        <v>5201</v>
      </c>
      <c r="C695" s="564" t="s">
        <v>306</v>
      </c>
      <c r="D695" s="564" t="s">
        <v>322</v>
      </c>
      <c r="E695" s="564" t="s">
        <v>307</v>
      </c>
      <c r="F695" s="563" t="s">
        <v>5202</v>
      </c>
      <c r="G695" s="563" t="s">
        <v>5203</v>
      </c>
      <c r="H695" s="563" t="s">
        <v>5204</v>
      </c>
      <c r="I695" s="564" t="s">
        <v>664</v>
      </c>
      <c r="J695" s="564">
        <v>2</v>
      </c>
      <c r="K695" s="564" t="s">
        <v>5359</v>
      </c>
    </row>
    <row r="696" spans="1:12">
      <c r="A696" s="856"/>
      <c r="B696" s="563" t="s">
        <v>5231</v>
      </c>
      <c r="C696" s="564" t="s">
        <v>306</v>
      </c>
      <c r="D696" s="564" t="s">
        <v>322</v>
      </c>
      <c r="E696" s="564" t="s">
        <v>307</v>
      </c>
      <c r="F696" s="563" t="s">
        <v>4948</v>
      </c>
      <c r="G696" s="563" t="s">
        <v>3179</v>
      </c>
      <c r="H696" s="563" t="s">
        <v>1096</v>
      </c>
      <c r="I696" s="564" t="s">
        <v>664</v>
      </c>
      <c r="J696" s="564">
        <v>5</v>
      </c>
      <c r="K696" s="564" t="s">
        <v>5359</v>
      </c>
    </row>
    <row r="697" spans="1:12">
      <c r="A697" s="856"/>
      <c r="B697" s="565" t="s">
        <v>4923</v>
      </c>
      <c r="C697" s="564" t="s">
        <v>19</v>
      </c>
      <c r="D697" s="564" t="s">
        <v>25</v>
      </c>
      <c r="E697" s="564" t="s">
        <v>307</v>
      </c>
      <c r="F697" s="566" t="s">
        <v>4949</v>
      </c>
      <c r="G697" s="567" t="s">
        <v>482</v>
      </c>
      <c r="H697" s="563" t="s">
        <v>4951</v>
      </c>
      <c r="I697" s="564" t="s">
        <v>168</v>
      </c>
      <c r="J697" s="564">
        <v>5</v>
      </c>
      <c r="K697" s="564" t="s">
        <v>5359</v>
      </c>
    </row>
    <row r="698" spans="1:12">
      <c r="A698" s="856"/>
      <c r="B698" s="565">
        <v>46111</v>
      </c>
      <c r="C698" s="564" t="s">
        <v>49</v>
      </c>
      <c r="D698" s="564" t="s">
        <v>151</v>
      </c>
      <c r="E698" s="564" t="s">
        <v>5264</v>
      </c>
      <c r="F698" s="566" t="s">
        <v>4949</v>
      </c>
      <c r="G698" s="567" t="s">
        <v>482</v>
      </c>
      <c r="H698" s="563" t="s">
        <v>5323</v>
      </c>
      <c r="I698" s="564" t="s">
        <v>126</v>
      </c>
      <c r="J698" s="564">
        <v>1</v>
      </c>
      <c r="K698" s="564" t="s">
        <v>5359</v>
      </c>
      <c r="L698" s="576">
        <f>250000*7</f>
        <v>1750000</v>
      </c>
    </row>
    <row r="699" spans="1:12">
      <c r="A699" s="855" t="s">
        <v>1650</v>
      </c>
      <c r="B699" s="855"/>
      <c r="C699" s="855"/>
      <c r="D699" s="855"/>
      <c r="E699" s="855"/>
      <c r="F699" s="855"/>
      <c r="G699" s="855"/>
      <c r="H699" s="855"/>
      <c r="I699" s="855"/>
      <c r="J699" s="230">
        <f>SUM(J692:J698)</f>
        <v>20</v>
      </c>
      <c r="K699" s="230"/>
    </row>
  </sheetData>
  <autoFilter ref="A349:L357" xr:uid="{00000000-0009-0000-0000-000004000000}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55" t="s">
        <v>162</v>
      </c>
      <c r="I7" s="55" t="s">
        <v>5403</v>
      </c>
      <c r="J7" s="55" t="s">
        <v>5404</v>
      </c>
      <c r="K7" s="55" t="s">
        <v>5410</v>
      </c>
      <c r="L7" s="55" t="s">
        <v>1458</v>
      </c>
      <c r="M7" s="55" t="s">
        <v>3324</v>
      </c>
    </row>
    <row r="8" spans="2:13">
      <c r="B8" t="s">
        <v>5397</v>
      </c>
      <c r="C8" s="109">
        <v>500000</v>
      </c>
      <c r="D8" s="109"/>
      <c r="H8" s="5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5419</v>
      </c>
    </row>
    <row r="9" spans="2:13">
      <c r="C9" s="109"/>
      <c r="D9" s="109"/>
      <c r="H9" s="55" t="s">
        <v>5407</v>
      </c>
      <c r="I9" s="376">
        <f>70000*2</f>
        <v>140000</v>
      </c>
      <c r="J9" s="376"/>
      <c r="K9" s="376"/>
      <c r="L9" s="376">
        <f>SUM(I9:J9)</f>
        <v>140000</v>
      </c>
      <c r="M9" s="55" t="s">
        <v>5418</v>
      </c>
    </row>
    <row r="10" spans="2:13">
      <c r="C10" s="109"/>
      <c r="D10" s="109"/>
      <c r="H10" s="55" t="s">
        <v>5400</v>
      </c>
      <c r="I10" s="579">
        <f>250000*6</f>
        <v>1500000</v>
      </c>
      <c r="J10" s="579"/>
      <c r="K10" s="579">
        <f t="shared" ref="K10" si="0">46875*13</f>
        <v>609375</v>
      </c>
      <c r="L10" s="376">
        <f>SUM(I10:K10)</f>
        <v>2109375</v>
      </c>
      <c r="M10" s="55" t="s">
        <v>5420</v>
      </c>
    </row>
    <row r="11" spans="2:13">
      <c r="C11" s="109"/>
      <c r="D11" s="109"/>
      <c r="H11" s="55" t="s">
        <v>5401</v>
      </c>
      <c r="I11" s="376">
        <v>550000</v>
      </c>
      <c r="J11" s="55"/>
      <c r="K11" s="579"/>
      <c r="L11" s="376">
        <f>SUM(I11:J11)</f>
        <v>550000</v>
      </c>
      <c r="M11" s="55" t="s">
        <v>5402</v>
      </c>
    </row>
    <row r="12" spans="2:13">
      <c r="C12" s="109"/>
      <c r="D12" s="109"/>
      <c r="H12" s="675" t="s">
        <v>5412</v>
      </c>
      <c r="I12" s="675"/>
      <c r="J12" s="675"/>
      <c r="K12" s="675"/>
      <c r="L12" s="580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55" t="s">
        <v>162</v>
      </c>
      <c r="I15" s="55" t="s">
        <v>5403</v>
      </c>
      <c r="J15" s="55" t="s">
        <v>5404</v>
      </c>
      <c r="K15" s="55" t="s">
        <v>5411</v>
      </c>
      <c r="L15" s="55" t="s">
        <v>1458</v>
      </c>
      <c r="M15" s="55" t="s">
        <v>3324</v>
      </c>
    </row>
    <row r="16" spans="2:13">
      <c r="H16" s="5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5405</v>
      </c>
    </row>
    <row r="17" spans="8:13">
      <c r="H17" s="5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5417</v>
      </c>
    </row>
    <row r="18" spans="8:13">
      <c r="H18" s="55" t="s">
        <v>5400</v>
      </c>
      <c r="I18" s="579">
        <f>250000*8</f>
        <v>2000000</v>
      </c>
      <c r="J18" s="579"/>
      <c r="K18" s="579">
        <f>46875*4</f>
        <v>187500</v>
      </c>
      <c r="L18" s="376">
        <f>SUM(I18:K18)</f>
        <v>2187500</v>
      </c>
      <c r="M18" s="55" t="s">
        <v>5409</v>
      </c>
    </row>
    <row r="19" spans="8:13">
      <c r="H19" s="55" t="s">
        <v>5401</v>
      </c>
      <c r="I19" s="376">
        <v>550000</v>
      </c>
      <c r="J19" s="55"/>
      <c r="K19" s="55"/>
      <c r="L19" s="376">
        <f>SUM(I19:J19)</f>
        <v>550000</v>
      </c>
      <c r="M19" s="55" t="s">
        <v>5402</v>
      </c>
    </row>
    <row r="20" spans="8:13">
      <c r="H20" s="675" t="s">
        <v>5413</v>
      </c>
      <c r="I20" s="675"/>
      <c r="J20" s="675"/>
      <c r="K20" s="675"/>
      <c r="L20" s="580">
        <f>SUM(L16:L19)</f>
        <v>3647500</v>
      </c>
    </row>
    <row r="22" spans="8:13">
      <c r="H22" s="581" t="s">
        <v>5416</v>
      </c>
      <c r="I22" s="580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2026-04-01T01:25:03Z</cp:lastPrinted>
  <dcterms:created xsi:type="dcterms:W3CDTF">2022-12-21T07:00:17Z</dcterms:created>
  <dcterms:modified xsi:type="dcterms:W3CDTF">2026-04-24T08:20:37Z</dcterms:modified>
</cp:coreProperties>
</file>